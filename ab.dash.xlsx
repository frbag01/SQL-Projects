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571b3f6b9e775/Desktop/DATA ANALYSIS/portfolio/ab test/"/>
    </mc:Choice>
  </mc:AlternateContent>
  <xr:revisionPtr revIDLastSave="2" documentId="8_{6AA2473F-035D-421D-94EF-D94F8C00E8EF}" xr6:coauthVersionLast="47" xr6:coauthVersionMax="47" xr10:uidLastSave="{CC33BE8F-C1BC-4689-B5AD-6AEBAD2604A2}"/>
  <bookViews>
    <workbookView xWindow="-110" yWindow="-110" windowWidth="19420" windowHeight="10300" activeTab="2" xr2:uid="{4CB6922B-76CF-4701-9CA6-EDC91EE031E5}"/>
  </bookViews>
  <sheets>
    <sheet name="ab_testing" sheetId="2" r:id="rId1"/>
    <sheet name="Summary dash" sheetId="1" r:id="rId2"/>
    <sheet name="filter dash" sheetId="5" r:id="rId3"/>
    <sheet name="Foglio6" sheetId="7" r:id="rId4"/>
  </sheets>
  <definedNames>
    <definedName name="DatiEsterni_1" localSheetId="0" hidden="1">ab_testing!$A$1:$H$5001</definedName>
    <definedName name="FiltroDati_Device">#N/A</definedName>
    <definedName name="FiltroDati_Device1">#N/A</definedName>
    <definedName name="FiltroDati_Loc">#N/A</definedName>
    <definedName name="FiltroDati_Loc1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D5" i="1"/>
  <c r="F5" i="1" s="1"/>
  <c r="D4" i="1"/>
  <c r="F4" i="1" s="1"/>
  <c r="C5" i="1"/>
  <c r="C4" i="1"/>
  <c r="F4" i="7"/>
  <c r="F3" i="7"/>
  <c r="F2" i="7"/>
  <c r="E4" i="7"/>
  <c r="E3" i="7"/>
  <c r="E2" i="7"/>
  <c r="E5" i="5"/>
  <c r="E4" i="5"/>
  <c r="F5" i="5" l="1"/>
  <c r="G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72451-76C2-4ECA-AF95-0AD1C9692658}" keepAlive="1" name="Query - ab_testing" description="Connessione alla query 'ab_testing' nella cartella di lavoro." type="5" refreshedVersion="8" background="1" saveData="1">
    <dbPr connection="Provider=Microsoft.Mashup.OleDb.1;Data Source=$Workbook$;Location=ab_testing;Extended Properties=&quot;&quot;" command="SELECT * FROM [ab_testing]"/>
  </connection>
</connections>
</file>

<file path=xl/sharedStrings.xml><?xml version="1.0" encoding="utf-8"?>
<sst xmlns="http://schemas.openxmlformats.org/spreadsheetml/2006/main" count="20032" uniqueCount="31">
  <si>
    <t>User_ID</t>
  </si>
  <si>
    <t>Group_test</t>
  </si>
  <si>
    <t>Page _Views</t>
  </si>
  <si>
    <t>Time_Spent</t>
  </si>
  <si>
    <t>Conv</t>
  </si>
  <si>
    <t>Device</t>
  </si>
  <si>
    <t>Loc</t>
  </si>
  <si>
    <t>B</t>
  </si>
  <si>
    <t>No</t>
  </si>
  <si>
    <t>Mobile</t>
  </si>
  <si>
    <t>Northern Ireland</t>
  </si>
  <si>
    <t>A</t>
  </si>
  <si>
    <t>Scotland</t>
  </si>
  <si>
    <t>Desktop</t>
  </si>
  <si>
    <t>Wales</t>
  </si>
  <si>
    <t>Yes</t>
  </si>
  <si>
    <t>England</t>
  </si>
  <si>
    <t>Gruppo</t>
  </si>
  <si>
    <t>Conversioni</t>
  </si>
  <si>
    <t>Conv.rate</t>
  </si>
  <si>
    <t>Lift</t>
  </si>
  <si>
    <t>Pg.Visite</t>
  </si>
  <si>
    <t>Utenti</t>
  </si>
  <si>
    <t>Etichette di riga</t>
  </si>
  <si>
    <t>Totale complessivo</t>
  </si>
  <si>
    <t>Conteggio di Conv</t>
  </si>
  <si>
    <t>Conteggioconv</t>
  </si>
  <si>
    <t>Somma di Conteggioconv</t>
  </si>
  <si>
    <t>Pagine viste</t>
  </si>
  <si>
    <t>Pag/Utenti</t>
  </si>
  <si>
    <t>Pag/Conv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</si>
</sst>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9" fontId="0" fillId="2" borderId="3" xfId="1" applyFont="1" applyFill="1" applyBorder="1" applyAlignment="1">
      <alignment horizontal="center"/>
    </xf>
    <xf numFmtId="0" fontId="0" fillId="2" borderId="4" xfId="0" applyFill="1" applyBorder="1"/>
    <xf numFmtId="0" fontId="2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9" fontId="0" fillId="3" borderId="6" xfId="1" applyFont="1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pivotButton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9" fontId="0" fillId="0" borderId="0" xfId="1" applyFont="1"/>
    <xf numFmtId="2" fontId="0" fillId="0" borderId="0" xfId="0" applyNumberFormat="1"/>
    <xf numFmtId="1" fontId="0" fillId="0" borderId="0" xfId="0" applyNumberFormat="1"/>
    <xf numFmtId="2" fontId="2" fillId="4" borderId="0" xfId="0" applyNumberFormat="1" applyFont="1" applyFill="1"/>
    <xf numFmtId="1" fontId="2" fillId="4" borderId="0" xfId="0" applyNumberFormat="1" applyFont="1" applyFill="1"/>
  </cellXfs>
  <cellStyles count="2">
    <cellStyle name="Normale" xfId="0" builtinId="0"/>
    <cellStyle name="Percentuale" xfId="1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1085850</xdr:colOff>
      <xdr:row>7</xdr:row>
      <xdr:rowOff>63500</xdr:rowOff>
    </xdr:from>
    <xdr:to>
      <xdr:col>3</xdr:col>
      <xdr:colOff>254000</xdr:colOff>
      <xdr:row>14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vice">
              <a:extLst>
                <a:ext uri="{FF2B5EF4-FFF2-40B4-BE49-F238E27FC236}">
                  <a16:creationId xmlns:a16="http://schemas.microsoft.com/office/drawing/2014/main" id="{E7059FE0-0EC8-FD05-B481-8A541525D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6150" y="1352550"/>
              <a:ext cx="1828800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127000</xdr:colOff>
      <xdr:row>6</xdr:row>
      <xdr:rowOff>127000</xdr:rowOff>
    </xdr:from>
    <xdr:to>
      <xdr:col>7</xdr:col>
      <xdr:colOff>127000</xdr:colOff>
      <xdr:row>15</xdr:row>
      <xdr:rowOff>165100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Loc">
              <a:extLst>
                <a:ext uri="{FF2B5EF4-FFF2-40B4-BE49-F238E27FC236}">
                  <a16:creationId xmlns:a16="http://schemas.microsoft.com/office/drawing/2014/main" id="{71467CC5-D333-EDDC-4BA8-5B7AEE6461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6150" y="1231900"/>
              <a:ext cx="18288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5</xdr:row>
      <xdr:rowOff>127000</xdr:rowOff>
    </xdr:from>
    <xdr:to>
      <xdr:col>4</xdr:col>
      <xdr:colOff>641350</xdr:colOff>
      <xdr:row>11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vice 1">
              <a:extLst>
                <a:ext uri="{FF2B5EF4-FFF2-40B4-BE49-F238E27FC236}">
                  <a16:creationId xmlns:a16="http://schemas.microsoft.com/office/drawing/2014/main" id="{F68BD97A-4D9A-7839-FBAB-28C616A6FC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0400" y="1047750"/>
              <a:ext cx="182880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6350</xdr:colOff>
      <xdr:row>3</xdr:row>
      <xdr:rowOff>44450</xdr:rowOff>
    </xdr:from>
    <xdr:to>
      <xdr:col>10</xdr:col>
      <xdr:colOff>6350</xdr:colOff>
      <xdr:row>12</xdr:row>
      <xdr:rowOff>25400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Loc 1">
              <a:extLst>
                <a:ext uri="{FF2B5EF4-FFF2-40B4-BE49-F238E27FC236}">
                  <a16:creationId xmlns:a16="http://schemas.microsoft.com/office/drawing/2014/main" id="{AE8E2922-E0F4-D553-88EB-7B7C7BD297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8450" y="596900"/>
              <a:ext cx="18288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" refreshedDate="46065.682877083331" createdVersion="8" refreshedVersion="8" minRefreshableVersion="3" recordCount="2" xr:uid="{5B6F2E12-C0DE-467E-8E1B-A75B2E15388D}">
  <cacheSource type="worksheet">
    <worksheetSource ref="B3:G5" sheet="Summary dash"/>
  </cacheSource>
  <cacheFields count="6">
    <cacheField name="Gruppo" numFmtId="0">
      <sharedItems count="2">
        <s v="A"/>
        <s v="B"/>
      </sharedItems>
    </cacheField>
    <cacheField name="Pg.Visite" numFmtId="0">
      <sharedItems containsSemiMixedTypes="0" containsString="0" containsNumber="1" containsInteger="1" minValue="18590" maxValue="19098" count="2">
        <n v="19098"/>
        <n v="18590"/>
      </sharedItems>
    </cacheField>
    <cacheField name="Conversioni" numFmtId="0">
      <sharedItems containsSemiMixedTypes="0" containsString="0" containsNumber="1" containsInteger="1" minValue="136" maxValue="349" count="2">
        <n v="136"/>
        <n v="349"/>
      </sharedItems>
    </cacheField>
    <cacheField name="Utenti" numFmtId="0">
      <sharedItems containsSemiMixedTypes="0" containsString="0" containsNumber="1" containsInteger="1" minValue="2481" maxValue="2519"/>
    </cacheField>
    <cacheField name="Conv.rate" numFmtId="9">
      <sharedItems containsSemiMixedTypes="0" containsString="0" containsNumber="1" minValue="5.3989678443826912E-2" maxValue="0.14066908504635228"/>
    </cacheField>
    <cacheField name="Lift" numFmtId="0">
      <sharedItems containsString="0" containsBlank="1" containsNumber="1" minValue="1.6054810678805989" maxValue="1.6054810678805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" refreshedDate="46065.691646990737" createdVersion="8" refreshedVersion="8" minRefreshableVersion="3" recordCount="5000" xr:uid="{037F4D77-CC40-4483-9209-5C2C88D8F13A}">
  <cacheSource type="worksheet">
    <worksheetSource name="ab_testing"/>
  </cacheSource>
  <cacheFields count="10">
    <cacheField name="User_ID" numFmtId="0">
      <sharedItems containsSemiMixedTypes="0" containsString="0" containsNumber="1" containsInteger="1" minValue="10001" maxValue="19995"/>
    </cacheField>
    <cacheField name="Group_test" numFmtId="0">
      <sharedItems count="2">
        <s v="B"/>
        <s v="A"/>
      </sharedItems>
    </cacheField>
    <cacheField name="Page _Views" numFmtId="0">
      <sharedItems containsSemiMixedTypes="0" containsString="0" containsNumber="1" containsInteger="1" minValue="1" maxValue="14"/>
    </cacheField>
    <cacheField name="Time_Spent" numFmtId="0">
      <sharedItems containsSemiMixedTypes="0" containsString="0" containsNumber="1" containsInteger="1" minValue="40" maxValue="449"/>
    </cacheField>
    <cacheField name="Conv" numFmtId="0">
      <sharedItems/>
    </cacheField>
    <cacheField name="Device" numFmtId="0">
      <sharedItems count="2">
        <s v="Mobile"/>
        <s v="Desktop"/>
      </sharedItems>
    </cacheField>
    <cacheField name="Loc" numFmtId="0">
      <sharedItems count="4">
        <s v="Northern Ireland"/>
        <s v="Scotland"/>
        <s v="Wales"/>
        <s v="England"/>
      </sharedItems>
    </cacheField>
    <cacheField name="Conteggioconv" numFmtId="0">
      <sharedItems containsSemiMixedTypes="0" containsString="0" containsNumber="1" containsInteger="1" minValue="0" maxValue="1"/>
    </cacheField>
    <cacheField name="CR" numFmtId="0" formula="SUM(Conteggioconv)/SUM(Conv)" databaseField="0"/>
    <cacheField name="Ratio" numFmtId="0" formula="Conteggioconv/User_ID" databaseField="0"/>
  </cacheFields>
  <extLst>
    <ext xmlns:x14="http://schemas.microsoft.com/office/spreadsheetml/2009/9/main" uri="{725AE2AE-9491-48be-B2B4-4EB974FC3084}">
      <x14:pivotCacheDefinition pivotCacheId="15565021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  <n v="2519"/>
    <n v="5.3989678443826912E-2"/>
    <m/>
  </r>
  <r>
    <x v="1"/>
    <x v="1"/>
    <x v="1"/>
    <n v="2481"/>
    <n v="0.14066908504635228"/>
    <n v="1.60548106788059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4292"/>
    <x v="0"/>
    <n v="3"/>
    <n v="424"/>
    <s v="No"/>
    <x v="0"/>
    <x v="0"/>
    <n v="0"/>
  </r>
  <r>
    <n v="11682"/>
    <x v="1"/>
    <n v="9"/>
    <n v="342"/>
    <s v="No"/>
    <x v="0"/>
    <x v="1"/>
    <n v="0"/>
  </r>
  <r>
    <n v="19825"/>
    <x v="1"/>
    <n v="2"/>
    <n v="396"/>
    <s v="No"/>
    <x v="1"/>
    <x v="0"/>
    <n v="0"/>
  </r>
  <r>
    <n v="16080"/>
    <x v="0"/>
    <n v="4"/>
    <n v="318"/>
    <s v="No"/>
    <x v="1"/>
    <x v="2"/>
    <n v="0"/>
  </r>
  <r>
    <n v="18851"/>
    <x v="1"/>
    <n v="1"/>
    <n v="338"/>
    <s v="Yes"/>
    <x v="1"/>
    <x v="1"/>
    <n v="1"/>
  </r>
  <r>
    <n v="13134"/>
    <x v="0"/>
    <n v="2"/>
    <n v="93"/>
    <s v="No"/>
    <x v="1"/>
    <x v="1"/>
    <n v="0"/>
  </r>
  <r>
    <n v="16702"/>
    <x v="1"/>
    <n v="5"/>
    <n v="106"/>
    <s v="No"/>
    <x v="0"/>
    <x v="0"/>
    <n v="0"/>
  </r>
  <r>
    <n v="10041"/>
    <x v="0"/>
    <n v="9"/>
    <n v="292"/>
    <s v="No"/>
    <x v="0"/>
    <x v="0"/>
    <n v="0"/>
  </r>
  <r>
    <n v="13191"/>
    <x v="0"/>
    <n v="8"/>
    <n v="434"/>
    <s v="No"/>
    <x v="1"/>
    <x v="0"/>
    <n v="0"/>
  </r>
  <r>
    <n v="14427"/>
    <x v="0"/>
    <n v="12"/>
    <n v="271"/>
    <s v="No"/>
    <x v="1"/>
    <x v="3"/>
    <n v="0"/>
  </r>
  <r>
    <n v="12776"/>
    <x v="1"/>
    <n v="14"/>
    <n v="351"/>
    <s v="No"/>
    <x v="1"/>
    <x v="2"/>
    <n v="0"/>
  </r>
  <r>
    <n v="11457"/>
    <x v="1"/>
    <n v="9"/>
    <n v="347"/>
    <s v="No"/>
    <x v="0"/>
    <x v="3"/>
    <n v="0"/>
  </r>
  <r>
    <n v="16270"/>
    <x v="0"/>
    <n v="12"/>
    <n v="123"/>
    <s v="No"/>
    <x v="1"/>
    <x v="2"/>
    <n v="0"/>
  </r>
  <r>
    <n v="17608"/>
    <x v="1"/>
    <n v="2"/>
    <n v="41"/>
    <s v="No"/>
    <x v="0"/>
    <x v="1"/>
    <n v="0"/>
  </r>
  <r>
    <n v="10019"/>
    <x v="0"/>
    <n v="8"/>
    <n v="84"/>
    <s v="No"/>
    <x v="1"/>
    <x v="3"/>
    <n v="0"/>
  </r>
  <r>
    <n v="13853"/>
    <x v="0"/>
    <n v="6"/>
    <n v="349"/>
    <s v="No"/>
    <x v="1"/>
    <x v="1"/>
    <n v="0"/>
  </r>
  <r>
    <n v="14091"/>
    <x v="1"/>
    <n v="7"/>
    <n v="377"/>
    <s v="No"/>
    <x v="0"/>
    <x v="2"/>
    <n v="0"/>
  </r>
  <r>
    <n v="18448"/>
    <x v="0"/>
    <n v="12"/>
    <n v="95"/>
    <s v="No"/>
    <x v="0"/>
    <x v="2"/>
    <n v="0"/>
  </r>
  <r>
    <n v="19217"/>
    <x v="1"/>
    <n v="11"/>
    <n v="292"/>
    <s v="No"/>
    <x v="0"/>
    <x v="3"/>
    <n v="0"/>
  </r>
  <r>
    <n v="17897"/>
    <x v="0"/>
    <n v="14"/>
    <n v="327"/>
    <s v="No"/>
    <x v="1"/>
    <x v="2"/>
    <n v="0"/>
  </r>
  <r>
    <n v="14212"/>
    <x v="1"/>
    <n v="7"/>
    <n v="315"/>
    <s v="No"/>
    <x v="0"/>
    <x v="3"/>
    <n v="0"/>
  </r>
  <r>
    <n v="10026"/>
    <x v="1"/>
    <n v="11"/>
    <n v="394"/>
    <s v="No"/>
    <x v="0"/>
    <x v="3"/>
    <n v="0"/>
  </r>
  <r>
    <n v="18361"/>
    <x v="0"/>
    <n v="3"/>
    <n v="80"/>
    <s v="No"/>
    <x v="0"/>
    <x v="3"/>
    <n v="0"/>
  </r>
  <r>
    <n v="15775"/>
    <x v="1"/>
    <n v="4"/>
    <n v="420"/>
    <s v="No"/>
    <x v="0"/>
    <x v="1"/>
    <n v="0"/>
  </r>
  <r>
    <n v="14575"/>
    <x v="1"/>
    <n v="12"/>
    <n v="230"/>
    <s v="No"/>
    <x v="1"/>
    <x v="2"/>
    <n v="0"/>
  </r>
  <r>
    <n v="19369"/>
    <x v="0"/>
    <n v="2"/>
    <n v="137"/>
    <s v="No"/>
    <x v="0"/>
    <x v="0"/>
    <n v="0"/>
  </r>
  <r>
    <n v="16330"/>
    <x v="1"/>
    <n v="11"/>
    <n v="182"/>
    <s v="No"/>
    <x v="0"/>
    <x v="2"/>
    <n v="0"/>
  </r>
  <r>
    <n v="16296"/>
    <x v="0"/>
    <n v="11"/>
    <n v="77"/>
    <s v="No"/>
    <x v="1"/>
    <x v="2"/>
    <n v="0"/>
  </r>
  <r>
    <n v="13528"/>
    <x v="0"/>
    <n v="9"/>
    <n v="430"/>
    <s v="No"/>
    <x v="1"/>
    <x v="2"/>
    <n v="0"/>
  </r>
  <r>
    <n v="19498"/>
    <x v="0"/>
    <n v="14"/>
    <n v="418"/>
    <s v="No"/>
    <x v="1"/>
    <x v="1"/>
    <n v="0"/>
  </r>
  <r>
    <n v="11951"/>
    <x v="0"/>
    <n v="9"/>
    <n v="197"/>
    <s v="Yes"/>
    <x v="0"/>
    <x v="0"/>
    <n v="1"/>
  </r>
  <r>
    <n v="12482"/>
    <x v="0"/>
    <n v="13"/>
    <n v="227"/>
    <s v="No"/>
    <x v="0"/>
    <x v="1"/>
    <n v="0"/>
  </r>
  <r>
    <n v="13970"/>
    <x v="1"/>
    <n v="5"/>
    <n v="263"/>
    <s v="No"/>
    <x v="0"/>
    <x v="3"/>
    <n v="0"/>
  </r>
  <r>
    <n v="19487"/>
    <x v="1"/>
    <n v="10"/>
    <n v="41"/>
    <s v="No"/>
    <x v="1"/>
    <x v="0"/>
    <n v="0"/>
  </r>
  <r>
    <n v="12647"/>
    <x v="0"/>
    <n v="7"/>
    <n v="204"/>
    <s v="No"/>
    <x v="1"/>
    <x v="1"/>
    <n v="0"/>
  </r>
  <r>
    <n v="11334"/>
    <x v="1"/>
    <n v="6"/>
    <n v="358"/>
    <s v="No"/>
    <x v="0"/>
    <x v="0"/>
    <n v="0"/>
  </r>
  <r>
    <n v="14393"/>
    <x v="0"/>
    <n v="10"/>
    <n v="101"/>
    <s v="Yes"/>
    <x v="1"/>
    <x v="0"/>
    <n v="1"/>
  </r>
  <r>
    <n v="10435"/>
    <x v="1"/>
    <n v="10"/>
    <n v="222"/>
    <s v="No"/>
    <x v="0"/>
    <x v="0"/>
    <n v="0"/>
  </r>
  <r>
    <n v="14356"/>
    <x v="1"/>
    <n v="12"/>
    <n v="365"/>
    <s v="No"/>
    <x v="0"/>
    <x v="3"/>
    <n v="0"/>
  </r>
  <r>
    <n v="10628"/>
    <x v="1"/>
    <n v="10"/>
    <n v="427"/>
    <s v="No"/>
    <x v="1"/>
    <x v="3"/>
    <n v="0"/>
  </r>
  <r>
    <n v="18524"/>
    <x v="1"/>
    <n v="14"/>
    <n v="90"/>
    <s v="No"/>
    <x v="1"/>
    <x v="1"/>
    <n v="0"/>
  </r>
  <r>
    <n v="13100"/>
    <x v="0"/>
    <n v="5"/>
    <n v="126"/>
    <s v="No"/>
    <x v="1"/>
    <x v="2"/>
    <n v="0"/>
  </r>
  <r>
    <n v="18153"/>
    <x v="1"/>
    <n v="9"/>
    <n v="77"/>
    <s v="No"/>
    <x v="0"/>
    <x v="2"/>
    <n v="0"/>
  </r>
  <r>
    <n v="10042"/>
    <x v="1"/>
    <n v="11"/>
    <n v="433"/>
    <s v="No"/>
    <x v="1"/>
    <x v="3"/>
    <n v="0"/>
  </r>
  <r>
    <n v="19566"/>
    <x v="0"/>
    <n v="7"/>
    <n v="388"/>
    <s v="No"/>
    <x v="1"/>
    <x v="0"/>
    <n v="0"/>
  </r>
  <r>
    <n v="18487"/>
    <x v="1"/>
    <n v="11"/>
    <n v="380"/>
    <s v="No"/>
    <x v="1"/>
    <x v="1"/>
    <n v="0"/>
  </r>
  <r>
    <n v="17406"/>
    <x v="1"/>
    <n v="7"/>
    <n v="301"/>
    <s v="No"/>
    <x v="1"/>
    <x v="0"/>
    <n v="0"/>
  </r>
  <r>
    <n v="10071"/>
    <x v="1"/>
    <n v="5"/>
    <n v="326"/>
    <s v="No"/>
    <x v="1"/>
    <x v="1"/>
    <n v="0"/>
  </r>
  <r>
    <n v="10448"/>
    <x v="0"/>
    <n v="14"/>
    <n v="56"/>
    <s v="No"/>
    <x v="0"/>
    <x v="0"/>
    <n v="0"/>
  </r>
  <r>
    <n v="11063"/>
    <x v="1"/>
    <n v="14"/>
    <n v="368"/>
    <s v="No"/>
    <x v="0"/>
    <x v="3"/>
    <n v="0"/>
  </r>
  <r>
    <n v="15726"/>
    <x v="0"/>
    <n v="13"/>
    <n v="140"/>
    <s v="No"/>
    <x v="1"/>
    <x v="3"/>
    <n v="0"/>
  </r>
  <r>
    <n v="14439"/>
    <x v="1"/>
    <n v="12"/>
    <n v="152"/>
    <s v="No"/>
    <x v="0"/>
    <x v="2"/>
    <n v="0"/>
  </r>
  <r>
    <n v="10268"/>
    <x v="1"/>
    <n v="7"/>
    <n v="289"/>
    <s v="Yes"/>
    <x v="0"/>
    <x v="1"/>
    <n v="1"/>
  </r>
  <r>
    <n v="19819"/>
    <x v="1"/>
    <n v="2"/>
    <n v="215"/>
    <s v="No"/>
    <x v="1"/>
    <x v="3"/>
    <n v="0"/>
  </r>
  <r>
    <n v="15774"/>
    <x v="1"/>
    <n v="9"/>
    <n v="434"/>
    <s v="No"/>
    <x v="1"/>
    <x v="0"/>
    <n v="0"/>
  </r>
  <r>
    <n v="10553"/>
    <x v="1"/>
    <n v="4"/>
    <n v="401"/>
    <s v="Yes"/>
    <x v="1"/>
    <x v="0"/>
    <n v="1"/>
  </r>
  <r>
    <n v="14777"/>
    <x v="1"/>
    <n v="9"/>
    <n v="345"/>
    <s v="No"/>
    <x v="1"/>
    <x v="2"/>
    <n v="0"/>
  </r>
  <r>
    <n v="11184"/>
    <x v="1"/>
    <n v="1"/>
    <n v="396"/>
    <s v="No"/>
    <x v="0"/>
    <x v="2"/>
    <n v="0"/>
  </r>
  <r>
    <n v="17191"/>
    <x v="1"/>
    <n v="7"/>
    <n v="314"/>
    <s v="No"/>
    <x v="0"/>
    <x v="3"/>
    <n v="0"/>
  </r>
  <r>
    <n v="13264"/>
    <x v="0"/>
    <n v="1"/>
    <n v="135"/>
    <s v="No"/>
    <x v="1"/>
    <x v="0"/>
    <n v="0"/>
  </r>
  <r>
    <n v="14603"/>
    <x v="0"/>
    <n v="9"/>
    <n v="155"/>
    <s v="No"/>
    <x v="0"/>
    <x v="1"/>
    <n v="0"/>
  </r>
  <r>
    <n v="13551"/>
    <x v="1"/>
    <n v="11"/>
    <n v="265"/>
    <s v="Yes"/>
    <x v="1"/>
    <x v="1"/>
    <n v="1"/>
  </r>
  <r>
    <n v="16861"/>
    <x v="0"/>
    <n v="1"/>
    <n v="337"/>
    <s v="No"/>
    <x v="0"/>
    <x v="2"/>
    <n v="0"/>
  </r>
  <r>
    <n v="11803"/>
    <x v="1"/>
    <n v="7"/>
    <n v="124"/>
    <s v="No"/>
    <x v="0"/>
    <x v="2"/>
    <n v="0"/>
  </r>
  <r>
    <n v="10920"/>
    <x v="1"/>
    <n v="8"/>
    <n v="88"/>
    <s v="No"/>
    <x v="1"/>
    <x v="3"/>
    <n v="0"/>
  </r>
  <r>
    <n v="17539"/>
    <x v="1"/>
    <n v="1"/>
    <n v="151"/>
    <s v="No"/>
    <x v="0"/>
    <x v="1"/>
    <n v="0"/>
  </r>
  <r>
    <n v="13537"/>
    <x v="0"/>
    <n v="3"/>
    <n v="229"/>
    <s v="No"/>
    <x v="0"/>
    <x v="0"/>
    <n v="0"/>
  </r>
  <r>
    <n v="12238"/>
    <x v="0"/>
    <n v="4"/>
    <n v="117"/>
    <s v="No"/>
    <x v="1"/>
    <x v="2"/>
    <n v="0"/>
  </r>
  <r>
    <n v="16160"/>
    <x v="1"/>
    <n v="14"/>
    <n v="234"/>
    <s v="No"/>
    <x v="0"/>
    <x v="2"/>
    <n v="0"/>
  </r>
  <r>
    <n v="18467"/>
    <x v="1"/>
    <n v="11"/>
    <n v="181"/>
    <s v="No"/>
    <x v="0"/>
    <x v="1"/>
    <n v="0"/>
  </r>
  <r>
    <n v="14792"/>
    <x v="1"/>
    <n v="9"/>
    <n v="144"/>
    <s v="No"/>
    <x v="1"/>
    <x v="0"/>
    <n v="0"/>
  </r>
  <r>
    <n v="13675"/>
    <x v="0"/>
    <n v="3"/>
    <n v="434"/>
    <s v="No"/>
    <x v="1"/>
    <x v="2"/>
    <n v="0"/>
  </r>
  <r>
    <n v="11244"/>
    <x v="0"/>
    <n v="5"/>
    <n v="156"/>
    <s v="No"/>
    <x v="1"/>
    <x v="3"/>
    <n v="0"/>
  </r>
  <r>
    <n v="13909"/>
    <x v="1"/>
    <n v="7"/>
    <n v="348"/>
    <s v="No"/>
    <x v="0"/>
    <x v="1"/>
    <n v="0"/>
  </r>
  <r>
    <n v="14568"/>
    <x v="0"/>
    <n v="12"/>
    <n v="204"/>
    <s v="Yes"/>
    <x v="1"/>
    <x v="3"/>
    <n v="1"/>
  </r>
  <r>
    <n v="13888"/>
    <x v="0"/>
    <n v="4"/>
    <n v="59"/>
    <s v="No"/>
    <x v="0"/>
    <x v="0"/>
    <n v="0"/>
  </r>
  <r>
    <n v="17730"/>
    <x v="1"/>
    <n v="11"/>
    <n v="241"/>
    <s v="No"/>
    <x v="1"/>
    <x v="3"/>
    <n v="0"/>
  </r>
  <r>
    <n v="17033"/>
    <x v="0"/>
    <n v="8"/>
    <n v="282"/>
    <s v="No"/>
    <x v="1"/>
    <x v="2"/>
    <n v="0"/>
  </r>
  <r>
    <n v="14737"/>
    <x v="1"/>
    <n v="12"/>
    <n v="371"/>
    <s v="No"/>
    <x v="0"/>
    <x v="2"/>
    <n v="0"/>
  </r>
  <r>
    <n v="11731"/>
    <x v="1"/>
    <n v="10"/>
    <n v="101"/>
    <s v="No"/>
    <x v="0"/>
    <x v="1"/>
    <n v="0"/>
  </r>
  <r>
    <n v="19838"/>
    <x v="0"/>
    <n v="11"/>
    <n v="337"/>
    <s v="Yes"/>
    <x v="1"/>
    <x v="0"/>
    <n v="1"/>
  </r>
  <r>
    <n v="12610"/>
    <x v="0"/>
    <n v="7"/>
    <n v="50"/>
    <s v="No"/>
    <x v="0"/>
    <x v="3"/>
    <n v="0"/>
  </r>
  <r>
    <n v="17869"/>
    <x v="0"/>
    <n v="12"/>
    <n v="210"/>
    <s v="No"/>
    <x v="0"/>
    <x v="2"/>
    <n v="0"/>
  </r>
  <r>
    <n v="11517"/>
    <x v="1"/>
    <n v="9"/>
    <n v="59"/>
    <s v="No"/>
    <x v="0"/>
    <x v="1"/>
    <n v="0"/>
  </r>
  <r>
    <n v="12107"/>
    <x v="1"/>
    <n v="11"/>
    <n v="70"/>
    <s v="No"/>
    <x v="1"/>
    <x v="3"/>
    <n v="0"/>
  </r>
  <r>
    <n v="16125"/>
    <x v="1"/>
    <n v="1"/>
    <n v="390"/>
    <s v="No"/>
    <x v="1"/>
    <x v="1"/>
    <n v="0"/>
  </r>
  <r>
    <n v="15835"/>
    <x v="1"/>
    <n v="9"/>
    <n v="94"/>
    <s v="No"/>
    <x v="0"/>
    <x v="0"/>
    <n v="0"/>
  </r>
  <r>
    <n v="19401"/>
    <x v="0"/>
    <n v="9"/>
    <n v="91"/>
    <s v="Yes"/>
    <x v="1"/>
    <x v="2"/>
    <n v="1"/>
  </r>
  <r>
    <n v="18255"/>
    <x v="1"/>
    <n v="14"/>
    <n v="187"/>
    <s v="No"/>
    <x v="1"/>
    <x v="2"/>
    <n v="0"/>
  </r>
  <r>
    <n v="13928"/>
    <x v="1"/>
    <n v="5"/>
    <n v="79"/>
    <s v="No"/>
    <x v="0"/>
    <x v="3"/>
    <n v="0"/>
  </r>
  <r>
    <n v="18089"/>
    <x v="1"/>
    <n v="14"/>
    <n v="313"/>
    <s v="No"/>
    <x v="1"/>
    <x v="3"/>
    <n v="0"/>
  </r>
  <r>
    <n v="11047"/>
    <x v="0"/>
    <n v="10"/>
    <n v="159"/>
    <s v="No"/>
    <x v="0"/>
    <x v="0"/>
    <n v="0"/>
  </r>
  <r>
    <n v="17558"/>
    <x v="1"/>
    <n v="13"/>
    <n v="205"/>
    <s v="Yes"/>
    <x v="1"/>
    <x v="0"/>
    <n v="1"/>
  </r>
  <r>
    <n v="10142"/>
    <x v="0"/>
    <n v="14"/>
    <n v="295"/>
    <s v="No"/>
    <x v="1"/>
    <x v="0"/>
    <n v="0"/>
  </r>
  <r>
    <n v="16024"/>
    <x v="0"/>
    <n v="1"/>
    <n v="298"/>
    <s v="No"/>
    <x v="1"/>
    <x v="3"/>
    <n v="0"/>
  </r>
  <r>
    <n v="18073"/>
    <x v="0"/>
    <n v="6"/>
    <n v="279"/>
    <s v="No"/>
    <x v="0"/>
    <x v="2"/>
    <n v="0"/>
  </r>
  <r>
    <n v="14001"/>
    <x v="0"/>
    <n v="9"/>
    <n v="360"/>
    <s v="No"/>
    <x v="1"/>
    <x v="2"/>
    <n v="0"/>
  </r>
  <r>
    <n v="16174"/>
    <x v="1"/>
    <n v="2"/>
    <n v="336"/>
    <s v="No"/>
    <x v="1"/>
    <x v="2"/>
    <n v="0"/>
  </r>
  <r>
    <n v="18149"/>
    <x v="0"/>
    <n v="1"/>
    <n v="178"/>
    <s v="No"/>
    <x v="0"/>
    <x v="2"/>
    <n v="0"/>
  </r>
  <r>
    <n v="18669"/>
    <x v="0"/>
    <n v="7"/>
    <n v="80"/>
    <s v="No"/>
    <x v="0"/>
    <x v="1"/>
    <n v="0"/>
  </r>
  <r>
    <n v="10869"/>
    <x v="0"/>
    <n v="11"/>
    <n v="362"/>
    <s v="No"/>
    <x v="0"/>
    <x v="2"/>
    <n v="0"/>
  </r>
  <r>
    <n v="14207"/>
    <x v="1"/>
    <n v="9"/>
    <n v="45"/>
    <s v="No"/>
    <x v="0"/>
    <x v="2"/>
    <n v="0"/>
  </r>
  <r>
    <n v="17412"/>
    <x v="1"/>
    <n v="5"/>
    <n v="319"/>
    <s v="No"/>
    <x v="0"/>
    <x v="2"/>
    <n v="0"/>
  </r>
  <r>
    <n v="14220"/>
    <x v="1"/>
    <n v="14"/>
    <n v="422"/>
    <s v="No"/>
    <x v="0"/>
    <x v="3"/>
    <n v="0"/>
  </r>
  <r>
    <n v="13555"/>
    <x v="0"/>
    <n v="8"/>
    <n v="372"/>
    <s v="No"/>
    <x v="1"/>
    <x v="0"/>
    <n v="0"/>
  </r>
  <r>
    <n v="10632"/>
    <x v="1"/>
    <n v="11"/>
    <n v="302"/>
    <s v="No"/>
    <x v="1"/>
    <x v="0"/>
    <n v="0"/>
  </r>
  <r>
    <n v="13974"/>
    <x v="0"/>
    <n v="2"/>
    <n v="305"/>
    <s v="Yes"/>
    <x v="0"/>
    <x v="0"/>
    <n v="1"/>
  </r>
  <r>
    <n v="12612"/>
    <x v="1"/>
    <n v="14"/>
    <n v="238"/>
    <s v="No"/>
    <x v="1"/>
    <x v="1"/>
    <n v="0"/>
  </r>
  <r>
    <n v="11432"/>
    <x v="0"/>
    <n v="11"/>
    <n v="202"/>
    <s v="No"/>
    <x v="1"/>
    <x v="3"/>
    <n v="0"/>
  </r>
  <r>
    <n v="15983"/>
    <x v="1"/>
    <n v="11"/>
    <n v="357"/>
    <s v="No"/>
    <x v="0"/>
    <x v="2"/>
    <n v="0"/>
  </r>
  <r>
    <n v="14964"/>
    <x v="1"/>
    <n v="9"/>
    <n v="281"/>
    <s v="No"/>
    <x v="1"/>
    <x v="2"/>
    <n v="0"/>
  </r>
  <r>
    <n v="16445"/>
    <x v="0"/>
    <n v="2"/>
    <n v="100"/>
    <s v="No"/>
    <x v="0"/>
    <x v="2"/>
    <n v="0"/>
  </r>
  <r>
    <n v="12524"/>
    <x v="0"/>
    <n v="5"/>
    <n v="324"/>
    <s v="No"/>
    <x v="0"/>
    <x v="0"/>
    <n v="0"/>
  </r>
  <r>
    <n v="19961"/>
    <x v="0"/>
    <n v="10"/>
    <n v="227"/>
    <s v="No"/>
    <x v="0"/>
    <x v="2"/>
    <n v="0"/>
  </r>
  <r>
    <n v="12405"/>
    <x v="1"/>
    <n v="6"/>
    <n v="213"/>
    <s v="No"/>
    <x v="0"/>
    <x v="1"/>
    <n v="0"/>
  </r>
  <r>
    <n v="11375"/>
    <x v="0"/>
    <n v="13"/>
    <n v="186"/>
    <s v="No"/>
    <x v="1"/>
    <x v="0"/>
    <n v="0"/>
  </r>
  <r>
    <n v="16652"/>
    <x v="0"/>
    <n v="7"/>
    <n v="48"/>
    <s v="No"/>
    <x v="1"/>
    <x v="3"/>
    <n v="0"/>
  </r>
  <r>
    <n v="16474"/>
    <x v="0"/>
    <n v="8"/>
    <n v="187"/>
    <s v="No"/>
    <x v="0"/>
    <x v="2"/>
    <n v="0"/>
  </r>
  <r>
    <n v="16872"/>
    <x v="0"/>
    <n v="2"/>
    <n v="238"/>
    <s v="No"/>
    <x v="0"/>
    <x v="3"/>
    <n v="0"/>
  </r>
  <r>
    <n v="14643"/>
    <x v="0"/>
    <n v="8"/>
    <n v="304"/>
    <s v="No"/>
    <x v="0"/>
    <x v="1"/>
    <n v="0"/>
  </r>
  <r>
    <n v="13304"/>
    <x v="1"/>
    <n v="11"/>
    <n v="285"/>
    <s v="No"/>
    <x v="0"/>
    <x v="1"/>
    <n v="0"/>
  </r>
  <r>
    <n v="17358"/>
    <x v="0"/>
    <n v="8"/>
    <n v="314"/>
    <s v="No"/>
    <x v="1"/>
    <x v="1"/>
    <n v="0"/>
  </r>
  <r>
    <n v="11846"/>
    <x v="0"/>
    <n v="14"/>
    <n v="299"/>
    <s v="No"/>
    <x v="1"/>
    <x v="2"/>
    <n v="0"/>
  </r>
  <r>
    <n v="14248"/>
    <x v="0"/>
    <n v="10"/>
    <n v="140"/>
    <s v="Yes"/>
    <x v="0"/>
    <x v="3"/>
    <n v="1"/>
  </r>
  <r>
    <n v="10728"/>
    <x v="0"/>
    <n v="11"/>
    <n v="419"/>
    <s v="No"/>
    <x v="1"/>
    <x v="2"/>
    <n v="0"/>
  </r>
  <r>
    <n v="17854"/>
    <x v="0"/>
    <n v="9"/>
    <n v="199"/>
    <s v="No"/>
    <x v="0"/>
    <x v="2"/>
    <n v="0"/>
  </r>
  <r>
    <n v="17973"/>
    <x v="0"/>
    <n v="13"/>
    <n v="419"/>
    <s v="No"/>
    <x v="1"/>
    <x v="3"/>
    <n v="0"/>
  </r>
  <r>
    <n v="19497"/>
    <x v="1"/>
    <n v="11"/>
    <n v="412"/>
    <s v="No"/>
    <x v="0"/>
    <x v="2"/>
    <n v="0"/>
  </r>
  <r>
    <n v="11642"/>
    <x v="0"/>
    <n v="12"/>
    <n v="127"/>
    <s v="No"/>
    <x v="1"/>
    <x v="2"/>
    <n v="0"/>
  </r>
  <r>
    <n v="18392"/>
    <x v="1"/>
    <n v="8"/>
    <n v="440"/>
    <s v="No"/>
    <x v="0"/>
    <x v="1"/>
    <n v="0"/>
  </r>
  <r>
    <n v="17004"/>
    <x v="0"/>
    <n v="8"/>
    <n v="372"/>
    <s v="Yes"/>
    <x v="1"/>
    <x v="2"/>
    <n v="1"/>
  </r>
  <r>
    <n v="16546"/>
    <x v="0"/>
    <n v="4"/>
    <n v="434"/>
    <s v="No"/>
    <x v="0"/>
    <x v="1"/>
    <n v="0"/>
  </r>
  <r>
    <n v="10171"/>
    <x v="1"/>
    <n v="14"/>
    <n v="179"/>
    <s v="No"/>
    <x v="1"/>
    <x v="0"/>
    <n v="0"/>
  </r>
  <r>
    <n v="16653"/>
    <x v="1"/>
    <n v="7"/>
    <n v="84"/>
    <s v="No"/>
    <x v="1"/>
    <x v="3"/>
    <n v="0"/>
  </r>
  <r>
    <n v="17336"/>
    <x v="0"/>
    <n v="14"/>
    <n v="145"/>
    <s v="Yes"/>
    <x v="1"/>
    <x v="1"/>
    <n v="1"/>
  </r>
  <r>
    <n v="11220"/>
    <x v="1"/>
    <n v="1"/>
    <n v="385"/>
    <s v="No"/>
    <x v="0"/>
    <x v="0"/>
    <n v="0"/>
  </r>
  <r>
    <n v="16104"/>
    <x v="0"/>
    <n v="3"/>
    <n v="409"/>
    <s v="No"/>
    <x v="0"/>
    <x v="0"/>
    <n v="0"/>
  </r>
  <r>
    <n v="19145"/>
    <x v="1"/>
    <n v="8"/>
    <n v="239"/>
    <s v="No"/>
    <x v="1"/>
    <x v="2"/>
    <n v="0"/>
  </r>
  <r>
    <n v="10260"/>
    <x v="1"/>
    <n v="11"/>
    <n v="264"/>
    <s v="No"/>
    <x v="0"/>
    <x v="2"/>
    <n v="0"/>
  </r>
  <r>
    <n v="15640"/>
    <x v="0"/>
    <n v="8"/>
    <n v="43"/>
    <s v="No"/>
    <x v="1"/>
    <x v="0"/>
    <n v="0"/>
  </r>
  <r>
    <n v="18888"/>
    <x v="0"/>
    <n v="6"/>
    <n v="249"/>
    <s v="No"/>
    <x v="0"/>
    <x v="3"/>
    <n v="0"/>
  </r>
  <r>
    <n v="18776"/>
    <x v="1"/>
    <n v="13"/>
    <n v="81"/>
    <s v="No"/>
    <x v="1"/>
    <x v="0"/>
    <n v="0"/>
  </r>
  <r>
    <n v="18508"/>
    <x v="0"/>
    <n v="2"/>
    <n v="45"/>
    <s v="Yes"/>
    <x v="0"/>
    <x v="2"/>
    <n v="1"/>
  </r>
  <r>
    <n v="18312"/>
    <x v="1"/>
    <n v="14"/>
    <n v="260"/>
    <s v="No"/>
    <x v="0"/>
    <x v="0"/>
    <n v="0"/>
  </r>
  <r>
    <n v="15917"/>
    <x v="0"/>
    <n v="1"/>
    <n v="349"/>
    <s v="Yes"/>
    <x v="1"/>
    <x v="0"/>
    <n v="1"/>
  </r>
  <r>
    <n v="15743"/>
    <x v="0"/>
    <n v="8"/>
    <n v="113"/>
    <s v="No"/>
    <x v="1"/>
    <x v="2"/>
    <n v="0"/>
  </r>
  <r>
    <n v="13942"/>
    <x v="0"/>
    <n v="6"/>
    <n v="308"/>
    <s v="No"/>
    <x v="1"/>
    <x v="0"/>
    <n v="0"/>
  </r>
  <r>
    <n v="11639"/>
    <x v="1"/>
    <n v="4"/>
    <n v="345"/>
    <s v="No"/>
    <x v="0"/>
    <x v="0"/>
    <n v="0"/>
  </r>
  <r>
    <n v="19692"/>
    <x v="0"/>
    <n v="7"/>
    <n v="447"/>
    <s v="No"/>
    <x v="1"/>
    <x v="2"/>
    <n v="0"/>
  </r>
  <r>
    <n v="12221"/>
    <x v="1"/>
    <n v="1"/>
    <n v="225"/>
    <s v="No"/>
    <x v="0"/>
    <x v="2"/>
    <n v="0"/>
  </r>
  <r>
    <n v="19460"/>
    <x v="1"/>
    <n v="2"/>
    <n v="49"/>
    <s v="No"/>
    <x v="0"/>
    <x v="0"/>
    <n v="0"/>
  </r>
  <r>
    <n v="19347"/>
    <x v="1"/>
    <n v="13"/>
    <n v="150"/>
    <s v="No"/>
    <x v="1"/>
    <x v="2"/>
    <n v="0"/>
  </r>
  <r>
    <n v="14656"/>
    <x v="0"/>
    <n v="13"/>
    <n v="174"/>
    <s v="No"/>
    <x v="1"/>
    <x v="2"/>
    <n v="0"/>
  </r>
  <r>
    <n v="10788"/>
    <x v="1"/>
    <n v="8"/>
    <n v="384"/>
    <s v="No"/>
    <x v="1"/>
    <x v="2"/>
    <n v="0"/>
  </r>
  <r>
    <n v="13025"/>
    <x v="1"/>
    <n v="13"/>
    <n v="189"/>
    <s v="No"/>
    <x v="0"/>
    <x v="0"/>
    <n v="0"/>
  </r>
  <r>
    <n v="15534"/>
    <x v="0"/>
    <n v="12"/>
    <n v="311"/>
    <s v="No"/>
    <x v="1"/>
    <x v="3"/>
    <n v="0"/>
  </r>
  <r>
    <n v="10410"/>
    <x v="1"/>
    <n v="8"/>
    <n v="291"/>
    <s v="No"/>
    <x v="0"/>
    <x v="2"/>
    <n v="0"/>
  </r>
  <r>
    <n v="12010"/>
    <x v="1"/>
    <n v="9"/>
    <n v="67"/>
    <s v="No"/>
    <x v="1"/>
    <x v="0"/>
    <n v="0"/>
  </r>
  <r>
    <n v="19264"/>
    <x v="1"/>
    <n v="12"/>
    <n v="70"/>
    <s v="No"/>
    <x v="1"/>
    <x v="2"/>
    <n v="0"/>
  </r>
  <r>
    <n v="17257"/>
    <x v="1"/>
    <n v="8"/>
    <n v="262"/>
    <s v="No"/>
    <x v="1"/>
    <x v="1"/>
    <n v="0"/>
  </r>
  <r>
    <n v="11221"/>
    <x v="0"/>
    <n v="4"/>
    <n v="315"/>
    <s v="No"/>
    <x v="1"/>
    <x v="2"/>
    <n v="0"/>
  </r>
  <r>
    <n v="13116"/>
    <x v="1"/>
    <n v="14"/>
    <n v="139"/>
    <s v="No"/>
    <x v="0"/>
    <x v="1"/>
    <n v="0"/>
  </r>
  <r>
    <n v="17722"/>
    <x v="0"/>
    <n v="9"/>
    <n v="173"/>
    <s v="No"/>
    <x v="1"/>
    <x v="1"/>
    <n v="0"/>
  </r>
  <r>
    <n v="18192"/>
    <x v="1"/>
    <n v="1"/>
    <n v="305"/>
    <s v="No"/>
    <x v="0"/>
    <x v="1"/>
    <n v="0"/>
  </r>
  <r>
    <n v="16757"/>
    <x v="0"/>
    <n v="5"/>
    <n v="409"/>
    <s v="No"/>
    <x v="1"/>
    <x v="3"/>
    <n v="0"/>
  </r>
  <r>
    <n v="17014"/>
    <x v="0"/>
    <n v="14"/>
    <n v="403"/>
    <s v="No"/>
    <x v="1"/>
    <x v="0"/>
    <n v="0"/>
  </r>
  <r>
    <n v="15849"/>
    <x v="0"/>
    <n v="4"/>
    <n v="312"/>
    <s v="No"/>
    <x v="0"/>
    <x v="1"/>
    <n v="0"/>
  </r>
  <r>
    <n v="14654"/>
    <x v="1"/>
    <n v="1"/>
    <n v="384"/>
    <s v="No"/>
    <x v="0"/>
    <x v="1"/>
    <n v="0"/>
  </r>
  <r>
    <n v="13496"/>
    <x v="1"/>
    <n v="13"/>
    <n v="266"/>
    <s v="No"/>
    <x v="1"/>
    <x v="3"/>
    <n v="0"/>
  </r>
  <r>
    <n v="19792"/>
    <x v="1"/>
    <n v="6"/>
    <n v="71"/>
    <s v="No"/>
    <x v="0"/>
    <x v="1"/>
    <n v="0"/>
  </r>
  <r>
    <n v="16632"/>
    <x v="1"/>
    <n v="5"/>
    <n v="352"/>
    <s v="No"/>
    <x v="0"/>
    <x v="2"/>
    <n v="0"/>
  </r>
  <r>
    <n v="13010"/>
    <x v="0"/>
    <n v="12"/>
    <n v="216"/>
    <s v="No"/>
    <x v="1"/>
    <x v="0"/>
    <n v="0"/>
  </r>
  <r>
    <n v="15903"/>
    <x v="1"/>
    <n v="11"/>
    <n v="197"/>
    <s v="No"/>
    <x v="1"/>
    <x v="2"/>
    <n v="0"/>
  </r>
  <r>
    <n v="17964"/>
    <x v="0"/>
    <n v="5"/>
    <n v="349"/>
    <s v="No"/>
    <x v="1"/>
    <x v="0"/>
    <n v="0"/>
  </r>
  <r>
    <n v="11636"/>
    <x v="1"/>
    <n v="6"/>
    <n v="447"/>
    <s v="No"/>
    <x v="0"/>
    <x v="0"/>
    <n v="0"/>
  </r>
  <r>
    <n v="12191"/>
    <x v="0"/>
    <n v="5"/>
    <n v="355"/>
    <s v="No"/>
    <x v="1"/>
    <x v="3"/>
    <n v="0"/>
  </r>
  <r>
    <n v="12406"/>
    <x v="0"/>
    <n v="11"/>
    <n v="365"/>
    <s v="No"/>
    <x v="0"/>
    <x v="0"/>
    <n v="0"/>
  </r>
  <r>
    <n v="11734"/>
    <x v="0"/>
    <n v="6"/>
    <n v="67"/>
    <s v="No"/>
    <x v="0"/>
    <x v="2"/>
    <n v="0"/>
  </r>
  <r>
    <n v="11477"/>
    <x v="0"/>
    <n v="7"/>
    <n v="112"/>
    <s v="Yes"/>
    <x v="1"/>
    <x v="2"/>
    <n v="1"/>
  </r>
  <r>
    <n v="15141"/>
    <x v="1"/>
    <n v="13"/>
    <n v="157"/>
    <s v="No"/>
    <x v="0"/>
    <x v="0"/>
    <n v="0"/>
  </r>
  <r>
    <n v="17886"/>
    <x v="0"/>
    <n v="1"/>
    <n v="77"/>
    <s v="No"/>
    <x v="1"/>
    <x v="0"/>
    <n v="0"/>
  </r>
  <r>
    <n v="11123"/>
    <x v="1"/>
    <n v="5"/>
    <n v="370"/>
    <s v="No"/>
    <x v="1"/>
    <x v="2"/>
    <n v="0"/>
  </r>
  <r>
    <n v="18881"/>
    <x v="1"/>
    <n v="13"/>
    <n v="237"/>
    <s v="No"/>
    <x v="1"/>
    <x v="3"/>
    <n v="0"/>
  </r>
  <r>
    <n v="19189"/>
    <x v="1"/>
    <n v="4"/>
    <n v="93"/>
    <s v="No"/>
    <x v="1"/>
    <x v="0"/>
    <n v="0"/>
  </r>
  <r>
    <n v="16747"/>
    <x v="0"/>
    <n v="11"/>
    <n v="437"/>
    <s v="No"/>
    <x v="1"/>
    <x v="3"/>
    <n v="0"/>
  </r>
  <r>
    <n v="12845"/>
    <x v="0"/>
    <n v="1"/>
    <n v="109"/>
    <s v="No"/>
    <x v="1"/>
    <x v="2"/>
    <n v="0"/>
  </r>
  <r>
    <n v="18171"/>
    <x v="0"/>
    <n v="7"/>
    <n v="201"/>
    <s v="No"/>
    <x v="1"/>
    <x v="1"/>
    <n v="0"/>
  </r>
  <r>
    <n v="19130"/>
    <x v="0"/>
    <n v="7"/>
    <n v="247"/>
    <s v="No"/>
    <x v="1"/>
    <x v="0"/>
    <n v="0"/>
  </r>
  <r>
    <n v="13188"/>
    <x v="0"/>
    <n v="12"/>
    <n v="369"/>
    <s v="No"/>
    <x v="0"/>
    <x v="0"/>
    <n v="0"/>
  </r>
  <r>
    <n v="12186"/>
    <x v="0"/>
    <n v="7"/>
    <n v="369"/>
    <s v="No"/>
    <x v="1"/>
    <x v="2"/>
    <n v="0"/>
  </r>
  <r>
    <n v="17011"/>
    <x v="0"/>
    <n v="11"/>
    <n v="244"/>
    <s v="No"/>
    <x v="0"/>
    <x v="1"/>
    <n v="0"/>
  </r>
  <r>
    <n v="16828"/>
    <x v="0"/>
    <n v="5"/>
    <n v="57"/>
    <s v="No"/>
    <x v="1"/>
    <x v="3"/>
    <n v="0"/>
  </r>
  <r>
    <n v="11111"/>
    <x v="0"/>
    <n v="8"/>
    <n v="253"/>
    <s v="No"/>
    <x v="0"/>
    <x v="1"/>
    <n v="0"/>
  </r>
  <r>
    <n v="19707"/>
    <x v="1"/>
    <n v="1"/>
    <n v="392"/>
    <s v="No"/>
    <x v="0"/>
    <x v="1"/>
    <n v="0"/>
  </r>
  <r>
    <n v="19270"/>
    <x v="1"/>
    <n v="6"/>
    <n v="397"/>
    <s v="No"/>
    <x v="0"/>
    <x v="0"/>
    <n v="0"/>
  </r>
  <r>
    <n v="15153"/>
    <x v="1"/>
    <n v="7"/>
    <n v="243"/>
    <s v="No"/>
    <x v="1"/>
    <x v="3"/>
    <n v="0"/>
  </r>
  <r>
    <n v="11606"/>
    <x v="0"/>
    <n v="7"/>
    <n v="385"/>
    <s v="No"/>
    <x v="0"/>
    <x v="2"/>
    <n v="0"/>
  </r>
  <r>
    <n v="12485"/>
    <x v="0"/>
    <n v="11"/>
    <n v="379"/>
    <s v="No"/>
    <x v="1"/>
    <x v="2"/>
    <n v="0"/>
  </r>
  <r>
    <n v="15381"/>
    <x v="1"/>
    <n v="14"/>
    <n v="349"/>
    <s v="No"/>
    <x v="0"/>
    <x v="1"/>
    <n v="0"/>
  </r>
  <r>
    <n v="12995"/>
    <x v="1"/>
    <n v="14"/>
    <n v="282"/>
    <s v="No"/>
    <x v="0"/>
    <x v="1"/>
    <n v="0"/>
  </r>
  <r>
    <n v="19814"/>
    <x v="1"/>
    <n v="6"/>
    <n v="230"/>
    <s v="No"/>
    <x v="0"/>
    <x v="0"/>
    <n v="0"/>
  </r>
  <r>
    <n v="19360"/>
    <x v="1"/>
    <n v="4"/>
    <n v="148"/>
    <s v="No"/>
    <x v="1"/>
    <x v="1"/>
    <n v="0"/>
  </r>
  <r>
    <n v="16493"/>
    <x v="1"/>
    <n v="12"/>
    <n v="336"/>
    <s v="No"/>
    <x v="1"/>
    <x v="2"/>
    <n v="0"/>
  </r>
  <r>
    <n v="12152"/>
    <x v="0"/>
    <n v="5"/>
    <n v="428"/>
    <s v="Yes"/>
    <x v="0"/>
    <x v="2"/>
    <n v="1"/>
  </r>
  <r>
    <n v="13764"/>
    <x v="1"/>
    <n v="5"/>
    <n v="250"/>
    <s v="No"/>
    <x v="1"/>
    <x v="3"/>
    <n v="0"/>
  </r>
  <r>
    <n v="15819"/>
    <x v="0"/>
    <n v="1"/>
    <n v="152"/>
    <s v="No"/>
    <x v="0"/>
    <x v="0"/>
    <n v="0"/>
  </r>
  <r>
    <n v="14490"/>
    <x v="1"/>
    <n v="4"/>
    <n v="436"/>
    <s v="No"/>
    <x v="0"/>
    <x v="0"/>
    <n v="0"/>
  </r>
  <r>
    <n v="13111"/>
    <x v="1"/>
    <n v="8"/>
    <n v="404"/>
    <s v="No"/>
    <x v="1"/>
    <x v="2"/>
    <n v="0"/>
  </r>
  <r>
    <n v="10972"/>
    <x v="1"/>
    <n v="13"/>
    <n v="423"/>
    <s v="No"/>
    <x v="1"/>
    <x v="2"/>
    <n v="0"/>
  </r>
  <r>
    <n v="14458"/>
    <x v="1"/>
    <n v="12"/>
    <n v="144"/>
    <s v="No"/>
    <x v="0"/>
    <x v="1"/>
    <n v="0"/>
  </r>
  <r>
    <n v="19018"/>
    <x v="1"/>
    <n v="1"/>
    <n v="234"/>
    <s v="No"/>
    <x v="0"/>
    <x v="0"/>
    <n v="0"/>
  </r>
  <r>
    <n v="17642"/>
    <x v="1"/>
    <n v="9"/>
    <n v="409"/>
    <s v="No"/>
    <x v="0"/>
    <x v="0"/>
    <n v="0"/>
  </r>
  <r>
    <n v="12996"/>
    <x v="1"/>
    <n v="10"/>
    <n v="420"/>
    <s v="No"/>
    <x v="1"/>
    <x v="1"/>
    <n v="0"/>
  </r>
  <r>
    <n v="12542"/>
    <x v="0"/>
    <n v="8"/>
    <n v="216"/>
    <s v="No"/>
    <x v="0"/>
    <x v="3"/>
    <n v="0"/>
  </r>
  <r>
    <n v="14330"/>
    <x v="0"/>
    <n v="7"/>
    <n v="101"/>
    <s v="No"/>
    <x v="0"/>
    <x v="1"/>
    <n v="0"/>
  </r>
  <r>
    <n v="14790"/>
    <x v="1"/>
    <n v="10"/>
    <n v="137"/>
    <s v="No"/>
    <x v="0"/>
    <x v="0"/>
    <n v="0"/>
  </r>
  <r>
    <n v="10339"/>
    <x v="0"/>
    <n v="13"/>
    <n v="208"/>
    <s v="No"/>
    <x v="0"/>
    <x v="2"/>
    <n v="0"/>
  </r>
  <r>
    <n v="10422"/>
    <x v="1"/>
    <n v="6"/>
    <n v="137"/>
    <s v="No"/>
    <x v="1"/>
    <x v="0"/>
    <n v="0"/>
  </r>
  <r>
    <n v="11292"/>
    <x v="1"/>
    <n v="7"/>
    <n v="344"/>
    <s v="No"/>
    <x v="1"/>
    <x v="0"/>
    <n v="0"/>
  </r>
  <r>
    <n v="12543"/>
    <x v="0"/>
    <n v="12"/>
    <n v="305"/>
    <s v="No"/>
    <x v="0"/>
    <x v="3"/>
    <n v="0"/>
  </r>
  <r>
    <n v="14707"/>
    <x v="1"/>
    <n v="2"/>
    <n v="42"/>
    <s v="No"/>
    <x v="1"/>
    <x v="0"/>
    <n v="0"/>
  </r>
  <r>
    <n v="13065"/>
    <x v="1"/>
    <n v="4"/>
    <n v="297"/>
    <s v="No"/>
    <x v="0"/>
    <x v="3"/>
    <n v="0"/>
  </r>
  <r>
    <n v="13366"/>
    <x v="0"/>
    <n v="5"/>
    <n v="99"/>
    <s v="Yes"/>
    <x v="1"/>
    <x v="3"/>
    <n v="1"/>
  </r>
  <r>
    <n v="16166"/>
    <x v="1"/>
    <n v="11"/>
    <n v="330"/>
    <s v="No"/>
    <x v="0"/>
    <x v="3"/>
    <n v="0"/>
  </r>
  <r>
    <n v="14675"/>
    <x v="0"/>
    <n v="7"/>
    <n v="101"/>
    <s v="No"/>
    <x v="1"/>
    <x v="2"/>
    <n v="0"/>
  </r>
  <r>
    <n v="18035"/>
    <x v="1"/>
    <n v="10"/>
    <n v="208"/>
    <s v="No"/>
    <x v="0"/>
    <x v="1"/>
    <n v="0"/>
  </r>
  <r>
    <n v="16538"/>
    <x v="0"/>
    <n v="4"/>
    <n v="381"/>
    <s v="No"/>
    <x v="0"/>
    <x v="0"/>
    <n v="0"/>
  </r>
  <r>
    <n v="10508"/>
    <x v="0"/>
    <n v="6"/>
    <n v="263"/>
    <s v="No"/>
    <x v="0"/>
    <x v="3"/>
    <n v="0"/>
  </r>
  <r>
    <n v="11135"/>
    <x v="0"/>
    <n v="7"/>
    <n v="79"/>
    <s v="Yes"/>
    <x v="1"/>
    <x v="2"/>
    <n v="1"/>
  </r>
  <r>
    <n v="11950"/>
    <x v="0"/>
    <n v="7"/>
    <n v="312"/>
    <s v="No"/>
    <x v="0"/>
    <x v="0"/>
    <n v="0"/>
  </r>
  <r>
    <n v="17266"/>
    <x v="0"/>
    <n v="9"/>
    <n v="131"/>
    <s v="No"/>
    <x v="0"/>
    <x v="0"/>
    <n v="0"/>
  </r>
  <r>
    <n v="14287"/>
    <x v="1"/>
    <n v="7"/>
    <n v="357"/>
    <s v="No"/>
    <x v="1"/>
    <x v="0"/>
    <n v="0"/>
  </r>
  <r>
    <n v="19398"/>
    <x v="0"/>
    <n v="2"/>
    <n v="106"/>
    <s v="No"/>
    <x v="0"/>
    <x v="1"/>
    <n v="0"/>
  </r>
  <r>
    <n v="16738"/>
    <x v="1"/>
    <n v="6"/>
    <n v="136"/>
    <s v="No"/>
    <x v="0"/>
    <x v="2"/>
    <n v="0"/>
  </r>
  <r>
    <n v="12851"/>
    <x v="1"/>
    <n v="1"/>
    <n v="304"/>
    <s v="No"/>
    <x v="0"/>
    <x v="1"/>
    <n v="0"/>
  </r>
  <r>
    <n v="12857"/>
    <x v="1"/>
    <n v="13"/>
    <n v="421"/>
    <s v="No"/>
    <x v="1"/>
    <x v="2"/>
    <n v="0"/>
  </r>
  <r>
    <n v="12073"/>
    <x v="1"/>
    <n v="5"/>
    <n v="157"/>
    <s v="No"/>
    <x v="1"/>
    <x v="3"/>
    <n v="0"/>
  </r>
  <r>
    <n v="18856"/>
    <x v="0"/>
    <n v="10"/>
    <n v="127"/>
    <s v="No"/>
    <x v="1"/>
    <x v="1"/>
    <n v="0"/>
  </r>
  <r>
    <n v="18240"/>
    <x v="1"/>
    <n v="13"/>
    <n v="122"/>
    <s v="No"/>
    <x v="1"/>
    <x v="2"/>
    <n v="0"/>
  </r>
  <r>
    <n v="10428"/>
    <x v="0"/>
    <n v="4"/>
    <n v="347"/>
    <s v="No"/>
    <x v="0"/>
    <x v="1"/>
    <n v="0"/>
  </r>
  <r>
    <n v="19252"/>
    <x v="1"/>
    <n v="2"/>
    <n v="126"/>
    <s v="No"/>
    <x v="1"/>
    <x v="2"/>
    <n v="0"/>
  </r>
  <r>
    <n v="11391"/>
    <x v="0"/>
    <n v="5"/>
    <n v="52"/>
    <s v="No"/>
    <x v="1"/>
    <x v="1"/>
    <n v="0"/>
  </r>
  <r>
    <n v="14442"/>
    <x v="0"/>
    <n v="7"/>
    <n v="401"/>
    <s v="No"/>
    <x v="1"/>
    <x v="1"/>
    <n v="0"/>
  </r>
  <r>
    <n v="19608"/>
    <x v="1"/>
    <n v="2"/>
    <n v="438"/>
    <s v="No"/>
    <x v="1"/>
    <x v="2"/>
    <n v="0"/>
  </r>
  <r>
    <n v="17039"/>
    <x v="0"/>
    <n v="6"/>
    <n v="225"/>
    <s v="No"/>
    <x v="1"/>
    <x v="1"/>
    <n v="0"/>
  </r>
  <r>
    <n v="15427"/>
    <x v="1"/>
    <n v="4"/>
    <n v="128"/>
    <s v="No"/>
    <x v="1"/>
    <x v="1"/>
    <n v="0"/>
  </r>
  <r>
    <n v="16465"/>
    <x v="0"/>
    <n v="8"/>
    <n v="423"/>
    <s v="No"/>
    <x v="0"/>
    <x v="3"/>
    <n v="0"/>
  </r>
  <r>
    <n v="10582"/>
    <x v="0"/>
    <n v="2"/>
    <n v="93"/>
    <s v="No"/>
    <x v="1"/>
    <x v="3"/>
    <n v="0"/>
  </r>
  <r>
    <n v="12134"/>
    <x v="0"/>
    <n v="1"/>
    <n v="347"/>
    <s v="No"/>
    <x v="0"/>
    <x v="1"/>
    <n v="0"/>
  </r>
  <r>
    <n v="17490"/>
    <x v="0"/>
    <n v="4"/>
    <n v="122"/>
    <s v="No"/>
    <x v="1"/>
    <x v="2"/>
    <n v="0"/>
  </r>
  <r>
    <n v="16223"/>
    <x v="0"/>
    <n v="5"/>
    <n v="59"/>
    <s v="No"/>
    <x v="0"/>
    <x v="2"/>
    <n v="0"/>
  </r>
  <r>
    <n v="10688"/>
    <x v="0"/>
    <n v="13"/>
    <n v="137"/>
    <s v="No"/>
    <x v="1"/>
    <x v="2"/>
    <n v="0"/>
  </r>
  <r>
    <n v="16551"/>
    <x v="1"/>
    <n v="12"/>
    <n v="156"/>
    <s v="No"/>
    <x v="1"/>
    <x v="1"/>
    <n v="0"/>
  </r>
  <r>
    <n v="19075"/>
    <x v="0"/>
    <n v="9"/>
    <n v="246"/>
    <s v="Yes"/>
    <x v="1"/>
    <x v="2"/>
    <n v="1"/>
  </r>
  <r>
    <n v="16526"/>
    <x v="0"/>
    <n v="5"/>
    <n v="320"/>
    <s v="No"/>
    <x v="0"/>
    <x v="0"/>
    <n v="0"/>
  </r>
  <r>
    <n v="18453"/>
    <x v="1"/>
    <n v="9"/>
    <n v="207"/>
    <s v="No"/>
    <x v="1"/>
    <x v="3"/>
    <n v="0"/>
  </r>
  <r>
    <n v="19539"/>
    <x v="1"/>
    <n v="5"/>
    <n v="267"/>
    <s v="No"/>
    <x v="0"/>
    <x v="1"/>
    <n v="0"/>
  </r>
  <r>
    <n v="13578"/>
    <x v="1"/>
    <n v="12"/>
    <n v="376"/>
    <s v="No"/>
    <x v="0"/>
    <x v="3"/>
    <n v="0"/>
  </r>
  <r>
    <n v="19277"/>
    <x v="1"/>
    <n v="3"/>
    <n v="45"/>
    <s v="No"/>
    <x v="0"/>
    <x v="1"/>
    <n v="0"/>
  </r>
  <r>
    <n v="11376"/>
    <x v="1"/>
    <n v="5"/>
    <n v="75"/>
    <s v="No"/>
    <x v="1"/>
    <x v="1"/>
    <n v="0"/>
  </r>
  <r>
    <n v="12068"/>
    <x v="0"/>
    <n v="2"/>
    <n v="366"/>
    <s v="No"/>
    <x v="1"/>
    <x v="2"/>
    <n v="0"/>
  </r>
  <r>
    <n v="11329"/>
    <x v="0"/>
    <n v="9"/>
    <n v="416"/>
    <s v="No"/>
    <x v="0"/>
    <x v="3"/>
    <n v="0"/>
  </r>
  <r>
    <n v="16241"/>
    <x v="0"/>
    <n v="9"/>
    <n v="346"/>
    <s v="No"/>
    <x v="0"/>
    <x v="0"/>
    <n v="0"/>
  </r>
  <r>
    <n v="17892"/>
    <x v="0"/>
    <n v="5"/>
    <n v="49"/>
    <s v="No"/>
    <x v="1"/>
    <x v="1"/>
    <n v="0"/>
  </r>
  <r>
    <n v="17223"/>
    <x v="1"/>
    <n v="12"/>
    <n v="223"/>
    <s v="No"/>
    <x v="0"/>
    <x v="2"/>
    <n v="0"/>
  </r>
  <r>
    <n v="12026"/>
    <x v="1"/>
    <n v="2"/>
    <n v="223"/>
    <s v="No"/>
    <x v="0"/>
    <x v="2"/>
    <n v="0"/>
  </r>
  <r>
    <n v="19477"/>
    <x v="0"/>
    <n v="10"/>
    <n v="129"/>
    <s v="No"/>
    <x v="0"/>
    <x v="2"/>
    <n v="0"/>
  </r>
  <r>
    <n v="13382"/>
    <x v="0"/>
    <n v="13"/>
    <n v="382"/>
    <s v="No"/>
    <x v="1"/>
    <x v="2"/>
    <n v="0"/>
  </r>
  <r>
    <n v="15832"/>
    <x v="0"/>
    <n v="10"/>
    <n v="198"/>
    <s v="Yes"/>
    <x v="0"/>
    <x v="2"/>
    <n v="1"/>
  </r>
  <r>
    <n v="17393"/>
    <x v="0"/>
    <n v="11"/>
    <n v="236"/>
    <s v="No"/>
    <x v="1"/>
    <x v="1"/>
    <n v="0"/>
  </r>
  <r>
    <n v="15091"/>
    <x v="1"/>
    <n v="10"/>
    <n v="226"/>
    <s v="No"/>
    <x v="1"/>
    <x v="0"/>
    <n v="0"/>
  </r>
  <r>
    <n v="16091"/>
    <x v="0"/>
    <n v="4"/>
    <n v="117"/>
    <s v="No"/>
    <x v="1"/>
    <x v="2"/>
    <n v="0"/>
  </r>
  <r>
    <n v="16966"/>
    <x v="0"/>
    <n v="9"/>
    <n v="138"/>
    <s v="No"/>
    <x v="1"/>
    <x v="3"/>
    <n v="0"/>
  </r>
  <r>
    <n v="16011"/>
    <x v="0"/>
    <n v="11"/>
    <n v="402"/>
    <s v="No"/>
    <x v="1"/>
    <x v="1"/>
    <n v="0"/>
  </r>
  <r>
    <n v="10176"/>
    <x v="1"/>
    <n v="1"/>
    <n v="372"/>
    <s v="No"/>
    <x v="0"/>
    <x v="0"/>
    <n v="0"/>
  </r>
  <r>
    <n v="16477"/>
    <x v="1"/>
    <n v="12"/>
    <n v="164"/>
    <s v="No"/>
    <x v="1"/>
    <x v="2"/>
    <n v="0"/>
  </r>
  <r>
    <n v="15822"/>
    <x v="1"/>
    <n v="1"/>
    <n v="251"/>
    <s v="No"/>
    <x v="0"/>
    <x v="0"/>
    <n v="0"/>
  </r>
  <r>
    <n v="13964"/>
    <x v="0"/>
    <n v="9"/>
    <n v="88"/>
    <s v="No"/>
    <x v="1"/>
    <x v="3"/>
    <n v="0"/>
  </r>
  <r>
    <n v="19328"/>
    <x v="1"/>
    <n v="8"/>
    <n v="307"/>
    <s v="No"/>
    <x v="0"/>
    <x v="3"/>
    <n v="0"/>
  </r>
  <r>
    <n v="18950"/>
    <x v="0"/>
    <n v="12"/>
    <n v="370"/>
    <s v="No"/>
    <x v="1"/>
    <x v="3"/>
    <n v="0"/>
  </r>
  <r>
    <n v="13600"/>
    <x v="1"/>
    <n v="5"/>
    <n v="75"/>
    <s v="No"/>
    <x v="0"/>
    <x v="2"/>
    <n v="0"/>
  </r>
  <r>
    <n v="17501"/>
    <x v="1"/>
    <n v="8"/>
    <n v="118"/>
    <s v="No"/>
    <x v="0"/>
    <x v="3"/>
    <n v="0"/>
  </r>
  <r>
    <n v="18781"/>
    <x v="0"/>
    <n v="6"/>
    <n v="337"/>
    <s v="Yes"/>
    <x v="1"/>
    <x v="2"/>
    <n v="1"/>
  </r>
  <r>
    <n v="19273"/>
    <x v="0"/>
    <n v="9"/>
    <n v="298"/>
    <s v="No"/>
    <x v="0"/>
    <x v="0"/>
    <n v="0"/>
  </r>
  <r>
    <n v="19724"/>
    <x v="0"/>
    <n v="12"/>
    <n v="265"/>
    <s v="No"/>
    <x v="1"/>
    <x v="3"/>
    <n v="0"/>
  </r>
  <r>
    <n v="18557"/>
    <x v="1"/>
    <n v="12"/>
    <n v="235"/>
    <s v="No"/>
    <x v="1"/>
    <x v="1"/>
    <n v="0"/>
  </r>
  <r>
    <n v="16239"/>
    <x v="1"/>
    <n v="13"/>
    <n v="312"/>
    <s v="No"/>
    <x v="0"/>
    <x v="1"/>
    <n v="0"/>
  </r>
  <r>
    <n v="13013"/>
    <x v="1"/>
    <n v="11"/>
    <n v="187"/>
    <s v="No"/>
    <x v="0"/>
    <x v="3"/>
    <n v="0"/>
  </r>
  <r>
    <n v="19482"/>
    <x v="0"/>
    <n v="14"/>
    <n v="383"/>
    <s v="No"/>
    <x v="1"/>
    <x v="3"/>
    <n v="0"/>
  </r>
  <r>
    <n v="14325"/>
    <x v="0"/>
    <n v="5"/>
    <n v="433"/>
    <s v="Yes"/>
    <x v="0"/>
    <x v="0"/>
    <n v="1"/>
  </r>
  <r>
    <n v="11097"/>
    <x v="1"/>
    <n v="9"/>
    <n v="435"/>
    <s v="No"/>
    <x v="0"/>
    <x v="3"/>
    <n v="0"/>
  </r>
  <r>
    <n v="13566"/>
    <x v="0"/>
    <n v="14"/>
    <n v="117"/>
    <s v="No"/>
    <x v="1"/>
    <x v="1"/>
    <n v="0"/>
  </r>
  <r>
    <n v="17386"/>
    <x v="1"/>
    <n v="11"/>
    <n v="230"/>
    <s v="No"/>
    <x v="1"/>
    <x v="1"/>
    <n v="0"/>
  </r>
  <r>
    <n v="12546"/>
    <x v="1"/>
    <n v="13"/>
    <n v="322"/>
    <s v="No"/>
    <x v="0"/>
    <x v="0"/>
    <n v="0"/>
  </r>
  <r>
    <n v="15480"/>
    <x v="1"/>
    <n v="14"/>
    <n v="118"/>
    <s v="No"/>
    <x v="0"/>
    <x v="3"/>
    <n v="0"/>
  </r>
  <r>
    <n v="15759"/>
    <x v="1"/>
    <n v="11"/>
    <n v="114"/>
    <s v="No"/>
    <x v="0"/>
    <x v="1"/>
    <n v="0"/>
  </r>
  <r>
    <n v="15690"/>
    <x v="0"/>
    <n v="12"/>
    <n v="274"/>
    <s v="No"/>
    <x v="1"/>
    <x v="3"/>
    <n v="0"/>
  </r>
  <r>
    <n v="15525"/>
    <x v="1"/>
    <n v="14"/>
    <n v="322"/>
    <s v="No"/>
    <x v="1"/>
    <x v="0"/>
    <n v="0"/>
  </r>
  <r>
    <n v="17464"/>
    <x v="1"/>
    <n v="1"/>
    <n v="225"/>
    <s v="No"/>
    <x v="1"/>
    <x v="2"/>
    <n v="0"/>
  </r>
  <r>
    <n v="19345"/>
    <x v="0"/>
    <n v="3"/>
    <n v="40"/>
    <s v="No"/>
    <x v="0"/>
    <x v="2"/>
    <n v="0"/>
  </r>
  <r>
    <n v="10968"/>
    <x v="0"/>
    <n v="14"/>
    <n v="186"/>
    <s v="No"/>
    <x v="1"/>
    <x v="0"/>
    <n v="0"/>
  </r>
  <r>
    <n v="15880"/>
    <x v="0"/>
    <n v="11"/>
    <n v="65"/>
    <s v="No"/>
    <x v="0"/>
    <x v="1"/>
    <n v="0"/>
  </r>
  <r>
    <n v="14955"/>
    <x v="1"/>
    <n v="8"/>
    <n v="378"/>
    <s v="No"/>
    <x v="1"/>
    <x v="3"/>
    <n v="0"/>
  </r>
  <r>
    <n v="17151"/>
    <x v="1"/>
    <n v="7"/>
    <n v="301"/>
    <s v="No"/>
    <x v="0"/>
    <x v="2"/>
    <n v="0"/>
  </r>
  <r>
    <n v="10421"/>
    <x v="0"/>
    <n v="7"/>
    <n v="275"/>
    <s v="No"/>
    <x v="1"/>
    <x v="1"/>
    <n v="0"/>
  </r>
  <r>
    <n v="11282"/>
    <x v="0"/>
    <n v="2"/>
    <n v="59"/>
    <s v="No"/>
    <x v="0"/>
    <x v="0"/>
    <n v="0"/>
  </r>
  <r>
    <n v="19880"/>
    <x v="1"/>
    <n v="5"/>
    <n v="373"/>
    <s v="No"/>
    <x v="0"/>
    <x v="2"/>
    <n v="0"/>
  </r>
  <r>
    <n v="10104"/>
    <x v="1"/>
    <n v="1"/>
    <n v="256"/>
    <s v="No"/>
    <x v="0"/>
    <x v="2"/>
    <n v="0"/>
  </r>
  <r>
    <n v="18501"/>
    <x v="0"/>
    <n v="5"/>
    <n v="354"/>
    <s v="Yes"/>
    <x v="1"/>
    <x v="1"/>
    <n v="1"/>
  </r>
  <r>
    <n v="14453"/>
    <x v="0"/>
    <n v="2"/>
    <n v="293"/>
    <s v="No"/>
    <x v="1"/>
    <x v="1"/>
    <n v="0"/>
  </r>
  <r>
    <n v="15151"/>
    <x v="1"/>
    <n v="10"/>
    <n v="304"/>
    <s v="No"/>
    <x v="1"/>
    <x v="2"/>
    <n v="0"/>
  </r>
  <r>
    <n v="12416"/>
    <x v="1"/>
    <n v="13"/>
    <n v="354"/>
    <s v="No"/>
    <x v="1"/>
    <x v="1"/>
    <n v="0"/>
  </r>
  <r>
    <n v="16899"/>
    <x v="0"/>
    <n v="11"/>
    <n v="79"/>
    <s v="Yes"/>
    <x v="1"/>
    <x v="3"/>
    <n v="1"/>
  </r>
  <r>
    <n v="12395"/>
    <x v="1"/>
    <n v="5"/>
    <n v="218"/>
    <s v="No"/>
    <x v="1"/>
    <x v="0"/>
    <n v="0"/>
  </r>
  <r>
    <n v="10115"/>
    <x v="1"/>
    <n v="9"/>
    <n v="157"/>
    <s v="No"/>
    <x v="1"/>
    <x v="2"/>
    <n v="0"/>
  </r>
  <r>
    <n v="15328"/>
    <x v="1"/>
    <n v="14"/>
    <n v="73"/>
    <s v="No"/>
    <x v="0"/>
    <x v="1"/>
    <n v="0"/>
  </r>
  <r>
    <n v="14006"/>
    <x v="1"/>
    <n v="5"/>
    <n v="127"/>
    <s v="No"/>
    <x v="1"/>
    <x v="1"/>
    <n v="0"/>
  </r>
  <r>
    <n v="15613"/>
    <x v="0"/>
    <n v="14"/>
    <n v="360"/>
    <s v="Yes"/>
    <x v="1"/>
    <x v="3"/>
    <n v="1"/>
  </r>
  <r>
    <n v="14038"/>
    <x v="1"/>
    <n v="13"/>
    <n v="393"/>
    <s v="No"/>
    <x v="0"/>
    <x v="3"/>
    <n v="0"/>
  </r>
  <r>
    <n v="16237"/>
    <x v="1"/>
    <n v="6"/>
    <n v="106"/>
    <s v="No"/>
    <x v="1"/>
    <x v="0"/>
    <n v="0"/>
  </r>
  <r>
    <n v="19913"/>
    <x v="0"/>
    <n v="13"/>
    <n v="432"/>
    <s v="No"/>
    <x v="0"/>
    <x v="3"/>
    <n v="0"/>
  </r>
  <r>
    <n v="13622"/>
    <x v="1"/>
    <n v="1"/>
    <n v="178"/>
    <s v="No"/>
    <x v="1"/>
    <x v="1"/>
    <n v="0"/>
  </r>
  <r>
    <n v="17237"/>
    <x v="0"/>
    <n v="6"/>
    <n v="436"/>
    <s v="No"/>
    <x v="0"/>
    <x v="3"/>
    <n v="0"/>
  </r>
  <r>
    <n v="11545"/>
    <x v="1"/>
    <n v="1"/>
    <n v="92"/>
    <s v="No"/>
    <x v="0"/>
    <x v="2"/>
    <n v="0"/>
  </r>
  <r>
    <n v="16754"/>
    <x v="0"/>
    <n v="6"/>
    <n v="134"/>
    <s v="Yes"/>
    <x v="0"/>
    <x v="2"/>
    <n v="1"/>
  </r>
  <r>
    <n v="10930"/>
    <x v="0"/>
    <n v="12"/>
    <n v="324"/>
    <s v="No"/>
    <x v="0"/>
    <x v="3"/>
    <n v="0"/>
  </r>
  <r>
    <n v="14430"/>
    <x v="1"/>
    <n v="4"/>
    <n v="120"/>
    <s v="No"/>
    <x v="1"/>
    <x v="0"/>
    <n v="0"/>
  </r>
  <r>
    <n v="15421"/>
    <x v="1"/>
    <n v="11"/>
    <n v="217"/>
    <s v="No"/>
    <x v="0"/>
    <x v="1"/>
    <n v="0"/>
  </r>
  <r>
    <n v="10418"/>
    <x v="0"/>
    <n v="11"/>
    <n v="258"/>
    <s v="Yes"/>
    <x v="0"/>
    <x v="0"/>
    <n v="1"/>
  </r>
  <r>
    <n v="18223"/>
    <x v="1"/>
    <n v="6"/>
    <n v="328"/>
    <s v="No"/>
    <x v="0"/>
    <x v="0"/>
    <n v="0"/>
  </r>
  <r>
    <n v="12188"/>
    <x v="0"/>
    <n v="3"/>
    <n v="140"/>
    <s v="No"/>
    <x v="1"/>
    <x v="0"/>
    <n v="0"/>
  </r>
  <r>
    <n v="18855"/>
    <x v="1"/>
    <n v="12"/>
    <n v="256"/>
    <s v="No"/>
    <x v="1"/>
    <x v="1"/>
    <n v="0"/>
  </r>
  <r>
    <n v="11996"/>
    <x v="0"/>
    <n v="4"/>
    <n v="363"/>
    <s v="No"/>
    <x v="1"/>
    <x v="1"/>
    <n v="0"/>
  </r>
  <r>
    <n v="14262"/>
    <x v="1"/>
    <n v="13"/>
    <n v="252"/>
    <s v="No"/>
    <x v="0"/>
    <x v="2"/>
    <n v="0"/>
  </r>
  <r>
    <n v="18383"/>
    <x v="1"/>
    <n v="13"/>
    <n v="303"/>
    <s v="No"/>
    <x v="1"/>
    <x v="2"/>
    <n v="0"/>
  </r>
  <r>
    <n v="19202"/>
    <x v="0"/>
    <n v="6"/>
    <n v="408"/>
    <s v="No"/>
    <x v="0"/>
    <x v="2"/>
    <n v="0"/>
  </r>
  <r>
    <n v="18979"/>
    <x v="0"/>
    <n v="13"/>
    <n v="43"/>
    <s v="No"/>
    <x v="0"/>
    <x v="3"/>
    <n v="0"/>
  </r>
  <r>
    <n v="15680"/>
    <x v="1"/>
    <n v="2"/>
    <n v="81"/>
    <s v="No"/>
    <x v="1"/>
    <x v="1"/>
    <n v="0"/>
  </r>
  <r>
    <n v="12935"/>
    <x v="1"/>
    <n v="6"/>
    <n v="247"/>
    <s v="No"/>
    <x v="0"/>
    <x v="1"/>
    <n v="0"/>
  </r>
  <r>
    <n v="17538"/>
    <x v="1"/>
    <n v="8"/>
    <n v="205"/>
    <s v="No"/>
    <x v="1"/>
    <x v="1"/>
    <n v="0"/>
  </r>
  <r>
    <n v="16400"/>
    <x v="1"/>
    <n v="1"/>
    <n v="446"/>
    <s v="No"/>
    <x v="0"/>
    <x v="2"/>
    <n v="0"/>
  </r>
  <r>
    <n v="18513"/>
    <x v="1"/>
    <n v="6"/>
    <n v="368"/>
    <s v="No"/>
    <x v="0"/>
    <x v="1"/>
    <n v="0"/>
  </r>
  <r>
    <n v="17562"/>
    <x v="0"/>
    <n v="7"/>
    <n v="377"/>
    <s v="No"/>
    <x v="1"/>
    <x v="3"/>
    <n v="0"/>
  </r>
  <r>
    <n v="12388"/>
    <x v="1"/>
    <n v="14"/>
    <n v="218"/>
    <s v="No"/>
    <x v="1"/>
    <x v="2"/>
    <n v="0"/>
  </r>
  <r>
    <n v="14739"/>
    <x v="1"/>
    <n v="13"/>
    <n v="120"/>
    <s v="No"/>
    <x v="1"/>
    <x v="2"/>
    <n v="0"/>
  </r>
  <r>
    <n v="16409"/>
    <x v="1"/>
    <n v="7"/>
    <n v="372"/>
    <s v="No"/>
    <x v="1"/>
    <x v="2"/>
    <n v="0"/>
  </r>
  <r>
    <n v="11318"/>
    <x v="0"/>
    <n v="1"/>
    <n v="59"/>
    <s v="No"/>
    <x v="0"/>
    <x v="0"/>
    <n v="0"/>
  </r>
  <r>
    <n v="15373"/>
    <x v="1"/>
    <n v="11"/>
    <n v="187"/>
    <s v="No"/>
    <x v="1"/>
    <x v="1"/>
    <n v="0"/>
  </r>
  <r>
    <n v="17614"/>
    <x v="1"/>
    <n v="3"/>
    <n v="395"/>
    <s v="No"/>
    <x v="1"/>
    <x v="0"/>
    <n v="0"/>
  </r>
  <r>
    <n v="12980"/>
    <x v="0"/>
    <n v="6"/>
    <n v="59"/>
    <s v="No"/>
    <x v="0"/>
    <x v="3"/>
    <n v="0"/>
  </r>
  <r>
    <n v="16115"/>
    <x v="1"/>
    <n v="2"/>
    <n v="132"/>
    <s v="No"/>
    <x v="0"/>
    <x v="3"/>
    <n v="0"/>
  </r>
  <r>
    <n v="17848"/>
    <x v="0"/>
    <n v="1"/>
    <n v="150"/>
    <s v="No"/>
    <x v="1"/>
    <x v="2"/>
    <n v="0"/>
  </r>
  <r>
    <n v="17425"/>
    <x v="0"/>
    <n v="4"/>
    <n v="211"/>
    <s v="No"/>
    <x v="0"/>
    <x v="1"/>
    <n v="0"/>
  </r>
  <r>
    <n v="10405"/>
    <x v="1"/>
    <n v="11"/>
    <n v="268"/>
    <s v="No"/>
    <x v="1"/>
    <x v="3"/>
    <n v="0"/>
  </r>
  <r>
    <n v="14461"/>
    <x v="0"/>
    <n v="4"/>
    <n v="408"/>
    <s v="No"/>
    <x v="1"/>
    <x v="2"/>
    <n v="0"/>
  </r>
  <r>
    <n v="14368"/>
    <x v="0"/>
    <n v="6"/>
    <n v="244"/>
    <s v="No"/>
    <x v="0"/>
    <x v="0"/>
    <n v="0"/>
  </r>
  <r>
    <n v="14515"/>
    <x v="1"/>
    <n v="7"/>
    <n v="56"/>
    <s v="No"/>
    <x v="0"/>
    <x v="2"/>
    <n v="0"/>
  </r>
  <r>
    <n v="18619"/>
    <x v="1"/>
    <n v="2"/>
    <n v="66"/>
    <s v="No"/>
    <x v="0"/>
    <x v="1"/>
    <n v="0"/>
  </r>
  <r>
    <n v="14158"/>
    <x v="1"/>
    <n v="2"/>
    <n v="195"/>
    <s v="No"/>
    <x v="1"/>
    <x v="3"/>
    <n v="0"/>
  </r>
  <r>
    <n v="17334"/>
    <x v="0"/>
    <n v="6"/>
    <n v="189"/>
    <s v="No"/>
    <x v="1"/>
    <x v="1"/>
    <n v="0"/>
  </r>
  <r>
    <n v="18393"/>
    <x v="0"/>
    <n v="14"/>
    <n v="343"/>
    <s v="No"/>
    <x v="0"/>
    <x v="3"/>
    <n v="0"/>
  </r>
  <r>
    <n v="11701"/>
    <x v="0"/>
    <n v="6"/>
    <n v="125"/>
    <s v="No"/>
    <x v="1"/>
    <x v="3"/>
    <n v="0"/>
  </r>
  <r>
    <n v="17487"/>
    <x v="1"/>
    <n v="4"/>
    <n v="238"/>
    <s v="No"/>
    <x v="0"/>
    <x v="3"/>
    <n v="0"/>
  </r>
  <r>
    <n v="14703"/>
    <x v="1"/>
    <n v="5"/>
    <n v="82"/>
    <s v="No"/>
    <x v="1"/>
    <x v="0"/>
    <n v="0"/>
  </r>
  <r>
    <n v="11156"/>
    <x v="1"/>
    <n v="11"/>
    <n v="152"/>
    <s v="No"/>
    <x v="0"/>
    <x v="3"/>
    <n v="0"/>
  </r>
  <r>
    <n v="16018"/>
    <x v="0"/>
    <n v="2"/>
    <n v="308"/>
    <s v="No"/>
    <x v="0"/>
    <x v="2"/>
    <n v="0"/>
  </r>
  <r>
    <n v="12321"/>
    <x v="1"/>
    <n v="14"/>
    <n v="83"/>
    <s v="No"/>
    <x v="0"/>
    <x v="1"/>
    <n v="0"/>
  </r>
  <r>
    <n v="11256"/>
    <x v="1"/>
    <n v="11"/>
    <n v="260"/>
    <s v="No"/>
    <x v="0"/>
    <x v="0"/>
    <n v="0"/>
  </r>
  <r>
    <n v="11858"/>
    <x v="1"/>
    <n v="7"/>
    <n v="176"/>
    <s v="No"/>
    <x v="1"/>
    <x v="0"/>
    <n v="0"/>
  </r>
  <r>
    <n v="18514"/>
    <x v="0"/>
    <n v="8"/>
    <n v="51"/>
    <s v="No"/>
    <x v="0"/>
    <x v="2"/>
    <n v="0"/>
  </r>
  <r>
    <n v="19489"/>
    <x v="0"/>
    <n v="14"/>
    <n v="58"/>
    <s v="No"/>
    <x v="0"/>
    <x v="3"/>
    <n v="0"/>
  </r>
  <r>
    <n v="11963"/>
    <x v="1"/>
    <n v="2"/>
    <n v="432"/>
    <s v="No"/>
    <x v="1"/>
    <x v="3"/>
    <n v="0"/>
  </r>
  <r>
    <n v="17810"/>
    <x v="1"/>
    <n v="4"/>
    <n v="326"/>
    <s v="No"/>
    <x v="0"/>
    <x v="3"/>
    <n v="0"/>
  </r>
  <r>
    <n v="15232"/>
    <x v="0"/>
    <n v="10"/>
    <n v="126"/>
    <s v="No"/>
    <x v="1"/>
    <x v="2"/>
    <n v="0"/>
  </r>
  <r>
    <n v="16452"/>
    <x v="0"/>
    <n v="2"/>
    <n v="319"/>
    <s v="No"/>
    <x v="0"/>
    <x v="0"/>
    <n v="0"/>
  </r>
  <r>
    <n v="10463"/>
    <x v="1"/>
    <n v="13"/>
    <n v="249"/>
    <s v="No"/>
    <x v="0"/>
    <x v="2"/>
    <n v="0"/>
  </r>
  <r>
    <n v="19297"/>
    <x v="0"/>
    <n v="10"/>
    <n v="116"/>
    <s v="No"/>
    <x v="1"/>
    <x v="2"/>
    <n v="0"/>
  </r>
  <r>
    <n v="17809"/>
    <x v="1"/>
    <n v="12"/>
    <n v="354"/>
    <s v="No"/>
    <x v="0"/>
    <x v="1"/>
    <n v="0"/>
  </r>
  <r>
    <n v="11791"/>
    <x v="1"/>
    <n v="12"/>
    <n v="150"/>
    <s v="No"/>
    <x v="0"/>
    <x v="1"/>
    <n v="0"/>
  </r>
  <r>
    <n v="15080"/>
    <x v="0"/>
    <n v="9"/>
    <n v="361"/>
    <s v="No"/>
    <x v="1"/>
    <x v="0"/>
    <n v="0"/>
  </r>
  <r>
    <n v="14588"/>
    <x v="0"/>
    <n v="6"/>
    <n v="160"/>
    <s v="No"/>
    <x v="0"/>
    <x v="1"/>
    <n v="0"/>
  </r>
  <r>
    <n v="11169"/>
    <x v="0"/>
    <n v="4"/>
    <n v="167"/>
    <s v="No"/>
    <x v="0"/>
    <x v="2"/>
    <n v="0"/>
  </r>
  <r>
    <n v="19375"/>
    <x v="1"/>
    <n v="11"/>
    <n v="301"/>
    <s v="No"/>
    <x v="0"/>
    <x v="2"/>
    <n v="0"/>
  </r>
  <r>
    <n v="14621"/>
    <x v="1"/>
    <n v="13"/>
    <n v="380"/>
    <s v="No"/>
    <x v="0"/>
    <x v="0"/>
    <n v="0"/>
  </r>
  <r>
    <n v="15230"/>
    <x v="0"/>
    <n v="2"/>
    <n v="442"/>
    <s v="No"/>
    <x v="0"/>
    <x v="2"/>
    <n v="0"/>
  </r>
  <r>
    <n v="13633"/>
    <x v="1"/>
    <n v="2"/>
    <n v="399"/>
    <s v="No"/>
    <x v="0"/>
    <x v="2"/>
    <n v="0"/>
  </r>
  <r>
    <n v="11246"/>
    <x v="1"/>
    <n v="14"/>
    <n v="305"/>
    <s v="No"/>
    <x v="1"/>
    <x v="1"/>
    <n v="0"/>
  </r>
  <r>
    <n v="14326"/>
    <x v="1"/>
    <n v="3"/>
    <n v="196"/>
    <s v="No"/>
    <x v="1"/>
    <x v="1"/>
    <n v="0"/>
  </r>
  <r>
    <n v="19107"/>
    <x v="0"/>
    <n v="14"/>
    <n v="376"/>
    <s v="No"/>
    <x v="1"/>
    <x v="2"/>
    <n v="0"/>
  </r>
  <r>
    <n v="13501"/>
    <x v="0"/>
    <n v="8"/>
    <n v="376"/>
    <s v="No"/>
    <x v="1"/>
    <x v="3"/>
    <n v="0"/>
  </r>
  <r>
    <n v="11368"/>
    <x v="1"/>
    <n v="10"/>
    <n v="364"/>
    <s v="No"/>
    <x v="0"/>
    <x v="1"/>
    <n v="0"/>
  </r>
  <r>
    <n v="17270"/>
    <x v="0"/>
    <n v="14"/>
    <n v="361"/>
    <s v="No"/>
    <x v="1"/>
    <x v="3"/>
    <n v="0"/>
  </r>
  <r>
    <n v="11440"/>
    <x v="0"/>
    <n v="6"/>
    <n v="301"/>
    <s v="No"/>
    <x v="0"/>
    <x v="2"/>
    <n v="0"/>
  </r>
  <r>
    <n v="11267"/>
    <x v="0"/>
    <n v="9"/>
    <n v="160"/>
    <s v="No"/>
    <x v="1"/>
    <x v="0"/>
    <n v="0"/>
  </r>
  <r>
    <n v="17833"/>
    <x v="1"/>
    <n v="5"/>
    <n v="284"/>
    <s v="No"/>
    <x v="1"/>
    <x v="1"/>
    <n v="0"/>
  </r>
  <r>
    <n v="17846"/>
    <x v="1"/>
    <n v="5"/>
    <n v="329"/>
    <s v="Yes"/>
    <x v="1"/>
    <x v="0"/>
    <n v="1"/>
  </r>
  <r>
    <n v="17706"/>
    <x v="0"/>
    <n v="3"/>
    <n v="353"/>
    <s v="No"/>
    <x v="1"/>
    <x v="0"/>
    <n v="0"/>
  </r>
  <r>
    <n v="11000"/>
    <x v="0"/>
    <n v="4"/>
    <n v="194"/>
    <s v="No"/>
    <x v="0"/>
    <x v="2"/>
    <n v="0"/>
  </r>
  <r>
    <n v="19472"/>
    <x v="0"/>
    <n v="11"/>
    <n v="395"/>
    <s v="No"/>
    <x v="1"/>
    <x v="0"/>
    <n v="0"/>
  </r>
  <r>
    <n v="11882"/>
    <x v="0"/>
    <n v="8"/>
    <n v="387"/>
    <s v="No"/>
    <x v="1"/>
    <x v="1"/>
    <n v="0"/>
  </r>
  <r>
    <n v="11660"/>
    <x v="0"/>
    <n v="5"/>
    <n v="259"/>
    <s v="No"/>
    <x v="0"/>
    <x v="2"/>
    <n v="0"/>
  </r>
  <r>
    <n v="16371"/>
    <x v="1"/>
    <n v="3"/>
    <n v="413"/>
    <s v="No"/>
    <x v="0"/>
    <x v="1"/>
    <n v="0"/>
  </r>
  <r>
    <n v="14891"/>
    <x v="0"/>
    <n v="12"/>
    <n v="328"/>
    <s v="No"/>
    <x v="0"/>
    <x v="3"/>
    <n v="0"/>
  </r>
  <r>
    <n v="10199"/>
    <x v="1"/>
    <n v="14"/>
    <n v="295"/>
    <s v="No"/>
    <x v="1"/>
    <x v="2"/>
    <n v="0"/>
  </r>
  <r>
    <n v="15828"/>
    <x v="1"/>
    <n v="7"/>
    <n v="169"/>
    <s v="No"/>
    <x v="0"/>
    <x v="3"/>
    <n v="0"/>
  </r>
  <r>
    <n v="14195"/>
    <x v="1"/>
    <n v="7"/>
    <n v="84"/>
    <s v="No"/>
    <x v="0"/>
    <x v="1"/>
    <n v="0"/>
  </r>
  <r>
    <n v="14529"/>
    <x v="0"/>
    <n v="1"/>
    <n v="277"/>
    <s v="No"/>
    <x v="0"/>
    <x v="1"/>
    <n v="0"/>
  </r>
  <r>
    <n v="17744"/>
    <x v="0"/>
    <n v="1"/>
    <n v="198"/>
    <s v="No"/>
    <x v="0"/>
    <x v="3"/>
    <n v="0"/>
  </r>
  <r>
    <n v="10313"/>
    <x v="1"/>
    <n v="6"/>
    <n v="282"/>
    <s v="No"/>
    <x v="1"/>
    <x v="1"/>
    <n v="0"/>
  </r>
  <r>
    <n v="11795"/>
    <x v="1"/>
    <n v="14"/>
    <n v="235"/>
    <s v="No"/>
    <x v="1"/>
    <x v="3"/>
    <n v="0"/>
  </r>
  <r>
    <n v="13844"/>
    <x v="1"/>
    <n v="6"/>
    <n v="78"/>
    <s v="No"/>
    <x v="1"/>
    <x v="1"/>
    <n v="0"/>
  </r>
  <r>
    <n v="16361"/>
    <x v="1"/>
    <n v="5"/>
    <n v="298"/>
    <s v="No"/>
    <x v="1"/>
    <x v="3"/>
    <n v="0"/>
  </r>
  <r>
    <n v="12880"/>
    <x v="1"/>
    <n v="11"/>
    <n v="338"/>
    <s v="No"/>
    <x v="1"/>
    <x v="0"/>
    <n v="0"/>
  </r>
  <r>
    <n v="18241"/>
    <x v="0"/>
    <n v="14"/>
    <n v="312"/>
    <s v="No"/>
    <x v="0"/>
    <x v="2"/>
    <n v="0"/>
  </r>
  <r>
    <n v="18706"/>
    <x v="0"/>
    <n v="8"/>
    <n v="281"/>
    <s v="No"/>
    <x v="0"/>
    <x v="1"/>
    <n v="0"/>
  </r>
  <r>
    <n v="19674"/>
    <x v="1"/>
    <n v="13"/>
    <n v="432"/>
    <s v="No"/>
    <x v="1"/>
    <x v="2"/>
    <n v="0"/>
  </r>
  <r>
    <n v="10824"/>
    <x v="0"/>
    <n v="12"/>
    <n v="253"/>
    <s v="Yes"/>
    <x v="0"/>
    <x v="3"/>
    <n v="1"/>
  </r>
  <r>
    <n v="15797"/>
    <x v="1"/>
    <n v="4"/>
    <n v="379"/>
    <s v="No"/>
    <x v="0"/>
    <x v="3"/>
    <n v="0"/>
  </r>
  <r>
    <n v="10338"/>
    <x v="1"/>
    <n v="5"/>
    <n v="383"/>
    <s v="No"/>
    <x v="1"/>
    <x v="1"/>
    <n v="0"/>
  </r>
  <r>
    <n v="16619"/>
    <x v="0"/>
    <n v="7"/>
    <n v="384"/>
    <s v="No"/>
    <x v="1"/>
    <x v="3"/>
    <n v="0"/>
  </r>
  <r>
    <n v="10547"/>
    <x v="1"/>
    <n v="3"/>
    <n v="164"/>
    <s v="No"/>
    <x v="1"/>
    <x v="1"/>
    <n v="0"/>
  </r>
  <r>
    <n v="11166"/>
    <x v="0"/>
    <n v="14"/>
    <n v="199"/>
    <s v="No"/>
    <x v="0"/>
    <x v="1"/>
    <n v="0"/>
  </r>
  <r>
    <n v="19325"/>
    <x v="1"/>
    <n v="6"/>
    <n v="81"/>
    <s v="No"/>
    <x v="0"/>
    <x v="0"/>
    <n v="0"/>
  </r>
  <r>
    <n v="15269"/>
    <x v="0"/>
    <n v="12"/>
    <n v="292"/>
    <s v="No"/>
    <x v="1"/>
    <x v="1"/>
    <n v="0"/>
  </r>
  <r>
    <n v="16433"/>
    <x v="1"/>
    <n v="8"/>
    <n v="277"/>
    <s v="No"/>
    <x v="0"/>
    <x v="0"/>
    <n v="0"/>
  </r>
  <r>
    <n v="13996"/>
    <x v="0"/>
    <n v="13"/>
    <n v="134"/>
    <s v="Yes"/>
    <x v="1"/>
    <x v="1"/>
    <n v="1"/>
  </r>
  <r>
    <n v="13543"/>
    <x v="1"/>
    <n v="2"/>
    <n v="258"/>
    <s v="No"/>
    <x v="1"/>
    <x v="3"/>
    <n v="0"/>
  </r>
  <r>
    <n v="15501"/>
    <x v="1"/>
    <n v="7"/>
    <n v="228"/>
    <s v="Yes"/>
    <x v="1"/>
    <x v="3"/>
    <n v="1"/>
  </r>
  <r>
    <n v="10327"/>
    <x v="1"/>
    <n v="8"/>
    <n v="336"/>
    <s v="No"/>
    <x v="0"/>
    <x v="2"/>
    <n v="0"/>
  </r>
  <r>
    <n v="11474"/>
    <x v="0"/>
    <n v="3"/>
    <n v="380"/>
    <s v="No"/>
    <x v="1"/>
    <x v="3"/>
    <n v="0"/>
  </r>
  <r>
    <n v="13591"/>
    <x v="1"/>
    <n v="4"/>
    <n v="102"/>
    <s v="No"/>
    <x v="1"/>
    <x v="3"/>
    <n v="0"/>
  </r>
  <r>
    <n v="19181"/>
    <x v="1"/>
    <n v="5"/>
    <n v="179"/>
    <s v="Yes"/>
    <x v="1"/>
    <x v="2"/>
    <n v="1"/>
  </r>
  <r>
    <n v="14361"/>
    <x v="0"/>
    <n v="5"/>
    <n v="193"/>
    <s v="No"/>
    <x v="1"/>
    <x v="3"/>
    <n v="0"/>
  </r>
  <r>
    <n v="17550"/>
    <x v="1"/>
    <n v="9"/>
    <n v="180"/>
    <s v="No"/>
    <x v="1"/>
    <x v="3"/>
    <n v="0"/>
  </r>
  <r>
    <n v="14134"/>
    <x v="0"/>
    <n v="3"/>
    <n v="360"/>
    <s v="No"/>
    <x v="1"/>
    <x v="2"/>
    <n v="0"/>
  </r>
  <r>
    <n v="14555"/>
    <x v="0"/>
    <n v="11"/>
    <n v="348"/>
    <s v="No"/>
    <x v="1"/>
    <x v="0"/>
    <n v="0"/>
  </r>
  <r>
    <n v="19084"/>
    <x v="0"/>
    <n v="5"/>
    <n v="390"/>
    <s v="No"/>
    <x v="0"/>
    <x v="0"/>
    <n v="0"/>
  </r>
  <r>
    <n v="12570"/>
    <x v="0"/>
    <n v="13"/>
    <n v="201"/>
    <s v="No"/>
    <x v="0"/>
    <x v="3"/>
    <n v="0"/>
  </r>
  <r>
    <n v="14282"/>
    <x v="1"/>
    <n v="1"/>
    <n v="381"/>
    <s v="No"/>
    <x v="1"/>
    <x v="3"/>
    <n v="0"/>
  </r>
  <r>
    <n v="12258"/>
    <x v="0"/>
    <n v="11"/>
    <n v="440"/>
    <s v="No"/>
    <x v="1"/>
    <x v="0"/>
    <n v="0"/>
  </r>
  <r>
    <n v="15019"/>
    <x v="1"/>
    <n v="9"/>
    <n v="338"/>
    <s v="No"/>
    <x v="1"/>
    <x v="0"/>
    <n v="0"/>
  </r>
  <r>
    <n v="18740"/>
    <x v="1"/>
    <n v="5"/>
    <n v="407"/>
    <s v="No"/>
    <x v="1"/>
    <x v="2"/>
    <n v="0"/>
  </r>
  <r>
    <n v="12562"/>
    <x v="1"/>
    <n v="1"/>
    <n v="203"/>
    <s v="No"/>
    <x v="0"/>
    <x v="1"/>
    <n v="0"/>
  </r>
  <r>
    <n v="14999"/>
    <x v="0"/>
    <n v="7"/>
    <n v="140"/>
    <s v="Yes"/>
    <x v="1"/>
    <x v="3"/>
    <n v="1"/>
  </r>
  <r>
    <n v="19508"/>
    <x v="0"/>
    <n v="14"/>
    <n v="358"/>
    <s v="No"/>
    <x v="1"/>
    <x v="1"/>
    <n v="0"/>
  </r>
  <r>
    <n v="10931"/>
    <x v="0"/>
    <n v="10"/>
    <n v="103"/>
    <s v="No"/>
    <x v="1"/>
    <x v="1"/>
    <n v="0"/>
  </r>
  <r>
    <n v="19901"/>
    <x v="0"/>
    <n v="2"/>
    <n v="406"/>
    <s v="No"/>
    <x v="1"/>
    <x v="3"/>
    <n v="0"/>
  </r>
  <r>
    <n v="10335"/>
    <x v="0"/>
    <n v="3"/>
    <n v="228"/>
    <s v="Yes"/>
    <x v="0"/>
    <x v="3"/>
    <n v="1"/>
  </r>
  <r>
    <n v="19053"/>
    <x v="0"/>
    <n v="2"/>
    <n v="322"/>
    <s v="No"/>
    <x v="0"/>
    <x v="2"/>
    <n v="0"/>
  </r>
  <r>
    <n v="18612"/>
    <x v="1"/>
    <n v="10"/>
    <n v="142"/>
    <s v="No"/>
    <x v="0"/>
    <x v="1"/>
    <n v="0"/>
  </r>
  <r>
    <n v="19589"/>
    <x v="0"/>
    <n v="1"/>
    <n v="175"/>
    <s v="Yes"/>
    <x v="1"/>
    <x v="0"/>
    <n v="1"/>
  </r>
  <r>
    <n v="11248"/>
    <x v="0"/>
    <n v="14"/>
    <n v="241"/>
    <s v="No"/>
    <x v="0"/>
    <x v="2"/>
    <n v="0"/>
  </r>
  <r>
    <n v="17102"/>
    <x v="0"/>
    <n v="5"/>
    <n v="239"/>
    <s v="No"/>
    <x v="1"/>
    <x v="1"/>
    <n v="0"/>
  </r>
  <r>
    <n v="14189"/>
    <x v="1"/>
    <n v="6"/>
    <n v="197"/>
    <s v="No"/>
    <x v="0"/>
    <x v="1"/>
    <n v="0"/>
  </r>
  <r>
    <n v="10057"/>
    <x v="0"/>
    <n v="8"/>
    <n v="217"/>
    <s v="No"/>
    <x v="1"/>
    <x v="2"/>
    <n v="0"/>
  </r>
  <r>
    <n v="14355"/>
    <x v="1"/>
    <n v="2"/>
    <n v="428"/>
    <s v="No"/>
    <x v="1"/>
    <x v="0"/>
    <n v="0"/>
  </r>
  <r>
    <n v="12781"/>
    <x v="1"/>
    <n v="1"/>
    <n v="388"/>
    <s v="Yes"/>
    <x v="0"/>
    <x v="3"/>
    <n v="1"/>
  </r>
  <r>
    <n v="10940"/>
    <x v="1"/>
    <n v="9"/>
    <n v="44"/>
    <s v="No"/>
    <x v="0"/>
    <x v="2"/>
    <n v="0"/>
  </r>
  <r>
    <n v="16782"/>
    <x v="0"/>
    <n v="11"/>
    <n v="408"/>
    <s v="No"/>
    <x v="0"/>
    <x v="3"/>
    <n v="0"/>
  </r>
  <r>
    <n v="11384"/>
    <x v="0"/>
    <n v="12"/>
    <n v="261"/>
    <s v="No"/>
    <x v="0"/>
    <x v="2"/>
    <n v="0"/>
  </r>
  <r>
    <n v="16008"/>
    <x v="1"/>
    <n v="11"/>
    <n v="248"/>
    <s v="No"/>
    <x v="1"/>
    <x v="0"/>
    <n v="0"/>
  </r>
  <r>
    <n v="12322"/>
    <x v="1"/>
    <n v="7"/>
    <n v="431"/>
    <s v="No"/>
    <x v="0"/>
    <x v="2"/>
    <n v="0"/>
  </r>
  <r>
    <n v="14768"/>
    <x v="1"/>
    <n v="2"/>
    <n v="114"/>
    <s v="No"/>
    <x v="1"/>
    <x v="3"/>
    <n v="0"/>
  </r>
  <r>
    <n v="18440"/>
    <x v="1"/>
    <n v="7"/>
    <n v="132"/>
    <s v="No"/>
    <x v="0"/>
    <x v="3"/>
    <n v="0"/>
  </r>
  <r>
    <n v="12921"/>
    <x v="1"/>
    <n v="4"/>
    <n v="157"/>
    <s v="Yes"/>
    <x v="0"/>
    <x v="2"/>
    <n v="1"/>
  </r>
  <r>
    <n v="14395"/>
    <x v="1"/>
    <n v="8"/>
    <n v="62"/>
    <s v="No"/>
    <x v="1"/>
    <x v="3"/>
    <n v="0"/>
  </r>
  <r>
    <n v="13613"/>
    <x v="0"/>
    <n v="9"/>
    <n v="292"/>
    <s v="No"/>
    <x v="1"/>
    <x v="1"/>
    <n v="0"/>
  </r>
  <r>
    <n v="12761"/>
    <x v="1"/>
    <n v="13"/>
    <n v="267"/>
    <s v="No"/>
    <x v="1"/>
    <x v="1"/>
    <n v="0"/>
  </r>
  <r>
    <n v="11699"/>
    <x v="0"/>
    <n v="7"/>
    <n v="239"/>
    <s v="No"/>
    <x v="1"/>
    <x v="3"/>
    <n v="0"/>
  </r>
  <r>
    <n v="16144"/>
    <x v="0"/>
    <n v="6"/>
    <n v="246"/>
    <s v="No"/>
    <x v="1"/>
    <x v="3"/>
    <n v="0"/>
  </r>
  <r>
    <n v="19469"/>
    <x v="1"/>
    <n v="8"/>
    <n v="305"/>
    <s v="No"/>
    <x v="1"/>
    <x v="1"/>
    <n v="0"/>
  </r>
  <r>
    <n v="16262"/>
    <x v="0"/>
    <n v="9"/>
    <n v="327"/>
    <s v="Yes"/>
    <x v="0"/>
    <x v="3"/>
    <n v="1"/>
  </r>
  <r>
    <n v="19049"/>
    <x v="1"/>
    <n v="2"/>
    <n v="253"/>
    <s v="No"/>
    <x v="1"/>
    <x v="1"/>
    <n v="0"/>
  </r>
  <r>
    <n v="13355"/>
    <x v="1"/>
    <n v="8"/>
    <n v="124"/>
    <s v="Yes"/>
    <x v="1"/>
    <x v="3"/>
    <n v="1"/>
  </r>
  <r>
    <n v="17166"/>
    <x v="1"/>
    <n v="5"/>
    <n v="203"/>
    <s v="No"/>
    <x v="0"/>
    <x v="0"/>
    <n v="0"/>
  </r>
  <r>
    <n v="13470"/>
    <x v="1"/>
    <n v="3"/>
    <n v="242"/>
    <s v="No"/>
    <x v="1"/>
    <x v="1"/>
    <n v="0"/>
  </r>
  <r>
    <n v="14839"/>
    <x v="1"/>
    <n v="10"/>
    <n v="75"/>
    <s v="No"/>
    <x v="0"/>
    <x v="2"/>
    <n v="0"/>
  </r>
  <r>
    <n v="16349"/>
    <x v="1"/>
    <n v="4"/>
    <n v="268"/>
    <s v="No"/>
    <x v="1"/>
    <x v="2"/>
    <n v="0"/>
  </r>
  <r>
    <n v="15068"/>
    <x v="0"/>
    <n v="8"/>
    <n v="132"/>
    <s v="No"/>
    <x v="0"/>
    <x v="0"/>
    <n v="0"/>
  </r>
  <r>
    <n v="13368"/>
    <x v="0"/>
    <n v="14"/>
    <n v="364"/>
    <s v="No"/>
    <x v="0"/>
    <x v="3"/>
    <n v="0"/>
  </r>
  <r>
    <n v="19039"/>
    <x v="1"/>
    <n v="4"/>
    <n v="340"/>
    <s v="No"/>
    <x v="0"/>
    <x v="2"/>
    <n v="0"/>
  </r>
  <r>
    <n v="16636"/>
    <x v="1"/>
    <n v="5"/>
    <n v="79"/>
    <s v="No"/>
    <x v="0"/>
    <x v="3"/>
    <n v="0"/>
  </r>
  <r>
    <n v="14649"/>
    <x v="1"/>
    <n v="4"/>
    <n v="244"/>
    <s v="No"/>
    <x v="1"/>
    <x v="2"/>
    <n v="0"/>
  </r>
  <r>
    <n v="12687"/>
    <x v="0"/>
    <n v="10"/>
    <n v="187"/>
    <s v="No"/>
    <x v="1"/>
    <x v="1"/>
    <n v="0"/>
  </r>
  <r>
    <n v="12852"/>
    <x v="1"/>
    <n v="6"/>
    <n v="99"/>
    <s v="Yes"/>
    <x v="0"/>
    <x v="3"/>
    <n v="1"/>
  </r>
  <r>
    <n v="18233"/>
    <x v="1"/>
    <n v="9"/>
    <n v="433"/>
    <s v="No"/>
    <x v="0"/>
    <x v="3"/>
    <n v="0"/>
  </r>
  <r>
    <n v="11060"/>
    <x v="0"/>
    <n v="5"/>
    <n v="199"/>
    <s v="No"/>
    <x v="0"/>
    <x v="0"/>
    <n v="0"/>
  </r>
  <r>
    <n v="18132"/>
    <x v="1"/>
    <n v="13"/>
    <n v="252"/>
    <s v="No"/>
    <x v="0"/>
    <x v="1"/>
    <n v="0"/>
  </r>
  <r>
    <n v="15847"/>
    <x v="1"/>
    <n v="13"/>
    <n v="243"/>
    <s v="No"/>
    <x v="1"/>
    <x v="0"/>
    <n v="0"/>
  </r>
  <r>
    <n v="11508"/>
    <x v="0"/>
    <n v="6"/>
    <n v="387"/>
    <s v="No"/>
    <x v="0"/>
    <x v="1"/>
    <n v="0"/>
  </r>
  <r>
    <n v="17229"/>
    <x v="1"/>
    <n v="10"/>
    <n v="115"/>
    <s v="No"/>
    <x v="1"/>
    <x v="1"/>
    <n v="0"/>
  </r>
  <r>
    <n v="19784"/>
    <x v="0"/>
    <n v="13"/>
    <n v="111"/>
    <s v="Yes"/>
    <x v="0"/>
    <x v="0"/>
    <n v="1"/>
  </r>
  <r>
    <n v="15310"/>
    <x v="0"/>
    <n v="6"/>
    <n v="426"/>
    <s v="No"/>
    <x v="1"/>
    <x v="3"/>
    <n v="0"/>
  </r>
  <r>
    <n v="17948"/>
    <x v="1"/>
    <n v="7"/>
    <n v="144"/>
    <s v="No"/>
    <x v="0"/>
    <x v="0"/>
    <n v="0"/>
  </r>
  <r>
    <n v="10532"/>
    <x v="1"/>
    <n v="5"/>
    <n v="340"/>
    <s v="No"/>
    <x v="0"/>
    <x v="3"/>
    <n v="0"/>
  </r>
  <r>
    <n v="14080"/>
    <x v="0"/>
    <n v="3"/>
    <n v="164"/>
    <s v="No"/>
    <x v="0"/>
    <x v="1"/>
    <n v="0"/>
  </r>
  <r>
    <n v="17354"/>
    <x v="1"/>
    <n v="12"/>
    <n v="86"/>
    <s v="No"/>
    <x v="1"/>
    <x v="2"/>
    <n v="0"/>
  </r>
  <r>
    <n v="17006"/>
    <x v="1"/>
    <n v="2"/>
    <n v="121"/>
    <s v="No"/>
    <x v="0"/>
    <x v="2"/>
    <n v="0"/>
  </r>
  <r>
    <n v="12551"/>
    <x v="0"/>
    <n v="6"/>
    <n v="238"/>
    <s v="No"/>
    <x v="0"/>
    <x v="3"/>
    <n v="0"/>
  </r>
  <r>
    <n v="17136"/>
    <x v="1"/>
    <n v="10"/>
    <n v="419"/>
    <s v="No"/>
    <x v="1"/>
    <x v="2"/>
    <n v="0"/>
  </r>
  <r>
    <n v="15304"/>
    <x v="0"/>
    <n v="2"/>
    <n v="249"/>
    <s v="Yes"/>
    <x v="1"/>
    <x v="3"/>
    <n v="1"/>
  </r>
  <r>
    <n v="13685"/>
    <x v="1"/>
    <n v="2"/>
    <n v="329"/>
    <s v="No"/>
    <x v="0"/>
    <x v="0"/>
    <n v="0"/>
  </r>
  <r>
    <n v="10536"/>
    <x v="0"/>
    <n v="6"/>
    <n v="46"/>
    <s v="No"/>
    <x v="1"/>
    <x v="0"/>
    <n v="0"/>
  </r>
  <r>
    <n v="12136"/>
    <x v="0"/>
    <n v="7"/>
    <n v="398"/>
    <s v="No"/>
    <x v="1"/>
    <x v="0"/>
    <n v="0"/>
  </r>
  <r>
    <n v="14812"/>
    <x v="1"/>
    <n v="8"/>
    <n v="438"/>
    <s v="No"/>
    <x v="1"/>
    <x v="2"/>
    <n v="0"/>
  </r>
  <r>
    <n v="17290"/>
    <x v="0"/>
    <n v="14"/>
    <n v="290"/>
    <s v="Yes"/>
    <x v="0"/>
    <x v="3"/>
    <n v="1"/>
  </r>
  <r>
    <n v="18923"/>
    <x v="0"/>
    <n v="10"/>
    <n v="315"/>
    <s v="No"/>
    <x v="1"/>
    <x v="2"/>
    <n v="0"/>
  </r>
  <r>
    <n v="13044"/>
    <x v="0"/>
    <n v="6"/>
    <n v="296"/>
    <s v="No"/>
    <x v="1"/>
    <x v="3"/>
    <n v="0"/>
  </r>
  <r>
    <n v="17991"/>
    <x v="1"/>
    <n v="2"/>
    <n v="195"/>
    <s v="No"/>
    <x v="1"/>
    <x v="3"/>
    <n v="0"/>
  </r>
  <r>
    <n v="11774"/>
    <x v="1"/>
    <n v="13"/>
    <n v="47"/>
    <s v="No"/>
    <x v="0"/>
    <x v="2"/>
    <n v="0"/>
  </r>
  <r>
    <n v="11742"/>
    <x v="1"/>
    <n v="6"/>
    <n v="58"/>
    <s v="No"/>
    <x v="0"/>
    <x v="3"/>
    <n v="0"/>
  </r>
  <r>
    <n v="13649"/>
    <x v="1"/>
    <n v="12"/>
    <n v="123"/>
    <s v="No"/>
    <x v="0"/>
    <x v="2"/>
    <n v="0"/>
  </r>
  <r>
    <n v="16998"/>
    <x v="0"/>
    <n v="8"/>
    <n v="109"/>
    <s v="No"/>
    <x v="0"/>
    <x v="0"/>
    <n v="0"/>
  </r>
  <r>
    <n v="18462"/>
    <x v="0"/>
    <n v="8"/>
    <n v="45"/>
    <s v="No"/>
    <x v="0"/>
    <x v="1"/>
    <n v="0"/>
  </r>
  <r>
    <n v="18135"/>
    <x v="1"/>
    <n v="9"/>
    <n v="384"/>
    <s v="No"/>
    <x v="0"/>
    <x v="3"/>
    <n v="0"/>
  </r>
  <r>
    <n v="11280"/>
    <x v="0"/>
    <n v="8"/>
    <n v="381"/>
    <s v="No"/>
    <x v="0"/>
    <x v="1"/>
    <n v="0"/>
  </r>
  <r>
    <n v="15434"/>
    <x v="0"/>
    <n v="4"/>
    <n v="311"/>
    <s v="No"/>
    <x v="1"/>
    <x v="1"/>
    <n v="0"/>
  </r>
  <r>
    <n v="10280"/>
    <x v="0"/>
    <n v="1"/>
    <n v="109"/>
    <s v="No"/>
    <x v="1"/>
    <x v="0"/>
    <n v="0"/>
  </r>
  <r>
    <n v="12893"/>
    <x v="0"/>
    <n v="13"/>
    <n v="146"/>
    <s v="No"/>
    <x v="1"/>
    <x v="0"/>
    <n v="0"/>
  </r>
  <r>
    <n v="16584"/>
    <x v="1"/>
    <n v="6"/>
    <n v="390"/>
    <s v="No"/>
    <x v="0"/>
    <x v="3"/>
    <n v="0"/>
  </r>
  <r>
    <n v="13736"/>
    <x v="0"/>
    <n v="14"/>
    <n v="56"/>
    <s v="No"/>
    <x v="1"/>
    <x v="1"/>
    <n v="0"/>
  </r>
  <r>
    <n v="19476"/>
    <x v="1"/>
    <n v="6"/>
    <n v="183"/>
    <s v="No"/>
    <x v="0"/>
    <x v="2"/>
    <n v="0"/>
  </r>
  <r>
    <n v="19494"/>
    <x v="1"/>
    <n v="11"/>
    <n v="113"/>
    <s v="No"/>
    <x v="0"/>
    <x v="3"/>
    <n v="0"/>
  </r>
  <r>
    <n v="13801"/>
    <x v="0"/>
    <n v="1"/>
    <n v="257"/>
    <s v="No"/>
    <x v="0"/>
    <x v="1"/>
    <n v="0"/>
  </r>
  <r>
    <n v="17630"/>
    <x v="1"/>
    <n v="9"/>
    <n v="142"/>
    <s v="No"/>
    <x v="0"/>
    <x v="1"/>
    <n v="0"/>
  </r>
  <r>
    <n v="10775"/>
    <x v="0"/>
    <n v="11"/>
    <n v="293"/>
    <s v="No"/>
    <x v="0"/>
    <x v="0"/>
    <n v="0"/>
  </r>
  <r>
    <n v="10885"/>
    <x v="0"/>
    <n v="11"/>
    <n v="194"/>
    <s v="Yes"/>
    <x v="1"/>
    <x v="1"/>
    <n v="1"/>
  </r>
  <r>
    <n v="13572"/>
    <x v="0"/>
    <n v="3"/>
    <n v="111"/>
    <s v="No"/>
    <x v="1"/>
    <x v="1"/>
    <n v="0"/>
  </r>
  <r>
    <n v="15389"/>
    <x v="1"/>
    <n v="7"/>
    <n v="288"/>
    <s v="No"/>
    <x v="0"/>
    <x v="1"/>
    <n v="0"/>
  </r>
  <r>
    <n v="15796"/>
    <x v="1"/>
    <n v="12"/>
    <n v="110"/>
    <s v="No"/>
    <x v="0"/>
    <x v="0"/>
    <n v="0"/>
  </r>
  <r>
    <n v="11966"/>
    <x v="0"/>
    <n v="5"/>
    <n v="176"/>
    <s v="Yes"/>
    <x v="1"/>
    <x v="2"/>
    <n v="1"/>
  </r>
  <r>
    <n v="19797"/>
    <x v="0"/>
    <n v="2"/>
    <n v="159"/>
    <s v="No"/>
    <x v="0"/>
    <x v="3"/>
    <n v="0"/>
  </r>
  <r>
    <n v="16968"/>
    <x v="1"/>
    <n v="10"/>
    <n v="420"/>
    <s v="No"/>
    <x v="1"/>
    <x v="1"/>
    <n v="0"/>
  </r>
  <r>
    <n v="14990"/>
    <x v="0"/>
    <n v="10"/>
    <n v="393"/>
    <s v="No"/>
    <x v="0"/>
    <x v="0"/>
    <n v="0"/>
  </r>
  <r>
    <n v="14779"/>
    <x v="1"/>
    <n v="13"/>
    <n v="256"/>
    <s v="No"/>
    <x v="1"/>
    <x v="3"/>
    <n v="0"/>
  </r>
  <r>
    <n v="18778"/>
    <x v="1"/>
    <n v="3"/>
    <n v="284"/>
    <s v="Yes"/>
    <x v="0"/>
    <x v="2"/>
    <n v="1"/>
  </r>
  <r>
    <n v="16962"/>
    <x v="1"/>
    <n v="6"/>
    <n v="82"/>
    <s v="Yes"/>
    <x v="1"/>
    <x v="1"/>
    <n v="1"/>
  </r>
  <r>
    <n v="15898"/>
    <x v="0"/>
    <n v="13"/>
    <n v="284"/>
    <s v="No"/>
    <x v="1"/>
    <x v="1"/>
    <n v="0"/>
  </r>
  <r>
    <n v="17585"/>
    <x v="1"/>
    <n v="9"/>
    <n v="332"/>
    <s v="No"/>
    <x v="0"/>
    <x v="2"/>
    <n v="0"/>
  </r>
  <r>
    <n v="17365"/>
    <x v="1"/>
    <n v="5"/>
    <n v="114"/>
    <s v="No"/>
    <x v="1"/>
    <x v="3"/>
    <n v="0"/>
  </r>
  <r>
    <n v="18894"/>
    <x v="1"/>
    <n v="10"/>
    <n v="138"/>
    <s v="No"/>
    <x v="1"/>
    <x v="2"/>
    <n v="0"/>
  </r>
  <r>
    <n v="12360"/>
    <x v="1"/>
    <n v="14"/>
    <n v="264"/>
    <s v="No"/>
    <x v="0"/>
    <x v="3"/>
    <n v="0"/>
  </r>
  <r>
    <n v="12006"/>
    <x v="1"/>
    <n v="9"/>
    <n v="126"/>
    <s v="No"/>
    <x v="0"/>
    <x v="2"/>
    <n v="0"/>
  </r>
  <r>
    <n v="17822"/>
    <x v="1"/>
    <n v="12"/>
    <n v="331"/>
    <s v="No"/>
    <x v="0"/>
    <x v="2"/>
    <n v="0"/>
  </r>
  <r>
    <n v="12945"/>
    <x v="1"/>
    <n v="8"/>
    <n v="165"/>
    <s v="No"/>
    <x v="0"/>
    <x v="1"/>
    <n v="0"/>
  </r>
  <r>
    <n v="19019"/>
    <x v="1"/>
    <n v="7"/>
    <n v="143"/>
    <s v="No"/>
    <x v="1"/>
    <x v="0"/>
    <n v="0"/>
  </r>
  <r>
    <n v="14122"/>
    <x v="1"/>
    <n v="3"/>
    <n v="157"/>
    <s v="No"/>
    <x v="1"/>
    <x v="3"/>
    <n v="0"/>
  </r>
  <r>
    <n v="18864"/>
    <x v="1"/>
    <n v="2"/>
    <n v="66"/>
    <s v="No"/>
    <x v="1"/>
    <x v="3"/>
    <n v="0"/>
  </r>
  <r>
    <n v="18674"/>
    <x v="1"/>
    <n v="3"/>
    <n v="403"/>
    <s v="No"/>
    <x v="0"/>
    <x v="2"/>
    <n v="0"/>
  </r>
  <r>
    <n v="19023"/>
    <x v="0"/>
    <n v="3"/>
    <n v="426"/>
    <s v="No"/>
    <x v="0"/>
    <x v="3"/>
    <n v="0"/>
  </r>
  <r>
    <n v="17872"/>
    <x v="0"/>
    <n v="9"/>
    <n v="362"/>
    <s v="No"/>
    <x v="1"/>
    <x v="1"/>
    <n v="0"/>
  </r>
  <r>
    <n v="12736"/>
    <x v="0"/>
    <n v="7"/>
    <n v="126"/>
    <s v="No"/>
    <x v="1"/>
    <x v="3"/>
    <n v="0"/>
  </r>
  <r>
    <n v="18731"/>
    <x v="0"/>
    <n v="1"/>
    <n v="318"/>
    <s v="No"/>
    <x v="0"/>
    <x v="0"/>
    <n v="0"/>
  </r>
  <r>
    <n v="19374"/>
    <x v="1"/>
    <n v="4"/>
    <n v="367"/>
    <s v="No"/>
    <x v="1"/>
    <x v="3"/>
    <n v="0"/>
  </r>
  <r>
    <n v="12730"/>
    <x v="1"/>
    <n v="6"/>
    <n v="214"/>
    <s v="No"/>
    <x v="0"/>
    <x v="3"/>
    <n v="0"/>
  </r>
  <r>
    <n v="11394"/>
    <x v="1"/>
    <n v="11"/>
    <n v="317"/>
    <s v="No"/>
    <x v="1"/>
    <x v="2"/>
    <n v="0"/>
  </r>
  <r>
    <n v="14697"/>
    <x v="1"/>
    <n v="12"/>
    <n v="153"/>
    <s v="No"/>
    <x v="0"/>
    <x v="1"/>
    <n v="0"/>
  </r>
  <r>
    <n v="10558"/>
    <x v="0"/>
    <n v="3"/>
    <n v="161"/>
    <s v="No"/>
    <x v="0"/>
    <x v="0"/>
    <n v="0"/>
  </r>
  <r>
    <n v="19308"/>
    <x v="1"/>
    <n v="6"/>
    <n v="99"/>
    <s v="No"/>
    <x v="0"/>
    <x v="3"/>
    <n v="0"/>
  </r>
  <r>
    <n v="17372"/>
    <x v="1"/>
    <n v="3"/>
    <n v="301"/>
    <s v="No"/>
    <x v="1"/>
    <x v="2"/>
    <n v="0"/>
  </r>
  <r>
    <n v="13269"/>
    <x v="0"/>
    <n v="6"/>
    <n v="354"/>
    <s v="No"/>
    <x v="0"/>
    <x v="2"/>
    <n v="0"/>
  </r>
  <r>
    <n v="13431"/>
    <x v="1"/>
    <n v="6"/>
    <n v="254"/>
    <s v="No"/>
    <x v="0"/>
    <x v="3"/>
    <n v="0"/>
  </r>
  <r>
    <n v="10778"/>
    <x v="0"/>
    <n v="14"/>
    <n v="359"/>
    <s v="Yes"/>
    <x v="0"/>
    <x v="0"/>
    <n v="1"/>
  </r>
  <r>
    <n v="10494"/>
    <x v="1"/>
    <n v="9"/>
    <n v="113"/>
    <s v="No"/>
    <x v="1"/>
    <x v="2"/>
    <n v="0"/>
  </r>
  <r>
    <n v="15224"/>
    <x v="1"/>
    <n v="6"/>
    <n v="113"/>
    <s v="No"/>
    <x v="0"/>
    <x v="3"/>
    <n v="0"/>
  </r>
  <r>
    <n v="19017"/>
    <x v="1"/>
    <n v="8"/>
    <n v="174"/>
    <s v="No"/>
    <x v="1"/>
    <x v="1"/>
    <n v="0"/>
  </r>
  <r>
    <n v="16238"/>
    <x v="1"/>
    <n v="11"/>
    <n v="330"/>
    <s v="No"/>
    <x v="0"/>
    <x v="2"/>
    <n v="0"/>
  </r>
  <r>
    <n v="18527"/>
    <x v="1"/>
    <n v="14"/>
    <n v="358"/>
    <s v="No"/>
    <x v="0"/>
    <x v="1"/>
    <n v="0"/>
  </r>
  <r>
    <n v="18749"/>
    <x v="0"/>
    <n v="2"/>
    <n v="416"/>
    <s v="Yes"/>
    <x v="1"/>
    <x v="2"/>
    <n v="1"/>
  </r>
  <r>
    <n v="15559"/>
    <x v="1"/>
    <n v="13"/>
    <n v="99"/>
    <s v="No"/>
    <x v="1"/>
    <x v="2"/>
    <n v="0"/>
  </r>
  <r>
    <n v="17983"/>
    <x v="0"/>
    <n v="1"/>
    <n v="377"/>
    <s v="No"/>
    <x v="0"/>
    <x v="1"/>
    <n v="0"/>
  </r>
  <r>
    <n v="11728"/>
    <x v="1"/>
    <n v="12"/>
    <n v="312"/>
    <s v="No"/>
    <x v="0"/>
    <x v="1"/>
    <n v="0"/>
  </r>
  <r>
    <n v="10036"/>
    <x v="1"/>
    <n v="10"/>
    <n v="419"/>
    <s v="No"/>
    <x v="0"/>
    <x v="2"/>
    <n v="0"/>
  </r>
  <r>
    <n v="12153"/>
    <x v="1"/>
    <n v="8"/>
    <n v="113"/>
    <s v="No"/>
    <x v="1"/>
    <x v="2"/>
    <n v="0"/>
  </r>
  <r>
    <n v="19180"/>
    <x v="1"/>
    <n v="10"/>
    <n v="229"/>
    <s v="No"/>
    <x v="0"/>
    <x v="0"/>
    <n v="0"/>
  </r>
  <r>
    <n v="16848"/>
    <x v="1"/>
    <n v="14"/>
    <n v="265"/>
    <s v="No"/>
    <x v="1"/>
    <x v="3"/>
    <n v="0"/>
  </r>
  <r>
    <n v="15216"/>
    <x v="0"/>
    <n v="6"/>
    <n v="323"/>
    <s v="No"/>
    <x v="1"/>
    <x v="2"/>
    <n v="0"/>
  </r>
  <r>
    <n v="10638"/>
    <x v="1"/>
    <n v="13"/>
    <n v="353"/>
    <s v="No"/>
    <x v="1"/>
    <x v="2"/>
    <n v="0"/>
  </r>
  <r>
    <n v="17366"/>
    <x v="0"/>
    <n v="10"/>
    <n v="103"/>
    <s v="No"/>
    <x v="0"/>
    <x v="1"/>
    <n v="0"/>
  </r>
  <r>
    <n v="16306"/>
    <x v="1"/>
    <n v="9"/>
    <n v="198"/>
    <s v="No"/>
    <x v="1"/>
    <x v="1"/>
    <n v="0"/>
  </r>
  <r>
    <n v="15659"/>
    <x v="0"/>
    <n v="6"/>
    <n v="74"/>
    <s v="Yes"/>
    <x v="0"/>
    <x v="0"/>
    <n v="1"/>
  </r>
  <r>
    <n v="10956"/>
    <x v="1"/>
    <n v="1"/>
    <n v="281"/>
    <s v="No"/>
    <x v="1"/>
    <x v="0"/>
    <n v="0"/>
  </r>
  <r>
    <n v="18320"/>
    <x v="1"/>
    <n v="5"/>
    <n v="44"/>
    <s v="No"/>
    <x v="1"/>
    <x v="3"/>
    <n v="0"/>
  </r>
  <r>
    <n v="19295"/>
    <x v="1"/>
    <n v="8"/>
    <n v="215"/>
    <s v="No"/>
    <x v="0"/>
    <x v="2"/>
    <n v="0"/>
  </r>
  <r>
    <n v="13921"/>
    <x v="1"/>
    <n v="5"/>
    <n v="89"/>
    <s v="No"/>
    <x v="1"/>
    <x v="3"/>
    <n v="0"/>
  </r>
  <r>
    <n v="17070"/>
    <x v="0"/>
    <n v="4"/>
    <n v="71"/>
    <s v="No"/>
    <x v="1"/>
    <x v="1"/>
    <n v="0"/>
  </r>
  <r>
    <n v="15804"/>
    <x v="1"/>
    <n v="6"/>
    <n v="291"/>
    <s v="No"/>
    <x v="1"/>
    <x v="2"/>
    <n v="0"/>
  </r>
  <r>
    <n v="19934"/>
    <x v="0"/>
    <n v="14"/>
    <n v="134"/>
    <s v="Yes"/>
    <x v="0"/>
    <x v="0"/>
    <n v="1"/>
  </r>
  <r>
    <n v="15253"/>
    <x v="1"/>
    <n v="8"/>
    <n v="292"/>
    <s v="No"/>
    <x v="1"/>
    <x v="1"/>
    <n v="0"/>
  </r>
  <r>
    <n v="19852"/>
    <x v="1"/>
    <n v="7"/>
    <n v="129"/>
    <s v="No"/>
    <x v="0"/>
    <x v="0"/>
    <n v="0"/>
  </r>
  <r>
    <n v="13327"/>
    <x v="1"/>
    <n v="3"/>
    <n v="208"/>
    <s v="No"/>
    <x v="1"/>
    <x v="3"/>
    <n v="0"/>
  </r>
  <r>
    <n v="10630"/>
    <x v="0"/>
    <n v="10"/>
    <n v="409"/>
    <s v="Yes"/>
    <x v="1"/>
    <x v="1"/>
    <n v="1"/>
  </r>
  <r>
    <n v="15904"/>
    <x v="0"/>
    <n v="1"/>
    <n v="130"/>
    <s v="Yes"/>
    <x v="1"/>
    <x v="1"/>
    <n v="1"/>
  </r>
  <r>
    <n v="13535"/>
    <x v="1"/>
    <n v="6"/>
    <n v="165"/>
    <s v="No"/>
    <x v="1"/>
    <x v="0"/>
    <n v="0"/>
  </r>
  <r>
    <n v="10301"/>
    <x v="1"/>
    <n v="14"/>
    <n v="43"/>
    <s v="No"/>
    <x v="1"/>
    <x v="0"/>
    <n v="0"/>
  </r>
  <r>
    <n v="17889"/>
    <x v="0"/>
    <n v="5"/>
    <n v="415"/>
    <s v="No"/>
    <x v="1"/>
    <x v="0"/>
    <n v="0"/>
  </r>
  <r>
    <n v="16149"/>
    <x v="1"/>
    <n v="4"/>
    <n v="373"/>
    <s v="No"/>
    <x v="1"/>
    <x v="1"/>
    <n v="0"/>
  </r>
  <r>
    <n v="19106"/>
    <x v="1"/>
    <n v="2"/>
    <n v="446"/>
    <s v="No"/>
    <x v="0"/>
    <x v="2"/>
    <n v="0"/>
  </r>
  <r>
    <n v="11588"/>
    <x v="1"/>
    <n v="4"/>
    <n v="310"/>
    <s v="No"/>
    <x v="0"/>
    <x v="1"/>
    <n v="0"/>
  </r>
  <r>
    <n v="14673"/>
    <x v="1"/>
    <n v="8"/>
    <n v="142"/>
    <s v="No"/>
    <x v="0"/>
    <x v="1"/>
    <n v="0"/>
  </r>
  <r>
    <n v="14519"/>
    <x v="0"/>
    <n v="6"/>
    <n v="304"/>
    <s v="No"/>
    <x v="1"/>
    <x v="3"/>
    <n v="0"/>
  </r>
  <r>
    <n v="17769"/>
    <x v="0"/>
    <n v="11"/>
    <n v="100"/>
    <s v="No"/>
    <x v="0"/>
    <x v="0"/>
    <n v="0"/>
  </r>
  <r>
    <n v="14465"/>
    <x v="0"/>
    <n v="3"/>
    <n v="441"/>
    <s v="No"/>
    <x v="0"/>
    <x v="2"/>
    <n v="0"/>
  </r>
  <r>
    <n v="10188"/>
    <x v="1"/>
    <n v="10"/>
    <n v="284"/>
    <s v="No"/>
    <x v="1"/>
    <x v="1"/>
    <n v="0"/>
  </r>
  <r>
    <n v="13488"/>
    <x v="1"/>
    <n v="1"/>
    <n v="273"/>
    <s v="No"/>
    <x v="0"/>
    <x v="0"/>
    <n v="0"/>
  </r>
  <r>
    <n v="19588"/>
    <x v="1"/>
    <n v="11"/>
    <n v="323"/>
    <s v="No"/>
    <x v="0"/>
    <x v="0"/>
    <n v="0"/>
  </r>
  <r>
    <n v="17498"/>
    <x v="0"/>
    <n v="5"/>
    <n v="172"/>
    <s v="No"/>
    <x v="0"/>
    <x v="1"/>
    <n v="0"/>
  </r>
  <r>
    <n v="14002"/>
    <x v="0"/>
    <n v="3"/>
    <n v="328"/>
    <s v="No"/>
    <x v="0"/>
    <x v="2"/>
    <n v="0"/>
  </r>
  <r>
    <n v="11613"/>
    <x v="1"/>
    <n v="14"/>
    <n v="324"/>
    <s v="No"/>
    <x v="1"/>
    <x v="3"/>
    <n v="0"/>
  </r>
  <r>
    <n v="13671"/>
    <x v="1"/>
    <n v="3"/>
    <n v="293"/>
    <s v="No"/>
    <x v="1"/>
    <x v="3"/>
    <n v="0"/>
  </r>
  <r>
    <n v="18578"/>
    <x v="1"/>
    <n v="7"/>
    <n v="426"/>
    <s v="Yes"/>
    <x v="1"/>
    <x v="0"/>
    <n v="1"/>
  </r>
  <r>
    <n v="11036"/>
    <x v="0"/>
    <n v="9"/>
    <n v="392"/>
    <s v="No"/>
    <x v="1"/>
    <x v="2"/>
    <n v="0"/>
  </r>
  <r>
    <n v="14745"/>
    <x v="1"/>
    <n v="14"/>
    <n v="188"/>
    <s v="No"/>
    <x v="1"/>
    <x v="1"/>
    <n v="0"/>
  </r>
  <r>
    <n v="14616"/>
    <x v="0"/>
    <n v="13"/>
    <n v="104"/>
    <s v="No"/>
    <x v="0"/>
    <x v="0"/>
    <n v="0"/>
  </r>
  <r>
    <n v="17307"/>
    <x v="1"/>
    <n v="2"/>
    <n v="385"/>
    <s v="No"/>
    <x v="0"/>
    <x v="2"/>
    <n v="0"/>
  </r>
  <r>
    <n v="12429"/>
    <x v="1"/>
    <n v="4"/>
    <n v="164"/>
    <s v="No"/>
    <x v="0"/>
    <x v="2"/>
    <n v="0"/>
  </r>
  <r>
    <n v="16264"/>
    <x v="1"/>
    <n v="14"/>
    <n v="342"/>
    <s v="No"/>
    <x v="0"/>
    <x v="3"/>
    <n v="0"/>
  </r>
  <r>
    <n v="18698"/>
    <x v="1"/>
    <n v="1"/>
    <n v="301"/>
    <s v="No"/>
    <x v="1"/>
    <x v="3"/>
    <n v="0"/>
  </r>
  <r>
    <n v="18521"/>
    <x v="1"/>
    <n v="2"/>
    <n v="449"/>
    <s v="No"/>
    <x v="0"/>
    <x v="0"/>
    <n v="0"/>
  </r>
  <r>
    <n v="19976"/>
    <x v="0"/>
    <n v="5"/>
    <n v="263"/>
    <s v="No"/>
    <x v="0"/>
    <x v="2"/>
    <n v="0"/>
  </r>
  <r>
    <n v="18691"/>
    <x v="1"/>
    <n v="11"/>
    <n v="91"/>
    <s v="No"/>
    <x v="0"/>
    <x v="1"/>
    <n v="0"/>
  </r>
  <r>
    <n v="17576"/>
    <x v="0"/>
    <n v="11"/>
    <n v="177"/>
    <s v="Yes"/>
    <x v="1"/>
    <x v="2"/>
    <n v="1"/>
  </r>
  <r>
    <n v="13748"/>
    <x v="0"/>
    <n v="7"/>
    <n v="264"/>
    <s v="No"/>
    <x v="1"/>
    <x v="3"/>
    <n v="0"/>
  </r>
  <r>
    <n v="12386"/>
    <x v="1"/>
    <n v="9"/>
    <n v="375"/>
    <s v="No"/>
    <x v="0"/>
    <x v="2"/>
    <n v="0"/>
  </r>
  <r>
    <n v="10794"/>
    <x v="0"/>
    <n v="12"/>
    <n v="271"/>
    <s v="No"/>
    <x v="1"/>
    <x v="0"/>
    <n v="0"/>
  </r>
  <r>
    <n v="17631"/>
    <x v="1"/>
    <n v="7"/>
    <n v="212"/>
    <s v="Yes"/>
    <x v="0"/>
    <x v="2"/>
    <n v="1"/>
  </r>
  <r>
    <n v="18896"/>
    <x v="1"/>
    <n v="8"/>
    <n v="260"/>
    <s v="No"/>
    <x v="0"/>
    <x v="3"/>
    <n v="0"/>
  </r>
  <r>
    <n v="11038"/>
    <x v="0"/>
    <n v="2"/>
    <n v="92"/>
    <s v="No"/>
    <x v="1"/>
    <x v="1"/>
    <n v="0"/>
  </r>
  <r>
    <n v="11533"/>
    <x v="0"/>
    <n v="5"/>
    <n v="409"/>
    <s v="No"/>
    <x v="1"/>
    <x v="2"/>
    <n v="0"/>
  </r>
  <r>
    <n v="18238"/>
    <x v="0"/>
    <n v="4"/>
    <n v="206"/>
    <s v="No"/>
    <x v="0"/>
    <x v="3"/>
    <n v="0"/>
  </r>
  <r>
    <n v="19730"/>
    <x v="0"/>
    <n v="13"/>
    <n v="157"/>
    <s v="No"/>
    <x v="0"/>
    <x v="2"/>
    <n v="0"/>
  </r>
  <r>
    <n v="14721"/>
    <x v="1"/>
    <n v="3"/>
    <n v="263"/>
    <s v="No"/>
    <x v="0"/>
    <x v="3"/>
    <n v="0"/>
  </r>
  <r>
    <n v="10620"/>
    <x v="1"/>
    <n v="9"/>
    <n v="212"/>
    <s v="Yes"/>
    <x v="0"/>
    <x v="1"/>
    <n v="1"/>
  </r>
  <r>
    <n v="18718"/>
    <x v="1"/>
    <n v="13"/>
    <n v="84"/>
    <s v="Yes"/>
    <x v="0"/>
    <x v="0"/>
    <n v="1"/>
  </r>
  <r>
    <n v="14683"/>
    <x v="0"/>
    <n v="11"/>
    <n v="290"/>
    <s v="No"/>
    <x v="0"/>
    <x v="3"/>
    <n v="0"/>
  </r>
  <r>
    <n v="16563"/>
    <x v="0"/>
    <n v="10"/>
    <n v="363"/>
    <s v="No"/>
    <x v="0"/>
    <x v="3"/>
    <n v="0"/>
  </r>
  <r>
    <n v="14599"/>
    <x v="0"/>
    <n v="4"/>
    <n v="109"/>
    <s v="No"/>
    <x v="0"/>
    <x v="3"/>
    <n v="0"/>
  </r>
  <r>
    <n v="19411"/>
    <x v="1"/>
    <n v="1"/>
    <n v="312"/>
    <s v="No"/>
    <x v="0"/>
    <x v="0"/>
    <n v="0"/>
  </r>
  <r>
    <n v="12454"/>
    <x v="0"/>
    <n v="4"/>
    <n v="376"/>
    <s v="Yes"/>
    <x v="0"/>
    <x v="1"/>
    <n v="1"/>
  </r>
  <r>
    <n v="15053"/>
    <x v="0"/>
    <n v="2"/>
    <n v="288"/>
    <s v="No"/>
    <x v="1"/>
    <x v="0"/>
    <n v="0"/>
  </r>
  <r>
    <n v="19458"/>
    <x v="1"/>
    <n v="7"/>
    <n v="115"/>
    <s v="Yes"/>
    <x v="1"/>
    <x v="3"/>
    <n v="1"/>
  </r>
  <r>
    <n v="19142"/>
    <x v="1"/>
    <n v="6"/>
    <n v="188"/>
    <s v="Yes"/>
    <x v="0"/>
    <x v="1"/>
    <n v="1"/>
  </r>
  <r>
    <n v="13153"/>
    <x v="1"/>
    <n v="8"/>
    <n v="279"/>
    <s v="No"/>
    <x v="1"/>
    <x v="3"/>
    <n v="0"/>
  </r>
  <r>
    <n v="12961"/>
    <x v="1"/>
    <n v="7"/>
    <n v="308"/>
    <s v="No"/>
    <x v="0"/>
    <x v="3"/>
    <n v="0"/>
  </r>
  <r>
    <n v="12974"/>
    <x v="1"/>
    <n v="10"/>
    <n v="47"/>
    <s v="No"/>
    <x v="0"/>
    <x v="1"/>
    <n v="0"/>
  </r>
  <r>
    <n v="12036"/>
    <x v="1"/>
    <n v="9"/>
    <n v="393"/>
    <s v="No"/>
    <x v="1"/>
    <x v="1"/>
    <n v="0"/>
  </r>
  <r>
    <n v="14454"/>
    <x v="1"/>
    <n v="7"/>
    <n v="345"/>
    <s v="Yes"/>
    <x v="0"/>
    <x v="3"/>
    <n v="1"/>
  </r>
  <r>
    <n v="18370"/>
    <x v="1"/>
    <n v="5"/>
    <n v="442"/>
    <s v="No"/>
    <x v="1"/>
    <x v="1"/>
    <n v="0"/>
  </r>
  <r>
    <n v="17235"/>
    <x v="0"/>
    <n v="5"/>
    <n v="439"/>
    <s v="No"/>
    <x v="0"/>
    <x v="2"/>
    <n v="0"/>
  </r>
  <r>
    <n v="11866"/>
    <x v="1"/>
    <n v="1"/>
    <n v="257"/>
    <s v="No"/>
    <x v="0"/>
    <x v="1"/>
    <n v="0"/>
  </r>
  <r>
    <n v="17182"/>
    <x v="0"/>
    <n v="5"/>
    <n v="111"/>
    <s v="No"/>
    <x v="1"/>
    <x v="0"/>
    <n v="0"/>
  </r>
  <r>
    <n v="14550"/>
    <x v="0"/>
    <n v="4"/>
    <n v="59"/>
    <s v="Yes"/>
    <x v="0"/>
    <x v="1"/>
    <n v="1"/>
  </r>
  <r>
    <n v="10952"/>
    <x v="0"/>
    <n v="3"/>
    <n v="413"/>
    <s v="No"/>
    <x v="1"/>
    <x v="0"/>
    <n v="0"/>
  </r>
  <r>
    <n v="11183"/>
    <x v="0"/>
    <n v="12"/>
    <n v="155"/>
    <s v="No"/>
    <x v="1"/>
    <x v="1"/>
    <n v="0"/>
  </r>
  <r>
    <n v="13666"/>
    <x v="0"/>
    <n v="4"/>
    <n v="84"/>
    <s v="No"/>
    <x v="0"/>
    <x v="0"/>
    <n v="0"/>
  </r>
  <r>
    <n v="18075"/>
    <x v="1"/>
    <n v="13"/>
    <n v="396"/>
    <s v="No"/>
    <x v="0"/>
    <x v="3"/>
    <n v="0"/>
  </r>
  <r>
    <n v="10919"/>
    <x v="0"/>
    <n v="11"/>
    <n v="230"/>
    <s v="No"/>
    <x v="1"/>
    <x v="3"/>
    <n v="0"/>
  </r>
  <r>
    <n v="16162"/>
    <x v="0"/>
    <n v="9"/>
    <n v="218"/>
    <s v="Yes"/>
    <x v="1"/>
    <x v="0"/>
    <n v="1"/>
  </r>
  <r>
    <n v="11438"/>
    <x v="0"/>
    <n v="11"/>
    <n v="427"/>
    <s v="No"/>
    <x v="1"/>
    <x v="3"/>
    <n v="0"/>
  </r>
  <r>
    <n v="16038"/>
    <x v="1"/>
    <n v="2"/>
    <n v="320"/>
    <s v="No"/>
    <x v="1"/>
    <x v="2"/>
    <n v="0"/>
  </r>
  <r>
    <n v="18597"/>
    <x v="1"/>
    <n v="14"/>
    <n v="128"/>
    <s v="No"/>
    <x v="0"/>
    <x v="1"/>
    <n v="0"/>
  </r>
  <r>
    <n v="19486"/>
    <x v="1"/>
    <n v="4"/>
    <n v="123"/>
    <s v="No"/>
    <x v="0"/>
    <x v="0"/>
    <n v="0"/>
  </r>
  <r>
    <n v="14902"/>
    <x v="1"/>
    <n v="13"/>
    <n v="181"/>
    <s v="No"/>
    <x v="1"/>
    <x v="1"/>
    <n v="0"/>
  </r>
  <r>
    <n v="10345"/>
    <x v="0"/>
    <n v="10"/>
    <n v="126"/>
    <s v="No"/>
    <x v="0"/>
    <x v="3"/>
    <n v="0"/>
  </r>
  <r>
    <n v="15712"/>
    <x v="1"/>
    <n v="6"/>
    <n v="257"/>
    <s v="No"/>
    <x v="1"/>
    <x v="1"/>
    <n v="0"/>
  </r>
  <r>
    <n v="11120"/>
    <x v="0"/>
    <n v="13"/>
    <n v="136"/>
    <s v="No"/>
    <x v="1"/>
    <x v="1"/>
    <n v="0"/>
  </r>
  <r>
    <n v="10174"/>
    <x v="1"/>
    <n v="6"/>
    <n v="393"/>
    <s v="No"/>
    <x v="0"/>
    <x v="2"/>
    <n v="0"/>
  </r>
  <r>
    <n v="14876"/>
    <x v="0"/>
    <n v="11"/>
    <n v="251"/>
    <s v="No"/>
    <x v="1"/>
    <x v="1"/>
    <n v="0"/>
  </r>
  <r>
    <n v="18468"/>
    <x v="1"/>
    <n v="10"/>
    <n v="165"/>
    <s v="No"/>
    <x v="0"/>
    <x v="0"/>
    <n v="0"/>
  </r>
  <r>
    <n v="13766"/>
    <x v="1"/>
    <n v="12"/>
    <n v="445"/>
    <s v="No"/>
    <x v="0"/>
    <x v="3"/>
    <n v="0"/>
  </r>
  <r>
    <n v="17083"/>
    <x v="0"/>
    <n v="11"/>
    <n v="99"/>
    <s v="No"/>
    <x v="0"/>
    <x v="3"/>
    <n v="0"/>
  </r>
  <r>
    <n v="16685"/>
    <x v="0"/>
    <n v="4"/>
    <n v="424"/>
    <s v="No"/>
    <x v="1"/>
    <x v="1"/>
    <n v="0"/>
  </r>
  <r>
    <n v="17841"/>
    <x v="0"/>
    <n v="14"/>
    <n v="229"/>
    <s v="Yes"/>
    <x v="1"/>
    <x v="0"/>
    <n v="1"/>
  </r>
  <r>
    <n v="14722"/>
    <x v="1"/>
    <n v="9"/>
    <n v="47"/>
    <s v="No"/>
    <x v="0"/>
    <x v="3"/>
    <n v="0"/>
  </r>
  <r>
    <n v="17950"/>
    <x v="0"/>
    <n v="10"/>
    <n v="174"/>
    <s v="No"/>
    <x v="0"/>
    <x v="3"/>
    <n v="0"/>
  </r>
  <r>
    <n v="10674"/>
    <x v="1"/>
    <n v="12"/>
    <n v="130"/>
    <s v="No"/>
    <x v="1"/>
    <x v="1"/>
    <n v="0"/>
  </r>
  <r>
    <n v="16345"/>
    <x v="0"/>
    <n v="10"/>
    <n v="200"/>
    <s v="No"/>
    <x v="1"/>
    <x v="3"/>
    <n v="0"/>
  </r>
  <r>
    <n v="10503"/>
    <x v="1"/>
    <n v="7"/>
    <n v="445"/>
    <s v="No"/>
    <x v="1"/>
    <x v="1"/>
    <n v="0"/>
  </r>
  <r>
    <n v="10858"/>
    <x v="0"/>
    <n v="12"/>
    <n v="219"/>
    <s v="No"/>
    <x v="1"/>
    <x v="2"/>
    <n v="0"/>
  </r>
  <r>
    <n v="10305"/>
    <x v="1"/>
    <n v="2"/>
    <n v="410"/>
    <s v="No"/>
    <x v="1"/>
    <x v="0"/>
    <n v="0"/>
  </r>
  <r>
    <n v="17190"/>
    <x v="1"/>
    <n v="10"/>
    <n v="54"/>
    <s v="No"/>
    <x v="1"/>
    <x v="3"/>
    <n v="0"/>
  </r>
  <r>
    <n v="11322"/>
    <x v="1"/>
    <n v="5"/>
    <n v="242"/>
    <s v="No"/>
    <x v="0"/>
    <x v="2"/>
    <n v="0"/>
  </r>
  <r>
    <n v="10449"/>
    <x v="1"/>
    <n v="13"/>
    <n v="70"/>
    <s v="No"/>
    <x v="0"/>
    <x v="2"/>
    <n v="0"/>
  </r>
  <r>
    <n v="11071"/>
    <x v="0"/>
    <n v="11"/>
    <n v="146"/>
    <s v="No"/>
    <x v="1"/>
    <x v="3"/>
    <n v="0"/>
  </r>
  <r>
    <n v="12581"/>
    <x v="1"/>
    <n v="10"/>
    <n v="210"/>
    <s v="No"/>
    <x v="0"/>
    <x v="0"/>
    <n v="0"/>
  </r>
  <r>
    <n v="12443"/>
    <x v="1"/>
    <n v="7"/>
    <n v="293"/>
    <s v="No"/>
    <x v="1"/>
    <x v="1"/>
    <n v="0"/>
  </r>
  <r>
    <n v="16441"/>
    <x v="1"/>
    <n v="6"/>
    <n v="322"/>
    <s v="No"/>
    <x v="0"/>
    <x v="2"/>
    <n v="0"/>
  </r>
  <r>
    <n v="15636"/>
    <x v="0"/>
    <n v="3"/>
    <n v="286"/>
    <s v="No"/>
    <x v="0"/>
    <x v="3"/>
    <n v="0"/>
  </r>
  <r>
    <n v="14217"/>
    <x v="1"/>
    <n v="13"/>
    <n v="379"/>
    <s v="No"/>
    <x v="1"/>
    <x v="1"/>
    <n v="0"/>
  </r>
  <r>
    <n v="11529"/>
    <x v="1"/>
    <n v="11"/>
    <n v="271"/>
    <s v="No"/>
    <x v="1"/>
    <x v="3"/>
    <n v="0"/>
  </r>
  <r>
    <n v="15950"/>
    <x v="1"/>
    <n v="8"/>
    <n v="81"/>
    <s v="No"/>
    <x v="1"/>
    <x v="0"/>
    <n v="0"/>
  </r>
  <r>
    <n v="13097"/>
    <x v="1"/>
    <n v="9"/>
    <n v="424"/>
    <s v="No"/>
    <x v="0"/>
    <x v="1"/>
    <n v="0"/>
  </r>
  <r>
    <n v="14909"/>
    <x v="1"/>
    <n v="12"/>
    <n v="262"/>
    <s v="Yes"/>
    <x v="1"/>
    <x v="3"/>
    <n v="1"/>
  </r>
  <r>
    <n v="19785"/>
    <x v="1"/>
    <n v="5"/>
    <n v="355"/>
    <s v="No"/>
    <x v="1"/>
    <x v="1"/>
    <n v="0"/>
  </r>
  <r>
    <n v="15769"/>
    <x v="1"/>
    <n v="12"/>
    <n v="122"/>
    <s v="No"/>
    <x v="1"/>
    <x v="3"/>
    <n v="0"/>
  </r>
  <r>
    <n v="12726"/>
    <x v="0"/>
    <n v="3"/>
    <n v="233"/>
    <s v="No"/>
    <x v="0"/>
    <x v="3"/>
    <n v="0"/>
  </r>
  <r>
    <n v="16824"/>
    <x v="1"/>
    <n v="7"/>
    <n v="292"/>
    <s v="No"/>
    <x v="0"/>
    <x v="3"/>
    <n v="0"/>
  </r>
  <r>
    <n v="17122"/>
    <x v="1"/>
    <n v="4"/>
    <n v="422"/>
    <s v="No"/>
    <x v="0"/>
    <x v="0"/>
    <n v="0"/>
  </r>
  <r>
    <n v="10161"/>
    <x v="0"/>
    <n v="5"/>
    <n v="231"/>
    <s v="No"/>
    <x v="0"/>
    <x v="0"/>
    <n v="0"/>
  </r>
  <r>
    <n v="12863"/>
    <x v="1"/>
    <n v="4"/>
    <n v="226"/>
    <s v="No"/>
    <x v="0"/>
    <x v="2"/>
    <n v="0"/>
  </r>
  <r>
    <n v="13598"/>
    <x v="1"/>
    <n v="7"/>
    <n v="324"/>
    <s v="No"/>
    <x v="1"/>
    <x v="3"/>
    <n v="0"/>
  </r>
  <r>
    <n v="19759"/>
    <x v="0"/>
    <n v="6"/>
    <n v="211"/>
    <s v="Yes"/>
    <x v="0"/>
    <x v="1"/>
    <n v="1"/>
  </r>
  <r>
    <n v="10367"/>
    <x v="0"/>
    <n v="13"/>
    <n v="184"/>
    <s v="No"/>
    <x v="0"/>
    <x v="1"/>
    <n v="0"/>
  </r>
  <r>
    <n v="15065"/>
    <x v="0"/>
    <n v="7"/>
    <n v="48"/>
    <s v="No"/>
    <x v="0"/>
    <x v="2"/>
    <n v="0"/>
  </r>
  <r>
    <n v="16643"/>
    <x v="1"/>
    <n v="2"/>
    <n v="163"/>
    <s v="No"/>
    <x v="0"/>
    <x v="1"/>
    <n v="0"/>
  </r>
  <r>
    <n v="18435"/>
    <x v="1"/>
    <n v="13"/>
    <n v="218"/>
    <s v="No"/>
    <x v="1"/>
    <x v="1"/>
    <n v="0"/>
  </r>
  <r>
    <n v="15321"/>
    <x v="1"/>
    <n v="10"/>
    <n v="43"/>
    <s v="No"/>
    <x v="0"/>
    <x v="1"/>
    <n v="0"/>
  </r>
  <r>
    <n v="16523"/>
    <x v="1"/>
    <n v="13"/>
    <n v="306"/>
    <s v="No"/>
    <x v="1"/>
    <x v="3"/>
    <n v="0"/>
  </r>
  <r>
    <n v="11137"/>
    <x v="1"/>
    <n v="10"/>
    <n v="152"/>
    <s v="No"/>
    <x v="1"/>
    <x v="3"/>
    <n v="0"/>
  </r>
  <r>
    <n v="14980"/>
    <x v="1"/>
    <n v="6"/>
    <n v="201"/>
    <s v="No"/>
    <x v="1"/>
    <x v="0"/>
    <n v="0"/>
  </r>
  <r>
    <n v="15736"/>
    <x v="0"/>
    <n v="4"/>
    <n v="117"/>
    <s v="No"/>
    <x v="1"/>
    <x v="3"/>
    <n v="0"/>
  </r>
  <r>
    <n v="12780"/>
    <x v="0"/>
    <n v="12"/>
    <n v="60"/>
    <s v="No"/>
    <x v="1"/>
    <x v="0"/>
    <n v="0"/>
  </r>
  <r>
    <n v="11841"/>
    <x v="1"/>
    <n v="4"/>
    <n v="434"/>
    <s v="No"/>
    <x v="0"/>
    <x v="3"/>
    <n v="0"/>
  </r>
  <r>
    <n v="11247"/>
    <x v="0"/>
    <n v="7"/>
    <n v="185"/>
    <s v="No"/>
    <x v="0"/>
    <x v="1"/>
    <n v="0"/>
  </r>
  <r>
    <n v="19016"/>
    <x v="0"/>
    <n v="12"/>
    <n v="398"/>
    <s v="Yes"/>
    <x v="1"/>
    <x v="3"/>
    <n v="1"/>
  </r>
  <r>
    <n v="10359"/>
    <x v="1"/>
    <n v="1"/>
    <n v="422"/>
    <s v="No"/>
    <x v="0"/>
    <x v="3"/>
    <n v="0"/>
  </r>
  <r>
    <n v="18746"/>
    <x v="0"/>
    <n v="12"/>
    <n v="279"/>
    <s v="No"/>
    <x v="1"/>
    <x v="1"/>
    <n v="0"/>
  </r>
  <r>
    <n v="12621"/>
    <x v="0"/>
    <n v="2"/>
    <n v="344"/>
    <s v="No"/>
    <x v="0"/>
    <x v="0"/>
    <n v="0"/>
  </r>
  <r>
    <n v="17852"/>
    <x v="1"/>
    <n v="11"/>
    <n v="99"/>
    <s v="No"/>
    <x v="0"/>
    <x v="2"/>
    <n v="0"/>
  </r>
  <r>
    <n v="18373"/>
    <x v="1"/>
    <n v="12"/>
    <n v="265"/>
    <s v="No"/>
    <x v="1"/>
    <x v="3"/>
    <n v="0"/>
  </r>
  <r>
    <n v="15335"/>
    <x v="0"/>
    <n v="10"/>
    <n v="285"/>
    <s v="No"/>
    <x v="1"/>
    <x v="1"/>
    <n v="0"/>
  </r>
  <r>
    <n v="11681"/>
    <x v="1"/>
    <n v="1"/>
    <n v="412"/>
    <s v="No"/>
    <x v="0"/>
    <x v="2"/>
    <n v="0"/>
  </r>
  <r>
    <n v="18326"/>
    <x v="1"/>
    <n v="13"/>
    <n v="95"/>
    <s v="No"/>
    <x v="1"/>
    <x v="2"/>
    <n v="0"/>
  </r>
  <r>
    <n v="16049"/>
    <x v="1"/>
    <n v="9"/>
    <n v="211"/>
    <s v="No"/>
    <x v="0"/>
    <x v="2"/>
    <n v="0"/>
  </r>
  <r>
    <n v="16609"/>
    <x v="0"/>
    <n v="6"/>
    <n v="66"/>
    <s v="Yes"/>
    <x v="1"/>
    <x v="3"/>
    <n v="1"/>
  </r>
  <r>
    <n v="12218"/>
    <x v="1"/>
    <n v="13"/>
    <n v="315"/>
    <s v="No"/>
    <x v="0"/>
    <x v="2"/>
    <n v="0"/>
  </r>
  <r>
    <n v="18321"/>
    <x v="0"/>
    <n v="9"/>
    <n v="383"/>
    <s v="No"/>
    <x v="0"/>
    <x v="0"/>
    <n v="0"/>
  </r>
  <r>
    <n v="11938"/>
    <x v="1"/>
    <n v="14"/>
    <n v="109"/>
    <s v="No"/>
    <x v="0"/>
    <x v="0"/>
    <n v="0"/>
  </r>
  <r>
    <n v="13420"/>
    <x v="1"/>
    <n v="6"/>
    <n v="309"/>
    <s v="No"/>
    <x v="0"/>
    <x v="0"/>
    <n v="0"/>
  </r>
  <r>
    <n v="10312"/>
    <x v="0"/>
    <n v="10"/>
    <n v="220"/>
    <s v="No"/>
    <x v="1"/>
    <x v="0"/>
    <n v="0"/>
  </r>
  <r>
    <n v="17297"/>
    <x v="0"/>
    <n v="6"/>
    <n v="132"/>
    <s v="No"/>
    <x v="1"/>
    <x v="1"/>
    <n v="0"/>
  </r>
  <r>
    <n v="13754"/>
    <x v="1"/>
    <n v="4"/>
    <n v="322"/>
    <s v="No"/>
    <x v="0"/>
    <x v="1"/>
    <n v="0"/>
  </r>
  <r>
    <n v="13004"/>
    <x v="0"/>
    <n v="13"/>
    <n v="121"/>
    <s v="No"/>
    <x v="1"/>
    <x v="0"/>
    <n v="0"/>
  </r>
  <r>
    <n v="18346"/>
    <x v="1"/>
    <n v="9"/>
    <n v="320"/>
    <s v="No"/>
    <x v="0"/>
    <x v="3"/>
    <n v="0"/>
  </r>
  <r>
    <n v="13018"/>
    <x v="0"/>
    <n v="8"/>
    <n v="174"/>
    <s v="No"/>
    <x v="1"/>
    <x v="2"/>
    <n v="0"/>
  </r>
  <r>
    <n v="12199"/>
    <x v="1"/>
    <n v="1"/>
    <n v="313"/>
    <s v="No"/>
    <x v="0"/>
    <x v="3"/>
    <n v="0"/>
  </r>
  <r>
    <n v="17657"/>
    <x v="1"/>
    <n v="6"/>
    <n v="302"/>
    <s v="No"/>
    <x v="1"/>
    <x v="1"/>
    <n v="0"/>
  </r>
  <r>
    <n v="19238"/>
    <x v="0"/>
    <n v="8"/>
    <n v="253"/>
    <s v="No"/>
    <x v="1"/>
    <x v="0"/>
    <n v="0"/>
  </r>
  <r>
    <n v="15406"/>
    <x v="0"/>
    <n v="10"/>
    <n v="113"/>
    <s v="No"/>
    <x v="0"/>
    <x v="2"/>
    <n v="0"/>
  </r>
  <r>
    <n v="16372"/>
    <x v="1"/>
    <n v="6"/>
    <n v="49"/>
    <s v="No"/>
    <x v="0"/>
    <x v="3"/>
    <n v="0"/>
  </r>
  <r>
    <n v="18172"/>
    <x v="1"/>
    <n v="13"/>
    <n v="117"/>
    <s v="No"/>
    <x v="1"/>
    <x v="2"/>
    <n v="0"/>
  </r>
  <r>
    <n v="13426"/>
    <x v="0"/>
    <n v="8"/>
    <n v="252"/>
    <s v="No"/>
    <x v="0"/>
    <x v="0"/>
    <n v="0"/>
  </r>
  <r>
    <n v="19807"/>
    <x v="1"/>
    <n v="1"/>
    <n v="148"/>
    <s v="Yes"/>
    <x v="1"/>
    <x v="2"/>
    <n v="1"/>
  </r>
  <r>
    <n v="10290"/>
    <x v="0"/>
    <n v="14"/>
    <n v="76"/>
    <s v="Yes"/>
    <x v="0"/>
    <x v="2"/>
    <n v="1"/>
  </r>
  <r>
    <n v="12368"/>
    <x v="0"/>
    <n v="8"/>
    <n v="51"/>
    <s v="No"/>
    <x v="1"/>
    <x v="1"/>
    <n v="0"/>
  </r>
  <r>
    <n v="12245"/>
    <x v="1"/>
    <n v="12"/>
    <n v="156"/>
    <s v="No"/>
    <x v="0"/>
    <x v="1"/>
    <n v="0"/>
  </r>
  <r>
    <n v="11297"/>
    <x v="0"/>
    <n v="14"/>
    <n v="399"/>
    <s v="No"/>
    <x v="0"/>
    <x v="0"/>
    <n v="0"/>
  </r>
  <r>
    <n v="11630"/>
    <x v="0"/>
    <n v="4"/>
    <n v="294"/>
    <s v="No"/>
    <x v="1"/>
    <x v="0"/>
    <n v="0"/>
  </r>
  <r>
    <n v="16337"/>
    <x v="0"/>
    <n v="13"/>
    <n v="171"/>
    <s v="No"/>
    <x v="1"/>
    <x v="0"/>
    <n v="0"/>
  </r>
  <r>
    <n v="17364"/>
    <x v="1"/>
    <n v="10"/>
    <n v="389"/>
    <s v="No"/>
    <x v="0"/>
    <x v="3"/>
    <n v="0"/>
  </r>
  <r>
    <n v="17401"/>
    <x v="0"/>
    <n v="8"/>
    <n v="181"/>
    <s v="No"/>
    <x v="1"/>
    <x v="3"/>
    <n v="0"/>
  </r>
  <r>
    <n v="14436"/>
    <x v="1"/>
    <n v="13"/>
    <n v="61"/>
    <s v="No"/>
    <x v="1"/>
    <x v="1"/>
    <n v="0"/>
  </r>
  <r>
    <n v="15479"/>
    <x v="0"/>
    <n v="12"/>
    <n v="346"/>
    <s v="No"/>
    <x v="1"/>
    <x v="3"/>
    <n v="0"/>
  </r>
  <r>
    <n v="17547"/>
    <x v="1"/>
    <n v="14"/>
    <n v="350"/>
    <s v="No"/>
    <x v="1"/>
    <x v="1"/>
    <n v="0"/>
  </r>
  <r>
    <n v="15697"/>
    <x v="0"/>
    <n v="3"/>
    <n v="306"/>
    <s v="Yes"/>
    <x v="0"/>
    <x v="0"/>
    <n v="1"/>
  </r>
  <r>
    <n v="12358"/>
    <x v="0"/>
    <n v="1"/>
    <n v="336"/>
    <s v="No"/>
    <x v="0"/>
    <x v="2"/>
    <n v="0"/>
  </r>
  <r>
    <n v="19492"/>
    <x v="0"/>
    <n v="11"/>
    <n v="100"/>
    <s v="No"/>
    <x v="1"/>
    <x v="1"/>
    <n v="0"/>
  </r>
  <r>
    <n v="13780"/>
    <x v="1"/>
    <n v="1"/>
    <n v="267"/>
    <s v="No"/>
    <x v="0"/>
    <x v="1"/>
    <n v="0"/>
  </r>
  <r>
    <n v="17385"/>
    <x v="0"/>
    <n v="7"/>
    <n v="73"/>
    <s v="No"/>
    <x v="0"/>
    <x v="1"/>
    <n v="0"/>
  </r>
  <r>
    <n v="11736"/>
    <x v="0"/>
    <n v="11"/>
    <n v="316"/>
    <s v="No"/>
    <x v="1"/>
    <x v="1"/>
    <n v="0"/>
  </r>
  <r>
    <n v="11157"/>
    <x v="1"/>
    <n v="9"/>
    <n v="142"/>
    <s v="Yes"/>
    <x v="1"/>
    <x v="1"/>
    <n v="1"/>
  </r>
  <r>
    <n v="19596"/>
    <x v="0"/>
    <n v="9"/>
    <n v="197"/>
    <s v="No"/>
    <x v="1"/>
    <x v="2"/>
    <n v="0"/>
  </r>
  <r>
    <n v="15314"/>
    <x v="0"/>
    <n v="6"/>
    <n v="377"/>
    <s v="No"/>
    <x v="0"/>
    <x v="3"/>
    <n v="0"/>
  </r>
  <r>
    <n v="12408"/>
    <x v="1"/>
    <n v="11"/>
    <n v="68"/>
    <s v="No"/>
    <x v="0"/>
    <x v="1"/>
    <n v="0"/>
  </r>
  <r>
    <n v="14257"/>
    <x v="1"/>
    <n v="11"/>
    <n v="237"/>
    <s v="No"/>
    <x v="1"/>
    <x v="0"/>
    <n v="0"/>
  </r>
  <r>
    <n v="10243"/>
    <x v="1"/>
    <n v="11"/>
    <n v="169"/>
    <s v="No"/>
    <x v="1"/>
    <x v="0"/>
    <n v="0"/>
  </r>
  <r>
    <n v="16665"/>
    <x v="0"/>
    <n v="6"/>
    <n v="449"/>
    <s v="No"/>
    <x v="1"/>
    <x v="3"/>
    <n v="0"/>
  </r>
  <r>
    <n v="15853"/>
    <x v="1"/>
    <n v="12"/>
    <n v="73"/>
    <s v="No"/>
    <x v="0"/>
    <x v="2"/>
    <n v="0"/>
  </r>
  <r>
    <n v="10693"/>
    <x v="0"/>
    <n v="6"/>
    <n v="403"/>
    <s v="No"/>
    <x v="0"/>
    <x v="1"/>
    <n v="0"/>
  </r>
  <r>
    <n v="17255"/>
    <x v="0"/>
    <n v="1"/>
    <n v="182"/>
    <s v="No"/>
    <x v="1"/>
    <x v="1"/>
    <n v="0"/>
  </r>
  <r>
    <n v="16405"/>
    <x v="0"/>
    <n v="11"/>
    <n v="207"/>
    <s v="No"/>
    <x v="1"/>
    <x v="0"/>
    <n v="0"/>
  </r>
  <r>
    <n v="19800"/>
    <x v="0"/>
    <n v="5"/>
    <n v="428"/>
    <s v="No"/>
    <x v="1"/>
    <x v="0"/>
    <n v="0"/>
  </r>
  <r>
    <n v="16101"/>
    <x v="1"/>
    <n v="11"/>
    <n v="148"/>
    <s v="No"/>
    <x v="1"/>
    <x v="0"/>
    <n v="0"/>
  </r>
  <r>
    <n v="13596"/>
    <x v="0"/>
    <n v="4"/>
    <n v="160"/>
    <s v="No"/>
    <x v="1"/>
    <x v="3"/>
    <n v="0"/>
  </r>
  <r>
    <n v="17946"/>
    <x v="0"/>
    <n v="1"/>
    <n v="440"/>
    <s v="No"/>
    <x v="1"/>
    <x v="0"/>
    <n v="0"/>
  </r>
  <r>
    <n v="14242"/>
    <x v="0"/>
    <n v="10"/>
    <n v="209"/>
    <s v="No"/>
    <x v="0"/>
    <x v="1"/>
    <n v="0"/>
  </r>
  <r>
    <n v="12746"/>
    <x v="0"/>
    <n v="6"/>
    <n v="89"/>
    <s v="No"/>
    <x v="0"/>
    <x v="1"/>
    <n v="0"/>
  </r>
  <r>
    <n v="17733"/>
    <x v="1"/>
    <n v="10"/>
    <n v="134"/>
    <s v="No"/>
    <x v="0"/>
    <x v="1"/>
    <n v="0"/>
  </r>
  <r>
    <n v="18913"/>
    <x v="1"/>
    <n v="4"/>
    <n v="320"/>
    <s v="No"/>
    <x v="0"/>
    <x v="1"/>
    <n v="0"/>
  </r>
  <r>
    <n v="17443"/>
    <x v="1"/>
    <n v="14"/>
    <n v="385"/>
    <s v="Yes"/>
    <x v="1"/>
    <x v="2"/>
    <n v="1"/>
  </r>
  <r>
    <n v="15148"/>
    <x v="0"/>
    <n v="2"/>
    <n v="358"/>
    <s v="No"/>
    <x v="1"/>
    <x v="0"/>
    <n v="0"/>
  </r>
  <r>
    <n v="12130"/>
    <x v="1"/>
    <n v="12"/>
    <n v="286"/>
    <s v="No"/>
    <x v="1"/>
    <x v="1"/>
    <n v="0"/>
  </r>
  <r>
    <n v="18400"/>
    <x v="1"/>
    <n v="13"/>
    <n v="263"/>
    <s v="No"/>
    <x v="1"/>
    <x v="3"/>
    <n v="0"/>
  </r>
  <r>
    <n v="18758"/>
    <x v="1"/>
    <n v="2"/>
    <n v="150"/>
    <s v="No"/>
    <x v="1"/>
    <x v="3"/>
    <n v="0"/>
  </r>
  <r>
    <n v="17981"/>
    <x v="0"/>
    <n v="3"/>
    <n v="316"/>
    <s v="No"/>
    <x v="1"/>
    <x v="0"/>
    <n v="0"/>
  </r>
  <r>
    <n v="15170"/>
    <x v="0"/>
    <n v="2"/>
    <n v="290"/>
    <s v="No"/>
    <x v="1"/>
    <x v="3"/>
    <n v="0"/>
  </r>
  <r>
    <n v="12157"/>
    <x v="1"/>
    <n v="2"/>
    <n v="322"/>
    <s v="No"/>
    <x v="1"/>
    <x v="2"/>
    <n v="0"/>
  </r>
  <r>
    <n v="16437"/>
    <x v="0"/>
    <n v="12"/>
    <n v="379"/>
    <s v="No"/>
    <x v="0"/>
    <x v="2"/>
    <n v="0"/>
  </r>
  <r>
    <n v="17310"/>
    <x v="1"/>
    <n v="4"/>
    <n v="232"/>
    <s v="No"/>
    <x v="1"/>
    <x v="2"/>
    <n v="0"/>
  </r>
  <r>
    <n v="13298"/>
    <x v="1"/>
    <n v="12"/>
    <n v="67"/>
    <s v="No"/>
    <x v="1"/>
    <x v="0"/>
    <n v="0"/>
  </r>
  <r>
    <n v="18543"/>
    <x v="1"/>
    <n v="2"/>
    <n v="68"/>
    <s v="No"/>
    <x v="0"/>
    <x v="1"/>
    <n v="0"/>
  </r>
  <r>
    <n v="13607"/>
    <x v="1"/>
    <n v="8"/>
    <n v="414"/>
    <s v="No"/>
    <x v="1"/>
    <x v="0"/>
    <n v="0"/>
  </r>
  <r>
    <n v="14981"/>
    <x v="1"/>
    <n v="7"/>
    <n v="372"/>
    <s v="No"/>
    <x v="0"/>
    <x v="3"/>
    <n v="0"/>
  </r>
  <r>
    <n v="14046"/>
    <x v="0"/>
    <n v="4"/>
    <n v="387"/>
    <s v="No"/>
    <x v="1"/>
    <x v="2"/>
    <n v="0"/>
  </r>
  <r>
    <n v="15751"/>
    <x v="0"/>
    <n v="3"/>
    <n v="202"/>
    <s v="No"/>
    <x v="1"/>
    <x v="1"/>
    <n v="0"/>
  </r>
  <r>
    <n v="18874"/>
    <x v="1"/>
    <n v="1"/>
    <n v="159"/>
    <s v="No"/>
    <x v="1"/>
    <x v="2"/>
    <n v="0"/>
  </r>
  <r>
    <n v="16797"/>
    <x v="0"/>
    <n v="3"/>
    <n v="404"/>
    <s v="No"/>
    <x v="0"/>
    <x v="1"/>
    <n v="0"/>
  </r>
  <r>
    <n v="11915"/>
    <x v="1"/>
    <n v="3"/>
    <n v="116"/>
    <s v="No"/>
    <x v="1"/>
    <x v="3"/>
    <n v="0"/>
  </r>
  <r>
    <n v="10054"/>
    <x v="0"/>
    <n v="8"/>
    <n v="279"/>
    <s v="No"/>
    <x v="0"/>
    <x v="0"/>
    <n v="0"/>
  </r>
  <r>
    <n v="17272"/>
    <x v="0"/>
    <n v="5"/>
    <n v="327"/>
    <s v="No"/>
    <x v="0"/>
    <x v="3"/>
    <n v="0"/>
  </r>
  <r>
    <n v="12118"/>
    <x v="1"/>
    <n v="3"/>
    <n v="250"/>
    <s v="No"/>
    <x v="1"/>
    <x v="1"/>
    <n v="0"/>
  </r>
  <r>
    <n v="17818"/>
    <x v="1"/>
    <n v="4"/>
    <n v="262"/>
    <s v="No"/>
    <x v="0"/>
    <x v="1"/>
    <n v="0"/>
  </r>
  <r>
    <n v="16508"/>
    <x v="1"/>
    <n v="2"/>
    <n v="49"/>
    <s v="No"/>
    <x v="1"/>
    <x v="2"/>
    <n v="0"/>
  </r>
  <r>
    <n v="11320"/>
    <x v="0"/>
    <n v="11"/>
    <n v="118"/>
    <s v="No"/>
    <x v="0"/>
    <x v="2"/>
    <n v="0"/>
  </r>
  <r>
    <n v="11889"/>
    <x v="1"/>
    <n v="11"/>
    <n v="304"/>
    <s v="No"/>
    <x v="1"/>
    <x v="3"/>
    <n v="0"/>
  </r>
  <r>
    <n v="19911"/>
    <x v="1"/>
    <n v="14"/>
    <n v="145"/>
    <s v="No"/>
    <x v="1"/>
    <x v="1"/>
    <n v="0"/>
  </r>
  <r>
    <n v="10957"/>
    <x v="0"/>
    <n v="13"/>
    <n v="117"/>
    <s v="No"/>
    <x v="0"/>
    <x v="0"/>
    <n v="0"/>
  </r>
  <r>
    <n v="19024"/>
    <x v="1"/>
    <n v="10"/>
    <n v="118"/>
    <s v="No"/>
    <x v="1"/>
    <x v="0"/>
    <n v="0"/>
  </r>
  <r>
    <n v="10382"/>
    <x v="1"/>
    <n v="10"/>
    <n v="194"/>
    <s v="Yes"/>
    <x v="1"/>
    <x v="0"/>
    <n v="1"/>
  </r>
  <r>
    <n v="16805"/>
    <x v="1"/>
    <n v="9"/>
    <n v="421"/>
    <s v="No"/>
    <x v="0"/>
    <x v="0"/>
    <n v="0"/>
  </r>
  <r>
    <n v="18531"/>
    <x v="1"/>
    <n v="8"/>
    <n v="403"/>
    <s v="No"/>
    <x v="0"/>
    <x v="3"/>
    <n v="0"/>
  </r>
  <r>
    <n v="15186"/>
    <x v="0"/>
    <n v="2"/>
    <n v="241"/>
    <s v="No"/>
    <x v="1"/>
    <x v="3"/>
    <n v="0"/>
  </r>
  <r>
    <n v="16108"/>
    <x v="1"/>
    <n v="3"/>
    <n v="371"/>
    <s v="No"/>
    <x v="1"/>
    <x v="3"/>
    <n v="0"/>
  </r>
  <r>
    <n v="17496"/>
    <x v="1"/>
    <n v="1"/>
    <n v="338"/>
    <s v="No"/>
    <x v="1"/>
    <x v="1"/>
    <n v="0"/>
  </r>
  <r>
    <n v="13118"/>
    <x v="1"/>
    <n v="1"/>
    <n v="385"/>
    <s v="No"/>
    <x v="1"/>
    <x v="1"/>
    <n v="0"/>
  </r>
  <r>
    <n v="17409"/>
    <x v="1"/>
    <n v="2"/>
    <n v="358"/>
    <s v="No"/>
    <x v="1"/>
    <x v="0"/>
    <n v="0"/>
  </r>
  <r>
    <n v="12170"/>
    <x v="1"/>
    <n v="6"/>
    <n v="355"/>
    <s v="No"/>
    <x v="0"/>
    <x v="2"/>
    <n v="0"/>
  </r>
  <r>
    <n v="15579"/>
    <x v="1"/>
    <n v="13"/>
    <n v="240"/>
    <s v="No"/>
    <x v="1"/>
    <x v="0"/>
    <n v="0"/>
  </r>
  <r>
    <n v="13479"/>
    <x v="0"/>
    <n v="14"/>
    <n v="340"/>
    <s v="No"/>
    <x v="1"/>
    <x v="2"/>
    <n v="0"/>
  </r>
  <r>
    <n v="15120"/>
    <x v="1"/>
    <n v="14"/>
    <n v="401"/>
    <s v="No"/>
    <x v="1"/>
    <x v="3"/>
    <n v="0"/>
  </r>
  <r>
    <n v="18652"/>
    <x v="1"/>
    <n v="4"/>
    <n v="426"/>
    <s v="No"/>
    <x v="1"/>
    <x v="0"/>
    <n v="0"/>
  </r>
  <r>
    <n v="16479"/>
    <x v="0"/>
    <n v="11"/>
    <n v="161"/>
    <s v="No"/>
    <x v="1"/>
    <x v="0"/>
    <n v="0"/>
  </r>
  <r>
    <n v="12364"/>
    <x v="1"/>
    <n v="7"/>
    <n v="291"/>
    <s v="No"/>
    <x v="1"/>
    <x v="1"/>
    <n v="0"/>
  </r>
  <r>
    <n v="16669"/>
    <x v="1"/>
    <n v="14"/>
    <n v="159"/>
    <s v="No"/>
    <x v="1"/>
    <x v="2"/>
    <n v="0"/>
  </r>
  <r>
    <n v="13934"/>
    <x v="0"/>
    <n v="11"/>
    <n v="131"/>
    <s v="Yes"/>
    <x v="0"/>
    <x v="1"/>
    <n v="1"/>
  </r>
  <r>
    <n v="13141"/>
    <x v="0"/>
    <n v="6"/>
    <n v="73"/>
    <s v="Yes"/>
    <x v="0"/>
    <x v="1"/>
    <n v="1"/>
  </r>
  <r>
    <n v="17731"/>
    <x v="0"/>
    <n v="9"/>
    <n v="248"/>
    <s v="Yes"/>
    <x v="1"/>
    <x v="0"/>
    <n v="1"/>
  </r>
  <r>
    <n v="16082"/>
    <x v="0"/>
    <n v="13"/>
    <n v="300"/>
    <s v="No"/>
    <x v="0"/>
    <x v="0"/>
    <n v="0"/>
  </r>
  <r>
    <n v="10478"/>
    <x v="0"/>
    <n v="1"/>
    <n v="255"/>
    <s v="No"/>
    <x v="1"/>
    <x v="2"/>
    <n v="0"/>
  </r>
  <r>
    <n v="11340"/>
    <x v="0"/>
    <n v="1"/>
    <n v="277"/>
    <s v="No"/>
    <x v="0"/>
    <x v="2"/>
    <n v="0"/>
  </r>
  <r>
    <n v="11750"/>
    <x v="1"/>
    <n v="2"/>
    <n v="395"/>
    <s v="No"/>
    <x v="1"/>
    <x v="1"/>
    <n v="0"/>
  </r>
  <r>
    <n v="12091"/>
    <x v="0"/>
    <n v="8"/>
    <n v="223"/>
    <s v="No"/>
    <x v="1"/>
    <x v="1"/>
    <n v="0"/>
  </r>
  <r>
    <n v="11443"/>
    <x v="0"/>
    <n v="8"/>
    <n v="127"/>
    <s v="No"/>
    <x v="1"/>
    <x v="1"/>
    <n v="0"/>
  </r>
  <r>
    <n v="15473"/>
    <x v="0"/>
    <n v="1"/>
    <n v="118"/>
    <s v="Yes"/>
    <x v="1"/>
    <x v="1"/>
    <n v="1"/>
  </r>
  <r>
    <n v="18646"/>
    <x v="1"/>
    <n v="12"/>
    <n v="179"/>
    <s v="No"/>
    <x v="1"/>
    <x v="1"/>
    <n v="0"/>
  </r>
  <r>
    <n v="15229"/>
    <x v="0"/>
    <n v="8"/>
    <n v="321"/>
    <s v="No"/>
    <x v="1"/>
    <x v="1"/>
    <n v="0"/>
  </r>
  <r>
    <n v="13826"/>
    <x v="1"/>
    <n v="10"/>
    <n v="207"/>
    <s v="Yes"/>
    <x v="0"/>
    <x v="3"/>
    <n v="1"/>
  </r>
  <r>
    <n v="13303"/>
    <x v="1"/>
    <n v="11"/>
    <n v="258"/>
    <s v="No"/>
    <x v="0"/>
    <x v="2"/>
    <n v="0"/>
  </r>
  <r>
    <n v="17704"/>
    <x v="0"/>
    <n v="8"/>
    <n v="309"/>
    <s v="No"/>
    <x v="1"/>
    <x v="0"/>
    <n v="0"/>
  </r>
  <r>
    <n v="12767"/>
    <x v="1"/>
    <n v="6"/>
    <n v="235"/>
    <s v="No"/>
    <x v="1"/>
    <x v="3"/>
    <n v="0"/>
  </r>
  <r>
    <n v="10724"/>
    <x v="1"/>
    <n v="10"/>
    <n v="205"/>
    <s v="No"/>
    <x v="1"/>
    <x v="3"/>
    <n v="0"/>
  </r>
  <r>
    <n v="13183"/>
    <x v="1"/>
    <n v="12"/>
    <n v="93"/>
    <s v="No"/>
    <x v="1"/>
    <x v="0"/>
    <n v="0"/>
  </r>
  <r>
    <n v="10942"/>
    <x v="1"/>
    <n v="14"/>
    <n v="210"/>
    <s v="No"/>
    <x v="0"/>
    <x v="0"/>
    <n v="0"/>
  </r>
  <r>
    <n v="16784"/>
    <x v="0"/>
    <n v="3"/>
    <n v="298"/>
    <s v="No"/>
    <x v="0"/>
    <x v="2"/>
    <n v="0"/>
  </r>
  <r>
    <n v="12722"/>
    <x v="0"/>
    <n v="9"/>
    <n v="379"/>
    <s v="No"/>
    <x v="0"/>
    <x v="0"/>
    <n v="0"/>
  </r>
  <r>
    <n v="11583"/>
    <x v="1"/>
    <n v="1"/>
    <n v="349"/>
    <s v="No"/>
    <x v="1"/>
    <x v="2"/>
    <n v="0"/>
  </r>
  <r>
    <n v="19877"/>
    <x v="1"/>
    <n v="6"/>
    <n v="310"/>
    <s v="Yes"/>
    <x v="0"/>
    <x v="0"/>
    <n v="1"/>
  </r>
  <r>
    <n v="16882"/>
    <x v="0"/>
    <n v="3"/>
    <n v="381"/>
    <s v="No"/>
    <x v="1"/>
    <x v="2"/>
    <n v="0"/>
  </r>
  <r>
    <n v="19616"/>
    <x v="1"/>
    <n v="6"/>
    <n v="279"/>
    <s v="No"/>
    <x v="0"/>
    <x v="2"/>
    <n v="0"/>
  </r>
  <r>
    <n v="18130"/>
    <x v="0"/>
    <n v="12"/>
    <n v="259"/>
    <s v="Yes"/>
    <x v="1"/>
    <x v="1"/>
    <n v="1"/>
  </r>
  <r>
    <n v="11944"/>
    <x v="1"/>
    <n v="8"/>
    <n v="285"/>
    <s v="No"/>
    <x v="0"/>
    <x v="2"/>
    <n v="0"/>
  </r>
  <r>
    <n v="17508"/>
    <x v="1"/>
    <n v="9"/>
    <n v="54"/>
    <s v="No"/>
    <x v="0"/>
    <x v="0"/>
    <n v="0"/>
  </r>
  <r>
    <n v="11106"/>
    <x v="1"/>
    <n v="6"/>
    <n v="396"/>
    <s v="Yes"/>
    <x v="0"/>
    <x v="1"/>
    <n v="1"/>
  </r>
  <r>
    <n v="10324"/>
    <x v="1"/>
    <n v="7"/>
    <n v="93"/>
    <s v="No"/>
    <x v="0"/>
    <x v="0"/>
    <n v="0"/>
  </r>
  <r>
    <n v="19684"/>
    <x v="0"/>
    <n v="2"/>
    <n v="166"/>
    <s v="No"/>
    <x v="0"/>
    <x v="3"/>
    <n v="0"/>
  </r>
  <r>
    <n v="13639"/>
    <x v="1"/>
    <n v="1"/>
    <n v="226"/>
    <s v="No"/>
    <x v="1"/>
    <x v="3"/>
    <n v="0"/>
  </r>
  <r>
    <n v="18918"/>
    <x v="0"/>
    <n v="13"/>
    <n v="47"/>
    <s v="No"/>
    <x v="0"/>
    <x v="2"/>
    <n v="0"/>
  </r>
  <r>
    <n v="10329"/>
    <x v="0"/>
    <n v="5"/>
    <n v="294"/>
    <s v="No"/>
    <x v="1"/>
    <x v="3"/>
    <n v="0"/>
  </r>
  <r>
    <n v="15622"/>
    <x v="0"/>
    <n v="13"/>
    <n v="55"/>
    <s v="No"/>
    <x v="1"/>
    <x v="1"/>
    <n v="0"/>
  </r>
  <r>
    <n v="13354"/>
    <x v="1"/>
    <n v="1"/>
    <n v="274"/>
    <s v="No"/>
    <x v="0"/>
    <x v="3"/>
    <n v="0"/>
  </r>
  <r>
    <n v="11425"/>
    <x v="1"/>
    <n v="2"/>
    <n v="91"/>
    <s v="No"/>
    <x v="1"/>
    <x v="1"/>
    <n v="0"/>
  </r>
  <r>
    <n v="13395"/>
    <x v="1"/>
    <n v="5"/>
    <n v="305"/>
    <s v="No"/>
    <x v="0"/>
    <x v="1"/>
    <n v="0"/>
  </r>
  <r>
    <n v="14223"/>
    <x v="0"/>
    <n v="7"/>
    <n v="191"/>
    <s v="No"/>
    <x v="0"/>
    <x v="2"/>
    <n v="0"/>
  </r>
  <r>
    <n v="10551"/>
    <x v="0"/>
    <n v="4"/>
    <n v="235"/>
    <s v="No"/>
    <x v="1"/>
    <x v="0"/>
    <n v="0"/>
  </r>
  <r>
    <n v="16825"/>
    <x v="0"/>
    <n v="1"/>
    <n v="115"/>
    <s v="No"/>
    <x v="1"/>
    <x v="1"/>
    <n v="0"/>
  </r>
  <r>
    <n v="10802"/>
    <x v="1"/>
    <n v="9"/>
    <n v="209"/>
    <s v="No"/>
    <x v="1"/>
    <x v="0"/>
    <n v="0"/>
  </r>
  <r>
    <n v="12330"/>
    <x v="1"/>
    <n v="1"/>
    <n v="220"/>
    <s v="No"/>
    <x v="0"/>
    <x v="1"/>
    <n v="0"/>
  </r>
  <r>
    <n v="14933"/>
    <x v="1"/>
    <n v="1"/>
    <n v="219"/>
    <s v="No"/>
    <x v="0"/>
    <x v="1"/>
    <n v="0"/>
  </r>
  <r>
    <n v="11104"/>
    <x v="0"/>
    <n v="14"/>
    <n v="338"/>
    <s v="No"/>
    <x v="1"/>
    <x v="3"/>
    <n v="0"/>
  </r>
  <r>
    <n v="19307"/>
    <x v="1"/>
    <n v="12"/>
    <n v="433"/>
    <s v="No"/>
    <x v="1"/>
    <x v="0"/>
    <n v="0"/>
  </r>
  <r>
    <n v="16645"/>
    <x v="1"/>
    <n v="10"/>
    <n v="301"/>
    <s v="No"/>
    <x v="1"/>
    <x v="3"/>
    <n v="0"/>
  </r>
  <r>
    <n v="14431"/>
    <x v="0"/>
    <n v="12"/>
    <n v="357"/>
    <s v="Yes"/>
    <x v="1"/>
    <x v="3"/>
    <n v="1"/>
  </r>
  <r>
    <n v="15507"/>
    <x v="0"/>
    <n v="10"/>
    <n v="112"/>
    <s v="No"/>
    <x v="0"/>
    <x v="2"/>
    <n v="0"/>
  </r>
  <r>
    <n v="13332"/>
    <x v="1"/>
    <n v="3"/>
    <n v="257"/>
    <s v="No"/>
    <x v="1"/>
    <x v="0"/>
    <n v="0"/>
  </r>
  <r>
    <n v="13740"/>
    <x v="1"/>
    <n v="1"/>
    <n v="201"/>
    <s v="No"/>
    <x v="0"/>
    <x v="1"/>
    <n v="0"/>
  </r>
  <r>
    <n v="14769"/>
    <x v="1"/>
    <n v="9"/>
    <n v="59"/>
    <s v="No"/>
    <x v="1"/>
    <x v="3"/>
    <n v="0"/>
  </r>
  <r>
    <n v="12664"/>
    <x v="1"/>
    <n v="14"/>
    <n v="112"/>
    <s v="No"/>
    <x v="0"/>
    <x v="0"/>
    <n v="0"/>
  </r>
  <r>
    <n v="18576"/>
    <x v="0"/>
    <n v="9"/>
    <n v="338"/>
    <s v="Yes"/>
    <x v="0"/>
    <x v="1"/>
    <n v="1"/>
  </r>
  <r>
    <n v="11615"/>
    <x v="0"/>
    <n v="5"/>
    <n v="408"/>
    <s v="Yes"/>
    <x v="0"/>
    <x v="1"/>
    <n v="1"/>
  </r>
  <r>
    <n v="14202"/>
    <x v="1"/>
    <n v="11"/>
    <n v="233"/>
    <s v="No"/>
    <x v="1"/>
    <x v="1"/>
    <n v="0"/>
  </r>
  <r>
    <n v="16070"/>
    <x v="1"/>
    <n v="1"/>
    <n v="279"/>
    <s v="No"/>
    <x v="1"/>
    <x v="3"/>
    <n v="0"/>
  </r>
  <r>
    <n v="17298"/>
    <x v="1"/>
    <n v="4"/>
    <n v="318"/>
    <s v="No"/>
    <x v="1"/>
    <x v="2"/>
    <n v="0"/>
  </r>
  <r>
    <n v="16973"/>
    <x v="0"/>
    <n v="8"/>
    <n v="56"/>
    <s v="No"/>
    <x v="1"/>
    <x v="3"/>
    <n v="0"/>
  </r>
  <r>
    <n v="13455"/>
    <x v="1"/>
    <n v="11"/>
    <n v="417"/>
    <s v="No"/>
    <x v="0"/>
    <x v="1"/>
    <n v="0"/>
  </r>
  <r>
    <n v="14414"/>
    <x v="1"/>
    <n v="9"/>
    <n v="391"/>
    <s v="No"/>
    <x v="1"/>
    <x v="1"/>
    <n v="0"/>
  </r>
  <r>
    <n v="15761"/>
    <x v="0"/>
    <n v="7"/>
    <n v="403"/>
    <s v="No"/>
    <x v="1"/>
    <x v="2"/>
    <n v="0"/>
  </r>
  <r>
    <n v="16434"/>
    <x v="0"/>
    <n v="6"/>
    <n v="444"/>
    <s v="No"/>
    <x v="0"/>
    <x v="3"/>
    <n v="0"/>
  </r>
  <r>
    <n v="12407"/>
    <x v="0"/>
    <n v="13"/>
    <n v="360"/>
    <s v="No"/>
    <x v="1"/>
    <x v="1"/>
    <n v="0"/>
  </r>
  <r>
    <n v="14005"/>
    <x v="0"/>
    <n v="7"/>
    <n v="339"/>
    <s v="No"/>
    <x v="1"/>
    <x v="3"/>
    <n v="0"/>
  </r>
  <r>
    <n v="16767"/>
    <x v="0"/>
    <n v="11"/>
    <n v="50"/>
    <s v="Yes"/>
    <x v="1"/>
    <x v="0"/>
    <n v="1"/>
  </r>
  <r>
    <n v="13717"/>
    <x v="1"/>
    <n v="11"/>
    <n v="374"/>
    <s v="No"/>
    <x v="1"/>
    <x v="0"/>
    <n v="0"/>
  </r>
  <r>
    <n v="14457"/>
    <x v="1"/>
    <n v="7"/>
    <n v="204"/>
    <s v="No"/>
    <x v="1"/>
    <x v="3"/>
    <n v="0"/>
  </r>
  <r>
    <n v="19940"/>
    <x v="0"/>
    <n v="12"/>
    <n v="378"/>
    <s v="No"/>
    <x v="0"/>
    <x v="0"/>
    <n v="0"/>
  </r>
  <r>
    <n v="11809"/>
    <x v="0"/>
    <n v="5"/>
    <n v="266"/>
    <s v="No"/>
    <x v="0"/>
    <x v="0"/>
    <n v="0"/>
  </r>
  <r>
    <n v="15349"/>
    <x v="1"/>
    <n v="6"/>
    <n v="66"/>
    <s v="No"/>
    <x v="0"/>
    <x v="2"/>
    <n v="0"/>
  </r>
  <r>
    <n v="16593"/>
    <x v="1"/>
    <n v="8"/>
    <n v="111"/>
    <s v="Yes"/>
    <x v="1"/>
    <x v="3"/>
    <n v="1"/>
  </r>
  <r>
    <n v="15171"/>
    <x v="0"/>
    <n v="8"/>
    <n v="87"/>
    <s v="No"/>
    <x v="1"/>
    <x v="0"/>
    <n v="0"/>
  </r>
  <r>
    <n v="16671"/>
    <x v="0"/>
    <n v="5"/>
    <n v="374"/>
    <s v="No"/>
    <x v="0"/>
    <x v="3"/>
    <n v="0"/>
  </r>
  <r>
    <n v="10350"/>
    <x v="0"/>
    <n v="10"/>
    <n v="357"/>
    <s v="No"/>
    <x v="1"/>
    <x v="1"/>
    <n v="0"/>
  </r>
  <r>
    <n v="16497"/>
    <x v="1"/>
    <n v="9"/>
    <n v="221"/>
    <s v="No"/>
    <x v="1"/>
    <x v="1"/>
    <n v="0"/>
  </r>
  <r>
    <n v="12903"/>
    <x v="1"/>
    <n v="4"/>
    <n v="311"/>
    <s v="No"/>
    <x v="1"/>
    <x v="1"/>
    <n v="0"/>
  </r>
  <r>
    <n v="10278"/>
    <x v="1"/>
    <n v="2"/>
    <n v="215"/>
    <s v="No"/>
    <x v="1"/>
    <x v="2"/>
    <n v="0"/>
  </r>
  <r>
    <n v="18734"/>
    <x v="0"/>
    <n v="12"/>
    <n v="377"/>
    <s v="No"/>
    <x v="1"/>
    <x v="3"/>
    <n v="0"/>
  </r>
  <r>
    <n v="17588"/>
    <x v="0"/>
    <n v="7"/>
    <n v="372"/>
    <s v="No"/>
    <x v="0"/>
    <x v="1"/>
    <n v="0"/>
  </r>
  <r>
    <n v="17677"/>
    <x v="1"/>
    <n v="12"/>
    <n v="175"/>
    <s v="No"/>
    <x v="1"/>
    <x v="0"/>
    <n v="0"/>
  </r>
  <r>
    <n v="16378"/>
    <x v="0"/>
    <n v="14"/>
    <n v="446"/>
    <s v="No"/>
    <x v="0"/>
    <x v="0"/>
    <n v="0"/>
  </r>
  <r>
    <n v="10777"/>
    <x v="1"/>
    <n v="8"/>
    <n v="277"/>
    <s v="No"/>
    <x v="1"/>
    <x v="3"/>
    <n v="0"/>
  </r>
  <r>
    <n v="10892"/>
    <x v="1"/>
    <n v="8"/>
    <n v="280"/>
    <s v="No"/>
    <x v="0"/>
    <x v="2"/>
    <n v="0"/>
  </r>
  <r>
    <n v="13008"/>
    <x v="0"/>
    <n v="9"/>
    <n v="146"/>
    <s v="No"/>
    <x v="1"/>
    <x v="2"/>
    <n v="0"/>
  </r>
  <r>
    <n v="17680"/>
    <x v="0"/>
    <n v="12"/>
    <n v="303"/>
    <s v="No"/>
    <x v="1"/>
    <x v="3"/>
    <n v="0"/>
  </r>
  <r>
    <n v="17723"/>
    <x v="0"/>
    <n v="5"/>
    <n v="316"/>
    <s v="No"/>
    <x v="1"/>
    <x v="1"/>
    <n v="0"/>
  </r>
  <r>
    <n v="11652"/>
    <x v="0"/>
    <n v="14"/>
    <n v="361"/>
    <s v="No"/>
    <x v="0"/>
    <x v="0"/>
    <n v="0"/>
  </r>
  <r>
    <n v="19078"/>
    <x v="1"/>
    <n v="1"/>
    <n v="256"/>
    <s v="No"/>
    <x v="0"/>
    <x v="2"/>
    <n v="0"/>
  </r>
  <r>
    <n v="12284"/>
    <x v="0"/>
    <n v="10"/>
    <n v="375"/>
    <s v="No"/>
    <x v="0"/>
    <x v="0"/>
    <n v="0"/>
  </r>
  <r>
    <n v="12591"/>
    <x v="1"/>
    <n v="11"/>
    <n v="314"/>
    <s v="No"/>
    <x v="1"/>
    <x v="1"/>
    <n v="0"/>
  </r>
  <r>
    <n v="12272"/>
    <x v="0"/>
    <n v="1"/>
    <n v="415"/>
    <s v="Yes"/>
    <x v="0"/>
    <x v="0"/>
    <n v="1"/>
  </r>
  <r>
    <n v="10383"/>
    <x v="1"/>
    <n v="2"/>
    <n v="301"/>
    <s v="No"/>
    <x v="1"/>
    <x v="1"/>
    <n v="0"/>
  </r>
  <r>
    <n v="18096"/>
    <x v="1"/>
    <n v="14"/>
    <n v="46"/>
    <s v="No"/>
    <x v="1"/>
    <x v="1"/>
    <n v="0"/>
  </r>
  <r>
    <n v="16318"/>
    <x v="0"/>
    <n v="7"/>
    <n v="170"/>
    <s v="No"/>
    <x v="0"/>
    <x v="1"/>
    <n v="0"/>
  </r>
  <r>
    <n v="14635"/>
    <x v="1"/>
    <n v="14"/>
    <n v="426"/>
    <s v="No"/>
    <x v="0"/>
    <x v="3"/>
    <n v="0"/>
  </r>
  <r>
    <n v="12754"/>
    <x v="0"/>
    <n v="3"/>
    <n v="136"/>
    <s v="No"/>
    <x v="0"/>
    <x v="0"/>
    <n v="0"/>
  </r>
  <r>
    <n v="14228"/>
    <x v="0"/>
    <n v="9"/>
    <n v="389"/>
    <s v="No"/>
    <x v="1"/>
    <x v="2"/>
    <n v="0"/>
  </r>
  <r>
    <n v="16482"/>
    <x v="0"/>
    <n v="10"/>
    <n v="112"/>
    <s v="No"/>
    <x v="1"/>
    <x v="0"/>
    <n v="0"/>
  </r>
  <r>
    <n v="10256"/>
    <x v="1"/>
    <n v="11"/>
    <n v="305"/>
    <s v="No"/>
    <x v="0"/>
    <x v="2"/>
    <n v="0"/>
  </r>
  <r>
    <n v="19729"/>
    <x v="0"/>
    <n v="3"/>
    <n v="327"/>
    <s v="No"/>
    <x v="1"/>
    <x v="1"/>
    <n v="0"/>
  </r>
  <r>
    <n v="11618"/>
    <x v="1"/>
    <n v="10"/>
    <n v="375"/>
    <s v="No"/>
    <x v="1"/>
    <x v="0"/>
    <n v="0"/>
  </r>
  <r>
    <n v="16167"/>
    <x v="1"/>
    <n v="10"/>
    <n v="98"/>
    <s v="No"/>
    <x v="0"/>
    <x v="3"/>
    <n v="0"/>
  </r>
  <r>
    <n v="10330"/>
    <x v="1"/>
    <n v="10"/>
    <n v="407"/>
    <s v="No"/>
    <x v="1"/>
    <x v="2"/>
    <n v="0"/>
  </r>
  <r>
    <n v="19139"/>
    <x v="1"/>
    <n v="2"/>
    <n v="393"/>
    <s v="Yes"/>
    <x v="0"/>
    <x v="2"/>
    <n v="1"/>
  </r>
  <r>
    <n v="19598"/>
    <x v="1"/>
    <n v="11"/>
    <n v="40"/>
    <s v="No"/>
    <x v="0"/>
    <x v="3"/>
    <n v="0"/>
  </r>
  <r>
    <n v="11449"/>
    <x v="1"/>
    <n v="1"/>
    <n v="176"/>
    <s v="No"/>
    <x v="1"/>
    <x v="0"/>
    <n v="0"/>
  </r>
  <r>
    <n v="19691"/>
    <x v="1"/>
    <n v="14"/>
    <n v="84"/>
    <s v="No"/>
    <x v="1"/>
    <x v="0"/>
    <n v="0"/>
  </r>
  <r>
    <n v="12138"/>
    <x v="1"/>
    <n v="5"/>
    <n v="244"/>
    <s v="No"/>
    <x v="1"/>
    <x v="0"/>
    <n v="0"/>
  </r>
  <r>
    <n v="14897"/>
    <x v="1"/>
    <n v="2"/>
    <n v="288"/>
    <s v="No"/>
    <x v="1"/>
    <x v="1"/>
    <n v="0"/>
  </r>
  <r>
    <n v="17097"/>
    <x v="0"/>
    <n v="10"/>
    <n v="296"/>
    <s v="No"/>
    <x v="1"/>
    <x v="3"/>
    <n v="0"/>
  </r>
  <r>
    <n v="15208"/>
    <x v="0"/>
    <n v="3"/>
    <n v="394"/>
    <s v="No"/>
    <x v="1"/>
    <x v="0"/>
    <n v="0"/>
  </r>
  <r>
    <n v="14308"/>
    <x v="0"/>
    <n v="6"/>
    <n v="427"/>
    <s v="No"/>
    <x v="1"/>
    <x v="0"/>
    <n v="0"/>
  </r>
  <r>
    <n v="10974"/>
    <x v="0"/>
    <n v="1"/>
    <n v="150"/>
    <s v="No"/>
    <x v="0"/>
    <x v="1"/>
    <n v="0"/>
  </r>
  <r>
    <n v="16180"/>
    <x v="1"/>
    <n v="6"/>
    <n v="124"/>
    <s v="No"/>
    <x v="0"/>
    <x v="0"/>
    <n v="0"/>
  </r>
  <r>
    <n v="10391"/>
    <x v="1"/>
    <n v="10"/>
    <n v="255"/>
    <s v="No"/>
    <x v="1"/>
    <x v="0"/>
    <n v="0"/>
  </r>
  <r>
    <n v="12888"/>
    <x v="1"/>
    <n v="9"/>
    <n v="199"/>
    <s v="No"/>
    <x v="0"/>
    <x v="2"/>
    <n v="0"/>
  </r>
  <r>
    <n v="15466"/>
    <x v="0"/>
    <n v="2"/>
    <n v="246"/>
    <s v="Yes"/>
    <x v="1"/>
    <x v="3"/>
    <n v="1"/>
  </r>
  <r>
    <n v="13802"/>
    <x v="0"/>
    <n v="7"/>
    <n v="337"/>
    <s v="No"/>
    <x v="1"/>
    <x v="1"/>
    <n v="0"/>
  </r>
  <r>
    <n v="11152"/>
    <x v="1"/>
    <n v="3"/>
    <n v="109"/>
    <s v="No"/>
    <x v="1"/>
    <x v="0"/>
    <n v="0"/>
  </r>
  <r>
    <n v="17783"/>
    <x v="0"/>
    <n v="4"/>
    <n v="232"/>
    <s v="No"/>
    <x v="1"/>
    <x v="3"/>
    <n v="0"/>
  </r>
  <r>
    <n v="10955"/>
    <x v="1"/>
    <n v="5"/>
    <n v="48"/>
    <s v="No"/>
    <x v="1"/>
    <x v="3"/>
    <n v="0"/>
  </r>
  <r>
    <n v="12853"/>
    <x v="1"/>
    <n v="11"/>
    <n v="305"/>
    <s v="No"/>
    <x v="1"/>
    <x v="2"/>
    <n v="0"/>
  </r>
  <r>
    <n v="13546"/>
    <x v="0"/>
    <n v="6"/>
    <n v="144"/>
    <s v="No"/>
    <x v="1"/>
    <x v="1"/>
    <n v="0"/>
  </r>
  <r>
    <n v="13975"/>
    <x v="0"/>
    <n v="14"/>
    <n v="46"/>
    <s v="No"/>
    <x v="0"/>
    <x v="1"/>
    <n v="0"/>
  </r>
  <r>
    <n v="11895"/>
    <x v="0"/>
    <n v="4"/>
    <n v="100"/>
    <s v="Yes"/>
    <x v="0"/>
    <x v="1"/>
    <n v="1"/>
  </r>
  <r>
    <n v="15325"/>
    <x v="1"/>
    <n v="7"/>
    <n v="296"/>
    <s v="No"/>
    <x v="1"/>
    <x v="3"/>
    <n v="0"/>
  </r>
  <r>
    <n v="19711"/>
    <x v="1"/>
    <n v="13"/>
    <n v="235"/>
    <s v="No"/>
    <x v="0"/>
    <x v="0"/>
    <n v="0"/>
  </r>
  <r>
    <n v="16634"/>
    <x v="0"/>
    <n v="5"/>
    <n v="62"/>
    <s v="No"/>
    <x v="1"/>
    <x v="1"/>
    <n v="0"/>
  </r>
  <r>
    <n v="17086"/>
    <x v="1"/>
    <n v="1"/>
    <n v="360"/>
    <s v="No"/>
    <x v="0"/>
    <x v="2"/>
    <n v="0"/>
  </r>
  <r>
    <n v="11170"/>
    <x v="1"/>
    <n v="3"/>
    <n v="329"/>
    <s v="No"/>
    <x v="0"/>
    <x v="3"/>
    <n v="0"/>
  </r>
  <r>
    <n v="15512"/>
    <x v="1"/>
    <n v="10"/>
    <n v="200"/>
    <s v="No"/>
    <x v="0"/>
    <x v="1"/>
    <n v="0"/>
  </r>
  <r>
    <n v="14031"/>
    <x v="1"/>
    <n v="7"/>
    <n v="431"/>
    <s v="No"/>
    <x v="1"/>
    <x v="1"/>
    <n v="0"/>
  </r>
  <r>
    <n v="15442"/>
    <x v="0"/>
    <n v="10"/>
    <n v="78"/>
    <s v="No"/>
    <x v="1"/>
    <x v="3"/>
    <n v="0"/>
  </r>
  <r>
    <n v="15154"/>
    <x v="1"/>
    <n v="3"/>
    <n v="197"/>
    <s v="No"/>
    <x v="0"/>
    <x v="1"/>
    <n v="0"/>
  </r>
  <r>
    <n v="15451"/>
    <x v="1"/>
    <n v="14"/>
    <n v="70"/>
    <s v="No"/>
    <x v="1"/>
    <x v="2"/>
    <n v="0"/>
  </r>
  <r>
    <n v="15390"/>
    <x v="0"/>
    <n v="14"/>
    <n v="283"/>
    <s v="Yes"/>
    <x v="1"/>
    <x v="2"/>
    <n v="1"/>
  </r>
  <r>
    <n v="10904"/>
    <x v="0"/>
    <n v="1"/>
    <n v="293"/>
    <s v="No"/>
    <x v="1"/>
    <x v="0"/>
    <n v="0"/>
  </r>
  <r>
    <n v="11181"/>
    <x v="0"/>
    <n v="6"/>
    <n v="61"/>
    <s v="No"/>
    <x v="0"/>
    <x v="2"/>
    <n v="0"/>
  </r>
  <r>
    <n v="18751"/>
    <x v="0"/>
    <n v="3"/>
    <n v="360"/>
    <s v="No"/>
    <x v="1"/>
    <x v="1"/>
    <n v="0"/>
  </r>
  <r>
    <n v="12985"/>
    <x v="0"/>
    <n v="5"/>
    <n v="133"/>
    <s v="Yes"/>
    <x v="1"/>
    <x v="1"/>
    <n v="1"/>
  </r>
  <r>
    <n v="12269"/>
    <x v="0"/>
    <n v="8"/>
    <n v="72"/>
    <s v="No"/>
    <x v="0"/>
    <x v="1"/>
    <n v="0"/>
  </r>
  <r>
    <n v="18841"/>
    <x v="0"/>
    <n v="3"/>
    <n v="360"/>
    <s v="No"/>
    <x v="1"/>
    <x v="2"/>
    <n v="0"/>
  </r>
  <r>
    <n v="18701"/>
    <x v="1"/>
    <n v="3"/>
    <n v="180"/>
    <s v="No"/>
    <x v="0"/>
    <x v="0"/>
    <n v="0"/>
  </r>
  <r>
    <n v="11305"/>
    <x v="0"/>
    <n v="13"/>
    <n v="142"/>
    <s v="No"/>
    <x v="0"/>
    <x v="0"/>
    <n v="0"/>
  </r>
  <r>
    <n v="15997"/>
    <x v="0"/>
    <n v="5"/>
    <n v="415"/>
    <s v="No"/>
    <x v="1"/>
    <x v="2"/>
    <n v="0"/>
  </r>
  <r>
    <n v="19151"/>
    <x v="1"/>
    <n v="9"/>
    <n v="328"/>
    <s v="No"/>
    <x v="1"/>
    <x v="1"/>
    <n v="0"/>
  </r>
  <r>
    <n v="15572"/>
    <x v="0"/>
    <n v="7"/>
    <n v="119"/>
    <s v="Yes"/>
    <x v="0"/>
    <x v="2"/>
    <n v="1"/>
  </r>
  <r>
    <n v="14644"/>
    <x v="0"/>
    <n v="6"/>
    <n v="405"/>
    <s v="No"/>
    <x v="1"/>
    <x v="3"/>
    <n v="0"/>
  </r>
  <r>
    <n v="19228"/>
    <x v="0"/>
    <n v="1"/>
    <n v="48"/>
    <s v="No"/>
    <x v="1"/>
    <x v="2"/>
    <n v="0"/>
  </r>
  <r>
    <n v="10899"/>
    <x v="0"/>
    <n v="2"/>
    <n v="149"/>
    <s v="No"/>
    <x v="0"/>
    <x v="3"/>
    <n v="0"/>
  </r>
  <r>
    <n v="15762"/>
    <x v="1"/>
    <n v="1"/>
    <n v="135"/>
    <s v="No"/>
    <x v="0"/>
    <x v="0"/>
    <n v="0"/>
  </r>
  <r>
    <n v="16604"/>
    <x v="0"/>
    <n v="6"/>
    <n v="384"/>
    <s v="No"/>
    <x v="0"/>
    <x v="1"/>
    <n v="0"/>
  </r>
  <r>
    <n v="10615"/>
    <x v="0"/>
    <n v="3"/>
    <n v="263"/>
    <s v="No"/>
    <x v="1"/>
    <x v="2"/>
    <n v="0"/>
  </r>
  <r>
    <n v="13087"/>
    <x v="0"/>
    <n v="4"/>
    <n v="144"/>
    <s v="Yes"/>
    <x v="0"/>
    <x v="1"/>
    <n v="1"/>
  </r>
  <r>
    <n v="13641"/>
    <x v="0"/>
    <n v="4"/>
    <n v="351"/>
    <s v="No"/>
    <x v="1"/>
    <x v="0"/>
    <n v="0"/>
  </r>
  <r>
    <n v="11142"/>
    <x v="1"/>
    <n v="6"/>
    <n v="318"/>
    <s v="No"/>
    <x v="1"/>
    <x v="2"/>
    <n v="0"/>
  </r>
  <r>
    <n v="16999"/>
    <x v="0"/>
    <n v="11"/>
    <n v="190"/>
    <s v="Yes"/>
    <x v="0"/>
    <x v="1"/>
    <n v="1"/>
  </r>
  <r>
    <n v="18300"/>
    <x v="1"/>
    <n v="13"/>
    <n v="355"/>
    <s v="No"/>
    <x v="1"/>
    <x v="3"/>
    <n v="0"/>
  </r>
  <r>
    <n v="17450"/>
    <x v="1"/>
    <n v="9"/>
    <n v="102"/>
    <s v="Yes"/>
    <x v="1"/>
    <x v="2"/>
    <n v="1"/>
  </r>
  <r>
    <n v="13328"/>
    <x v="1"/>
    <n v="12"/>
    <n v="78"/>
    <s v="No"/>
    <x v="0"/>
    <x v="3"/>
    <n v="0"/>
  </r>
  <r>
    <n v="11987"/>
    <x v="1"/>
    <n v="3"/>
    <n v="302"/>
    <s v="No"/>
    <x v="1"/>
    <x v="0"/>
    <n v="0"/>
  </r>
  <r>
    <n v="13715"/>
    <x v="1"/>
    <n v="5"/>
    <n v="250"/>
    <s v="No"/>
    <x v="0"/>
    <x v="3"/>
    <n v="0"/>
  </r>
  <r>
    <n v="19844"/>
    <x v="0"/>
    <n v="3"/>
    <n v="286"/>
    <s v="No"/>
    <x v="1"/>
    <x v="2"/>
    <n v="0"/>
  </r>
  <r>
    <n v="12236"/>
    <x v="1"/>
    <n v="8"/>
    <n v="167"/>
    <s v="No"/>
    <x v="1"/>
    <x v="3"/>
    <n v="0"/>
  </r>
  <r>
    <n v="14733"/>
    <x v="1"/>
    <n v="7"/>
    <n v="257"/>
    <s v="No"/>
    <x v="0"/>
    <x v="3"/>
    <n v="0"/>
  </r>
  <r>
    <n v="12135"/>
    <x v="0"/>
    <n v="6"/>
    <n v="358"/>
    <s v="No"/>
    <x v="1"/>
    <x v="1"/>
    <n v="0"/>
  </r>
  <r>
    <n v="19905"/>
    <x v="0"/>
    <n v="14"/>
    <n v="259"/>
    <s v="No"/>
    <x v="0"/>
    <x v="0"/>
    <n v="0"/>
  </r>
  <r>
    <n v="12827"/>
    <x v="1"/>
    <n v="2"/>
    <n v="179"/>
    <s v="No"/>
    <x v="0"/>
    <x v="1"/>
    <n v="0"/>
  </r>
  <r>
    <n v="12166"/>
    <x v="0"/>
    <n v="2"/>
    <n v="180"/>
    <s v="No"/>
    <x v="1"/>
    <x v="1"/>
    <n v="0"/>
  </r>
  <r>
    <n v="19104"/>
    <x v="1"/>
    <n v="10"/>
    <n v="246"/>
    <s v="No"/>
    <x v="0"/>
    <x v="0"/>
    <n v="0"/>
  </r>
  <r>
    <n v="10386"/>
    <x v="1"/>
    <n v="14"/>
    <n v="384"/>
    <s v="No"/>
    <x v="0"/>
    <x v="2"/>
    <n v="0"/>
  </r>
  <r>
    <n v="12724"/>
    <x v="0"/>
    <n v="4"/>
    <n v="329"/>
    <s v="Yes"/>
    <x v="0"/>
    <x v="1"/>
    <n v="1"/>
  </r>
  <r>
    <n v="15839"/>
    <x v="0"/>
    <n v="3"/>
    <n v="117"/>
    <s v="Yes"/>
    <x v="1"/>
    <x v="0"/>
    <n v="1"/>
  </r>
  <r>
    <n v="16061"/>
    <x v="0"/>
    <n v="6"/>
    <n v="61"/>
    <s v="No"/>
    <x v="1"/>
    <x v="1"/>
    <n v="0"/>
  </r>
  <r>
    <n v="17927"/>
    <x v="1"/>
    <n v="6"/>
    <n v="261"/>
    <s v="No"/>
    <x v="1"/>
    <x v="3"/>
    <n v="0"/>
  </r>
  <r>
    <n v="19093"/>
    <x v="0"/>
    <n v="6"/>
    <n v="193"/>
    <s v="No"/>
    <x v="0"/>
    <x v="2"/>
    <n v="0"/>
  </r>
  <r>
    <n v="11829"/>
    <x v="1"/>
    <n v="4"/>
    <n v="251"/>
    <s v="No"/>
    <x v="0"/>
    <x v="3"/>
    <n v="0"/>
  </r>
  <r>
    <n v="17726"/>
    <x v="1"/>
    <n v="10"/>
    <n v="215"/>
    <s v="No"/>
    <x v="1"/>
    <x v="0"/>
    <n v="0"/>
  </r>
  <r>
    <n v="15276"/>
    <x v="0"/>
    <n v="14"/>
    <n v="303"/>
    <s v="No"/>
    <x v="0"/>
    <x v="0"/>
    <n v="0"/>
  </r>
  <r>
    <n v="16491"/>
    <x v="1"/>
    <n v="2"/>
    <n v="274"/>
    <s v="No"/>
    <x v="1"/>
    <x v="1"/>
    <n v="0"/>
  </r>
  <r>
    <n v="15398"/>
    <x v="1"/>
    <n v="13"/>
    <n v="215"/>
    <s v="No"/>
    <x v="0"/>
    <x v="3"/>
    <n v="0"/>
  </r>
  <r>
    <n v="13608"/>
    <x v="1"/>
    <n v="6"/>
    <n v="316"/>
    <s v="No"/>
    <x v="0"/>
    <x v="0"/>
    <n v="0"/>
  </r>
  <r>
    <n v="10216"/>
    <x v="1"/>
    <n v="12"/>
    <n v="250"/>
    <s v="Yes"/>
    <x v="1"/>
    <x v="0"/>
    <n v="1"/>
  </r>
  <r>
    <n v="13106"/>
    <x v="0"/>
    <n v="9"/>
    <n v="107"/>
    <s v="No"/>
    <x v="0"/>
    <x v="3"/>
    <n v="0"/>
  </r>
  <r>
    <n v="11041"/>
    <x v="0"/>
    <n v="11"/>
    <n v="377"/>
    <s v="No"/>
    <x v="1"/>
    <x v="1"/>
    <n v="0"/>
  </r>
  <r>
    <n v="13424"/>
    <x v="0"/>
    <n v="9"/>
    <n v="66"/>
    <s v="No"/>
    <x v="1"/>
    <x v="1"/>
    <n v="0"/>
  </r>
  <r>
    <n v="12114"/>
    <x v="1"/>
    <n v="12"/>
    <n v="124"/>
    <s v="No"/>
    <x v="1"/>
    <x v="3"/>
    <n v="0"/>
  </r>
  <r>
    <n v="15824"/>
    <x v="0"/>
    <n v="4"/>
    <n v="176"/>
    <s v="No"/>
    <x v="0"/>
    <x v="0"/>
    <n v="0"/>
  </r>
  <r>
    <n v="15892"/>
    <x v="1"/>
    <n v="9"/>
    <n v="281"/>
    <s v="No"/>
    <x v="1"/>
    <x v="2"/>
    <n v="0"/>
  </r>
  <r>
    <n v="15228"/>
    <x v="1"/>
    <n v="6"/>
    <n v="292"/>
    <s v="No"/>
    <x v="1"/>
    <x v="1"/>
    <n v="0"/>
  </r>
  <r>
    <n v="18273"/>
    <x v="0"/>
    <n v="1"/>
    <n v="287"/>
    <s v="No"/>
    <x v="0"/>
    <x v="0"/>
    <n v="0"/>
  </r>
  <r>
    <n v="15465"/>
    <x v="1"/>
    <n v="10"/>
    <n v="299"/>
    <s v="No"/>
    <x v="0"/>
    <x v="2"/>
    <n v="0"/>
  </r>
  <r>
    <n v="15577"/>
    <x v="0"/>
    <n v="12"/>
    <n v="385"/>
    <s v="No"/>
    <x v="0"/>
    <x v="3"/>
    <n v="0"/>
  </r>
  <r>
    <n v="15549"/>
    <x v="1"/>
    <n v="6"/>
    <n v="316"/>
    <s v="No"/>
    <x v="1"/>
    <x v="2"/>
    <n v="0"/>
  </r>
  <r>
    <n v="14611"/>
    <x v="0"/>
    <n v="10"/>
    <n v="284"/>
    <s v="No"/>
    <x v="0"/>
    <x v="1"/>
    <n v="0"/>
  </r>
  <r>
    <n v="14132"/>
    <x v="0"/>
    <n v="13"/>
    <n v="197"/>
    <s v="No"/>
    <x v="1"/>
    <x v="1"/>
    <n v="0"/>
  </r>
  <r>
    <n v="17676"/>
    <x v="1"/>
    <n v="13"/>
    <n v="144"/>
    <s v="No"/>
    <x v="0"/>
    <x v="0"/>
    <n v="0"/>
  </r>
  <r>
    <n v="17979"/>
    <x v="0"/>
    <n v="10"/>
    <n v="92"/>
    <s v="No"/>
    <x v="1"/>
    <x v="0"/>
    <n v="0"/>
  </r>
  <r>
    <n v="13119"/>
    <x v="1"/>
    <n v="10"/>
    <n v="40"/>
    <s v="No"/>
    <x v="0"/>
    <x v="1"/>
    <n v="0"/>
  </r>
  <r>
    <n v="14416"/>
    <x v="0"/>
    <n v="5"/>
    <n v="251"/>
    <s v="No"/>
    <x v="1"/>
    <x v="0"/>
    <n v="0"/>
  </r>
  <r>
    <n v="16659"/>
    <x v="1"/>
    <n v="10"/>
    <n v="46"/>
    <s v="No"/>
    <x v="0"/>
    <x v="1"/>
    <n v="0"/>
  </r>
  <r>
    <n v="17591"/>
    <x v="1"/>
    <n v="5"/>
    <n v="140"/>
    <s v="No"/>
    <x v="1"/>
    <x v="2"/>
    <n v="0"/>
  </r>
  <r>
    <n v="10733"/>
    <x v="0"/>
    <n v="13"/>
    <n v="258"/>
    <s v="No"/>
    <x v="0"/>
    <x v="1"/>
    <n v="0"/>
  </r>
  <r>
    <n v="16835"/>
    <x v="0"/>
    <n v="7"/>
    <n v="279"/>
    <s v="No"/>
    <x v="1"/>
    <x v="3"/>
    <n v="0"/>
  </r>
  <r>
    <n v="12168"/>
    <x v="1"/>
    <n v="12"/>
    <n v="93"/>
    <s v="No"/>
    <x v="1"/>
    <x v="0"/>
    <n v="0"/>
  </r>
  <r>
    <n v="18656"/>
    <x v="1"/>
    <n v="12"/>
    <n v="355"/>
    <s v="No"/>
    <x v="0"/>
    <x v="0"/>
    <n v="0"/>
  </r>
  <r>
    <n v="15246"/>
    <x v="0"/>
    <n v="12"/>
    <n v="243"/>
    <s v="No"/>
    <x v="1"/>
    <x v="0"/>
    <n v="0"/>
  </r>
  <r>
    <n v="11686"/>
    <x v="1"/>
    <n v="1"/>
    <n v="243"/>
    <s v="No"/>
    <x v="0"/>
    <x v="0"/>
    <n v="0"/>
  </r>
  <r>
    <n v="15545"/>
    <x v="1"/>
    <n v="3"/>
    <n v="107"/>
    <s v="No"/>
    <x v="1"/>
    <x v="3"/>
    <n v="0"/>
  </r>
  <r>
    <n v="19253"/>
    <x v="0"/>
    <n v="13"/>
    <n v="368"/>
    <s v="Yes"/>
    <x v="0"/>
    <x v="3"/>
    <n v="1"/>
  </r>
  <r>
    <n v="19993"/>
    <x v="0"/>
    <n v="9"/>
    <n v="307"/>
    <s v="No"/>
    <x v="1"/>
    <x v="2"/>
    <n v="0"/>
  </r>
  <r>
    <n v="13668"/>
    <x v="1"/>
    <n v="10"/>
    <n v="188"/>
    <s v="No"/>
    <x v="1"/>
    <x v="1"/>
    <n v="0"/>
  </r>
  <r>
    <n v="12772"/>
    <x v="1"/>
    <n v="10"/>
    <n v="202"/>
    <s v="No"/>
    <x v="1"/>
    <x v="1"/>
    <n v="0"/>
  </r>
  <r>
    <n v="15430"/>
    <x v="0"/>
    <n v="8"/>
    <n v="424"/>
    <s v="No"/>
    <x v="1"/>
    <x v="2"/>
    <n v="0"/>
  </r>
  <r>
    <n v="11167"/>
    <x v="0"/>
    <n v="5"/>
    <n v="212"/>
    <s v="No"/>
    <x v="1"/>
    <x v="2"/>
    <n v="0"/>
  </r>
  <r>
    <n v="16969"/>
    <x v="1"/>
    <n v="2"/>
    <n v="208"/>
    <s v="No"/>
    <x v="0"/>
    <x v="0"/>
    <n v="0"/>
  </r>
  <r>
    <n v="18831"/>
    <x v="0"/>
    <n v="12"/>
    <n v="110"/>
    <s v="No"/>
    <x v="0"/>
    <x v="0"/>
    <n v="0"/>
  </r>
  <r>
    <n v="16421"/>
    <x v="0"/>
    <n v="9"/>
    <n v="261"/>
    <s v="Yes"/>
    <x v="0"/>
    <x v="3"/>
    <n v="1"/>
  </r>
  <r>
    <n v="14172"/>
    <x v="0"/>
    <n v="7"/>
    <n v="49"/>
    <s v="No"/>
    <x v="0"/>
    <x v="2"/>
    <n v="0"/>
  </r>
  <r>
    <n v="18412"/>
    <x v="0"/>
    <n v="14"/>
    <n v="158"/>
    <s v="Yes"/>
    <x v="0"/>
    <x v="2"/>
    <n v="1"/>
  </r>
  <r>
    <n v="13022"/>
    <x v="0"/>
    <n v="1"/>
    <n v="76"/>
    <s v="No"/>
    <x v="0"/>
    <x v="1"/>
    <n v="0"/>
  </r>
  <r>
    <n v="19605"/>
    <x v="0"/>
    <n v="8"/>
    <n v="103"/>
    <s v="No"/>
    <x v="1"/>
    <x v="3"/>
    <n v="0"/>
  </r>
  <r>
    <n v="16161"/>
    <x v="0"/>
    <n v="4"/>
    <n v="127"/>
    <s v="No"/>
    <x v="1"/>
    <x v="0"/>
    <n v="0"/>
  </r>
  <r>
    <n v="12954"/>
    <x v="0"/>
    <n v="4"/>
    <n v="124"/>
    <s v="No"/>
    <x v="1"/>
    <x v="0"/>
    <n v="0"/>
  </r>
  <r>
    <n v="19086"/>
    <x v="1"/>
    <n v="10"/>
    <n v="123"/>
    <s v="No"/>
    <x v="0"/>
    <x v="0"/>
    <n v="0"/>
  </r>
  <r>
    <n v="16466"/>
    <x v="0"/>
    <n v="13"/>
    <n v="51"/>
    <s v="No"/>
    <x v="0"/>
    <x v="3"/>
    <n v="0"/>
  </r>
  <r>
    <n v="13790"/>
    <x v="1"/>
    <n v="7"/>
    <n v="53"/>
    <s v="No"/>
    <x v="1"/>
    <x v="2"/>
    <n v="0"/>
  </r>
  <r>
    <n v="16901"/>
    <x v="1"/>
    <n v="11"/>
    <n v="91"/>
    <s v="No"/>
    <x v="0"/>
    <x v="3"/>
    <n v="0"/>
  </r>
  <r>
    <n v="16709"/>
    <x v="0"/>
    <n v="1"/>
    <n v="209"/>
    <s v="No"/>
    <x v="0"/>
    <x v="0"/>
    <n v="0"/>
  </r>
  <r>
    <n v="16954"/>
    <x v="1"/>
    <n v="14"/>
    <n v="157"/>
    <s v="No"/>
    <x v="1"/>
    <x v="0"/>
    <n v="0"/>
  </r>
  <r>
    <n v="18605"/>
    <x v="1"/>
    <n v="5"/>
    <n v="160"/>
    <s v="No"/>
    <x v="0"/>
    <x v="2"/>
    <n v="0"/>
  </r>
  <r>
    <n v="13845"/>
    <x v="0"/>
    <n v="4"/>
    <n v="135"/>
    <s v="No"/>
    <x v="0"/>
    <x v="3"/>
    <n v="0"/>
  </r>
  <r>
    <n v="18082"/>
    <x v="1"/>
    <n v="3"/>
    <n v="318"/>
    <s v="No"/>
    <x v="0"/>
    <x v="1"/>
    <n v="0"/>
  </r>
  <r>
    <n v="15656"/>
    <x v="0"/>
    <n v="4"/>
    <n v="102"/>
    <s v="Yes"/>
    <x v="0"/>
    <x v="1"/>
    <n v="1"/>
  </r>
  <r>
    <n v="13702"/>
    <x v="1"/>
    <n v="7"/>
    <n v="106"/>
    <s v="No"/>
    <x v="1"/>
    <x v="1"/>
    <n v="0"/>
  </r>
  <r>
    <n v="17441"/>
    <x v="1"/>
    <n v="8"/>
    <n v="97"/>
    <s v="No"/>
    <x v="0"/>
    <x v="1"/>
    <n v="0"/>
  </r>
  <r>
    <n v="11238"/>
    <x v="0"/>
    <n v="5"/>
    <n v="265"/>
    <s v="No"/>
    <x v="0"/>
    <x v="3"/>
    <n v="0"/>
  </r>
  <r>
    <n v="14374"/>
    <x v="0"/>
    <n v="12"/>
    <n v="200"/>
    <s v="No"/>
    <x v="1"/>
    <x v="2"/>
    <n v="0"/>
  </r>
  <r>
    <n v="12196"/>
    <x v="1"/>
    <n v="14"/>
    <n v="411"/>
    <s v="No"/>
    <x v="0"/>
    <x v="2"/>
    <n v="0"/>
  </r>
  <r>
    <n v="13211"/>
    <x v="1"/>
    <n v="3"/>
    <n v="141"/>
    <s v="No"/>
    <x v="1"/>
    <x v="1"/>
    <n v="0"/>
  </r>
  <r>
    <n v="19754"/>
    <x v="1"/>
    <n v="5"/>
    <n v="122"/>
    <s v="No"/>
    <x v="0"/>
    <x v="2"/>
    <n v="0"/>
  </r>
  <r>
    <n v="11675"/>
    <x v="1"/>
    <n v="13"/>
    <n v="315"/>
    <s v="No"/>
    <x v="0"/>
    <x v="3"/>
    <n v="0"/>
  </r>
  <r>
    <n v="13982"/>
    <x v="1"/>
    <n v="14"/>
    <n v="133"/>
    <s v="No"/>
    <x v="0"/>
    <x v="0"/>
    <n v="0"/>
  </r>
  <r>
    <n v="13650"/>
    <x v="0"/>
    <n v="13"/>
    <n v="314"/>
    <s v="No"/>
    <x v="1"/>
    <x v="0"/>
    <n v="0"/>
  </r>
  <r>
    <n v="13326"/>
    <x v="0"/>
    <n v="12"/>
    <n v="135"/>
    <s v="No"/>
    <x v="0"/>
    <x v="2"/>
    <n v="0"/>
  </r>
  <r>
    <n v="16111"/>
    <x v="1"/>
    <n v="14"/>
    <n v="333"/>
    <s v="No"/>
    <x v="0"/>
    <x v="1"/>
    <n v="0"/>
  </r>
  <r>
    <n v="18863"/>
    <x v="1"/>
    <n v="8"/>
    <n v="119"/>
    <s v="No"/>
    <x v="1"/>
    <x v="0"/>
    <n v="0"/>
  </r>
  <r>
    <n v="15045"/>
    <x v="1"/>
    <n v="10"/>
    <n v="363"/>
    <s v="No"/>
    <x v="0"/>
    <x v="0"/>
    <n v="0"/>
  </r>
  <r>
    <n v="14274"/>
    <x v="1"/>
    <n v="8"/>
    <n v="92"/>
    <s v="No"/>
    <x v="1"/>
    <x v="0"/>
    <n v="0"/>
  </r>
  <r>
    <n v="19417"/>
    <x v="0"/>
    <n v="7"/>
    <n v="235"/>
    <s v="Yes"/>
    <x v="1"/>
    <x v="2"/>
    <n v="1"/>
  </r>
  <r>
    <n v="14485"/>
    <x v="1"/>
    <n v="2"/>
    <n v="425"/>
    <s v="No"/>
    <x v="1"/>
    <x v="2"/>
    <n v="0"/>
  </r>
  <r>
    <n v="14709"/>
    <x v="1"/>
    <n v="3"/>
    <n v="322"/>
    <s v="No"/>
    <x v="0"/>
    <x v="2"/>
    <n v="0"/>
  </r>
  <r>
    <n v="15298"/>
    <x v="0"/>
    <n v="7"/>
    <n v="284"/>
    <s v="No"/>
    <x v="1"/>
    <x v="2"/>
    <n v="0"/>
  </r>
  <r>
    <n v="16795"/>
    <x v="1"/>
    <n v="7"/>
    <n v="177"/>
    <s v="No"/>
    <x v="1"/>
    <x v="2"/>
    <n v="0"/>
  </r>
  <r>
    <n v="17355"/>
    <x v="0"/>
    <n v="10"/>
    <n v="113"/>
    <s v="No"/>
    <x v="0"/>
    <x v="1"/>
    <n v="0"/>
  </r>
  <r>
    <n v="11275"/>
    <x v="0"/>
    <n v="8"/>
    <n v="292"/>
    <s v="No"/>
    <x v="1"/>
    <x v="0"/>
    <n v="0"/>
  </r>
  <r>
    <n v="19152"/>
    <x v="1"/>
    <n v="13"/>
    <n v="115"/>
    <s v="No"/>
    <x v="0"/>
    <x v="2"/>
    <n v="0"/>
  </r>
  <r>
    <n v="10602"/>
    <x v="0"/>
    <n v="13"/>
    <n v="353"/>
    <s v="No"/>
    <x v="0"/>
    <x v="1"/>
    <n v="0"/>
  </r>
  <r>
    <n v="16462"/>
    <x v="0"/>
    <n v="12"/>
    <n v="303"/>
    <s v="No"/>
    <x v="0"/>
    <x v="2"/>
    <n v="0"/>
  </r>
  <r>
    <n v="13663"/>
    <x v="0"/>
    <n v="14"/>
    <n v="201"/>
    <s v="No"/>
    <x v="1"/>
    <x v="0"/>
    <n v="0"/>
  </r>
  <r>
    <n v="19329"/>
    <x v="1"/>
    <n v="10"/>
    <n v="179"/>
    <s v="No"/>
    <x v="1"/>
    <x v="2"/>
    <n v="0"/>
  </r>
  <r>
    <n v="11603"/>
    <x v="1"/>
    <n v="10"/>
    <n v="53"/>
    <s v="Yes"/>
    <x v="0"/>
    <x v="3"/>
    <n v="1"/>
  </r>
  <r>
    <n v="18454"/>
    <x v="0"/>
    <n v="4"/>
    <n v="368"/>
    <s v="Yes"/>
    <x v="0"/>
    <x v="3"/>
    <n v="1"/>
  </r>
  <r>
    <n v="16972"/>
    <x v="0"/>
    <n v="3"/>
    <n v="295"/>
    <s v="No"/>
    <x v="1"/>
    <x v="3"/>
    <n v="0"/>
  </r>
  <r>
    <n v="14719"/>
    <x v="1"/>
    <n v="9"/>
    <n v="233"/>
    <s v="No"/>
    <x v="0"/>
    <x v="0"/>
    <n v="0"/>
  </r>
  <r>
    <n v="18762"/>
    <x v="0"/>
    <n v="1"/>
    <n v="212"/>
    <s v="No"/>
    <x v="1"/>
    <x v="3"/>
    <n v="0"/>
  </r>
  <r>
    <n v="14224"/>
    <x v="1"/>
    <n v="8"/>
    <n v="154"/>
    <s v="No"/>
    <x v="0"/>
    <x v="2"/>
    <n v="0"/>
  </r>
  <r>
    <n v="18012"/>
    <x v="1"/>
    <n v="5"/>
    <n v="373"/>
    <s v="Yes"/>
    <x v="0"/>
    <x v="1"/>
    <n v="1"/>
  </r>
  <r>
    <n v="11260"/>
    <x v="1"/>
    <n v="7"/>
    <n v="222"/>
    <s v="No"/>
    <x v="0"/>
    <x v="1"/>
    <n v="0"/>
  </r>
  <r>
    <n v="11887"/>
    <x v="0"/>
    <n v="5"/>
    <n v="319"/>
    <s v="No"/>
    <x v="0"/>
    <x v="3"/>
    <n v="0"/>
  </r>
  <r>
    <n v="12689"/>
    <x v="1"/>
    <n v="12"/>
    <n v="145"/>
    <s v="No"/>
    <x v="1"/>
    <x v="0"/>
    <n v="0"/>
  </r>
  <r>
    <n v="14247"/>
    <x v="0"/>
    <n v="4"/>
    <n v="400"/>
    <s v="Yes"/>
    <x v="1"/>
    <x v="3"/>
    <n v="1"/>
  </r>
  <r>
    <n v="12905"/>
    <x v="1"/>
    <n v="12"/>
    <n v="215"/>
    <s v="No"/>
    <x v="0"/>
    <x v="3"/>
    <n v="0"/>
  </r>
  <r>
    <n v="11556"/>
    <x v="1"/>
    <n v="12"/>
    <n v="110"/>
    <s v="No"/>
    <x v="0"/>
    <x v="2"/>
    <n v="0"/>
  </r>
  <r>
    <n v="11136"/>
    <x v="0"/>
    <n v="9"/>
    <n v="230"/>
    <s v="No"/>
    <x v="0"/>
    <x v="3"/>
    <n v="0"/>
  </r>
  <r>
    <n v="11328"/>
    <x v="1"/>
    <n v="8"/>
    <n v="96"/>
    <s v="No"/>
    <x v="1"/>
    <x v="0"/>
    <n v="0"/>
  </r>
  <r>
    <n v="10416"/>
    <x v="0"/>
    <n v="6"/>
    <n v="416"/>
    <s v="No"/>
    <x v="0"/>
    <x v="3"/>
    <n v="0"/>
  </r>
  <r>
    <n v="17132"/>
    <x v="0"/>
    <n v="3"/>
    <n v="200"/>
    <s v="No"/>
    <x v="1"/>
    <x v="0"/>
    <n v="0"/>
  </r>
  <r>
    <n v="13706"/>
    <x v="1"/>
    <n v="1"/>
    <n v="323"/>
    <s v="No"/>
    <x v="1"/>
    <x v="1"/>
    <n v="0"/>
  </r>
  <r>
    <n v="12672"/>
    <x v="1"/>
    <n v="1"/>
    <n v="383"/>
    <s v="No"/>
    <x v="1"/>
    <x v="0"/>
    <n v="0"/>
  </r>
  <r>
    <n v="17604"/>
    <x v="1"/>
    <n v="9"/>
    <n v="387"/>
    <s v="No"/>
    <x v="1"/>
    <x v="2"/>
    <n v="0"/>
  </r>
  <r>
    <n v="14638"/>
    <x v="0"/>
    <n v="2"/>
    <n v="337"/>
    <s v="Yes"/>
    <x v="0"/>
    <x v="0"/>
    <n v="1"/>
  </r>
  <r>
    <n v="12179"/>
    <x v="0"/>
    <n v="6"/>
    <n v="170"/>
    <s v="No"/>
    <x v="0"/>
    <x v="1"/>
    <n v="0"/>
  </r>
  <r>
    <n v="14850"/>
    <x v="1"/>
    <n v="4"/>
    <n v="192"/>
    <s v="No"/>
    <x v="0"/>
    <x v="0"/>
    <n v="0"/>
  </r>
  <r>
    <n v="14658"/>
    <x v="1"/>
    <n v="14"/>
    <n v="55"/>
    <s v="No"/>
    <x v="0"/>
    <x v="0"/>
    <n v="0"/>
  </r>
  <r>
    <n v="11484"/>
    <x v="0"/>
    <n v="6"/>
    <n v="192"/>
    <s v="No"/>
    <x v="1"/>
    <x v="2"/>
    <n v="0"/>
  </r>
  <r>
    <n v="12396"/>
    <x v="1"/>
    <n v="1"/>
    <n v="261"/>
    <s v="No"/>
    <x v="0"/>
    <x v="2"/>
    <n v="0"/>
  </r>
  <r>
    <n v="19649"/>
    <x v="0"/>
    <n v="9"/>
    <n v="204"/>
    <s v="No"/>
    <x v="1"/>
    <x v="0"/>
    <n v="0"/>
  </r>
  <r>
    <n v="18916"/>
    <x v="0"/>
    <n v="2"/>
    <n v="52"/>
    <s v="No"/>
    <x v="0"/>
    <x v="3"/>
    <n v="0"/>
  </r>
  <r>
    <n v="14731"/>
    <x v="0"/>
    <n v="7"/>
    <n v="224"/>
    <s v="No"/>
    <x v="1"/>
    <x v="2"/>
    <n v="0"/>
  </r>
  <r>
    <n v="13997"/>
    <x v="0"/>
    <n v="11"/>
    <n v="179"/>
    <s v="No"/>
    <x v="0"/>
    <x v="2"/>
    <n v="0"/>
  </r>
  <r>
    <n v="19178"/>
    <x v="0"/>
    <n v="5"/>
    <n v="299"/>
    <s v="No"/>
    <x v="1"/>
    <x v="3"/>
    <n v="0"/>
  </r>
  <r>
    <n v="18286"/>
    <x v="0"/>
    <n v="13"/>
    <n v="107"/>
    <s v="No"/>
    <x v="0"/>
    <x v="1"/>
    <n v="0"/>
  </r>
  <r>
    <n v="19150"/>
    <x v="1"/>
    <n v="7"/>
    <n v="405"/>
    <s v="No"/>
    <x v="1"/>
    <x v="0"/>
    <n v="0"/>
  </r>
  <r>
    <n v="12181"/>
    <x v="0"/>
    <n v="10"/>
    <n v="292"/>
    <s v="No"/>
    <x v="0"/>
    <x v="0"/>
    <n v="0"/>
  </r>
  <r>
    <n v="19205"/>
    <x v="0"/>
    <n v="12"/>
    <n v="284"/>
    <s v="No"/>
    <x v="1"/>
    <x v="0"/>
    <n v="0"/>
  </r>
  <r>
    <n v="13637"/>
    <x v="0"/>
    <n v="5"/>
    <n v="381"/>
    <s v="No"/>
    <x v="0"/>
    <x v="3"/>
    <n v="0"/>
  </r>
  <r>
    <n v="16019"/>
    <x v="1"/>
    <n v="10"/>
    <n v="413"/>
    <s v="No"/>
    <x v="0"/>
    <x v="3"/>
    <n v="0"/>
  </r>
  <r>
    <n v="12180"/>
    <x v="0"/>
    <n v="13"/>
    <n v="144"/>
    <s v="No"/>
    <x v="0"/>
    <x v="1"/>
    <n v="0"/>
  </r>
  <r>
    <n v="19860"/>
    <x v="1"/>
    <n v="10"/>
    <n v="239"/>
    <s v="No"/>
    <x v="0"/>
    <x v="1"/>
    <n v="0"/>
  </r>
  <r>
    <n v="19737"/>
    <x v="0"/>
    <n v="1"/>
    <n v="47"/>
    <s v="No"/>
    <x v="1"/>
    <x v="3"/>
    <n v="0"/>
  </r>
  <r>
    <n v="12981"/>
    <x v="0"/>
    <n v="11"/>
    <n v="186"/>
    <s v="No"/>
    <x v="0"/>
    <x v="1"/>
    <n v="0"/>
  </r>
  <r>
    <n v="10129"/>
    <x v="1"/>
    <n v="12"/>
    <n v="131"/>
    <s v="No"/>
    <x v="0"/>
    <x v="0"/>
    <n v="0"/>
  </r>
  <r>
    <n v="11720"/>
    <x v="1"/>
    <n v="2"/>
    <n v="237"/>
    <s v="No"/>
    <x v="0"/>
    <x v="3"/>
    <n v="0"/>
  </r>
  <r>
    <n v="18190"/>
    <x v="1"/>
    <n v="8"/>
    <n v="370"/>
    <s v="No"/>
    <x v="0"/>
    <x v="3"/>
    <n v="0"/>
  </r>
  <r>
    <n v="18559"/>
    <x v="0"/>
    <n v="6"/>
    <n v="119"/>
    <s v="No"/>
    <x v="0"/>
    <x v="3"/>
    <n v="0"/>
  </r>
  <r>
    <n v="19154"/>
    <x v="1"/>
    <n v="11"/>
    <n v="257"/>
    <s v="No"/>
    <x v="1"/>
    <x v="1"/>
    <n v="0"/>
  </r>
  <r>
    <n v="15686"/>
    <x v="0"/>
    <n v="1"/>
    <n v="287"/>
    <s v="No"/>
    <x v="0"/>
    <x v="3"/>
    <n v="0"/>
  </r>
  <r>
    <n v="10420"/>
    <x v="0"/>
    <n v="10"/>
    <n v="441"/>
    <s v="No"/>
    <x v="0"/>
    <x v="3"/>
    <n v="0"/>
  </r>
  <r>
    <n v="12253"/>
    <x v="1"/>
    <n v="1"/>
    <n v="402"/>
    <s v="No"/>
    <x v="1"/>
    <x v="2"/>
    <n v="0"/>
  </r>
  <r>
    <n v="13226"/>
    <x v="0"/>
    <n v="3"/>
    <n v="391"/>
    <s v="No"/>
    <x v="1"/>
    <x v="0"/>
    <n v="0"/>
  </r>
  <r>
    <n v="13632"/>
    <x v="1"/>
    <n v="1"/>
    <n v="168"/>
    <s v="No"/>
    <x v="1"/>
    <x v="3"/>
    <n v="0"/>
  </r>
  <r>
    <n v="11497"/>
    <x v="1"/>
    <n v="4"/>
    <n v="102"/>
    <s v="No"/>
    <x v="0"/>
    <x v="2"/>
    <n v="0"/>
  </r>
  <r>
    <n v="11007"/>
    <x v="1"/>
    <n v="9"/>
    <n v="232"/>
    <s v="No"/>
    <x v="1"/>
    <x v="1"/>
    <n v="0"/>
  </r>
  <r>
    <n v="15669"/>
    <x v="0"/>
    <n v="9"/>
    <n v="147"/>
    <s v="No"/>
    <x v="1"/>
    <x v="2"/>
    <n v="0"/>
  </r>
  <r>
    <n v="15708"/>
    <x v="0"/>
    <n v="2"/>
    <n v="196"/>
    <s v="Yes"/>
    <x v="1"/>
    <x v="0"/>
    <n v="1"/>
  </r>
  <r>
    <n v="14301"/>
    <x v="0"/>
    <n v="13"/>
    <n v="419"/>
    <s v="No"/>
    <x v="0"/>
    <x v="1"/>
    <n v="0"/>
  </r>
  <r>
    <n v="14929"/>
    <x v="1"/>
    <n v="2"/>
    <n v="200"/>
    <s v="No"/>
    <x v="1"/>
    <x v="1"/>
    <n v="0"/>
  </r>
  <r>
    <n v="17806"/>
    <x v="1"/>
    <n v="5"/>
    <n v="241"/>
    <s v="No"/>
    <x v="0"/>
    <x v="1"/>
    <n v="0"/>
  </r>
  <r>
    <n v="19765"/>
    <x v="1"/>
    <n v="12"/>
    <n v="445"/>
    <s v="No"/>
    <x v="1"/>
    <x v="3"/>
    <n v="0"/>
  </r>
  <r>
    <n v="10791"/>
    <x v="0"/>
    <n v="14"/>
    <n v="64"/>
    <s v="No"/>
    <x v="0"/>
    <x v="3"/>
    <n v="0"/>
  </r>
  <r>
    <n v="18271"/>
    <x v="0"/>
    <n v="4"/>
    <n v="158"/>
    <s v="No"/>
    <x v="1"/>
    <x v="1"/>
    <n v="0"/>
  </r>
  <r>
    <n v="11428"/>
    <x v="1"/>
    <n v="14"/>
    <n v="326"/>
    <s v="No"/>
    <x v="0"/>
    <x v="3"/>
    <n v="0"/>
  </r>
  <r>
    <n v="18061"/>
    <x v="1"/>
    <n v="1"/>
    <n v="238"/>
    <s v="No"/>
    <x v="0"/>
    <x v="0"/>
    <n v="0"/>
  </r>
  <r>
    <n v="19742"/>
    <x v="1"/>
    <n v="8"/>
    <n v="235"/>
    <s v="No"/>
    <x v="0"/>
    <x v="3"/>
    <n v="0"/>
  </r>
  <r>
    <n v="18663"/>
    <x v="0"/>
    <n v="8"/>
    <n v="414"/>
    <s v="No"/>
    <x v="0"/>
    <x v="3"/>
    <n v="0"/>
  </r>
  <r>
    <n v="12139"/>
    <x v="1"/>
    <n v="5"/>
    <n v="420"/>
    <s v="No"/>
    <x v="0"/>
    <x v="3"/>
    <n v="0"/>
  </r>
  <r>
    <n v="13465"/>
    <x v="1"/>
    <n v="6"/>
    <n v="48"/>
    <s v="No"/>
    <x v="0"/>
    <x v="2"/>
    <n v="0"/>
  </r>
  <r>
    <n v="11087"/>
    <x v="0"/>
    <n v="6"/>
    <n v="237"/>
    <s v="No"/>
    <x v="1"/>
    <x v="1"/>
    <n v="0"/>
  </r>
  <r>
    <n v="10990"/>
    <x v="0"/>
    <n v="13"/>
    <n v="134"/>
    <s v="No"/>
    <x v="0"/>
    <x v="0"/>
    <n v="0"/>
  </r>
  <r>
    <n v="11941"/>
    <x v="0"/>
    <n v="9"/>
    <n v="46"/>
    <s v="No"/>
    <x v="1"/>
    <x v="0"/>
    <n v="0"/>
  </r>
  <r>
    <n v="12769"/>
    <x v="0"/>
    <n v="12"/>
    <n v="275"/>
    <s v="No"/>
    <x v="1"/>
    <x v="2"/>
    <n v="0"/>
  </r>
  <r>
    <n v="15990"/>
    <x v="0"/>
    <n v="7"/>
    <n v="106"/>
    <s v="No"/>
    <x v="1"/>
    <x v="0"/>
    <n v="0"/>
  </r>
  <r>
    <n v="16036"/>
    <x v="1"/>
    <n v="10"/>
    <n v="276"/>
    <s v="No"/>
    <x v="0"/>
    <x v="1"/>
    <n v="0"/>
  </r>
  <r>
    <n v="10623"/>
    <x v="0"/>
    <n v="13"/>
    <n v="368"/>
    <s v="No"/>
    <x v="1"/>
    <x v="0"/>
    <n v="0"/>
  </r>
  <r>
    <n v="15174"/>
    <x v="0"/>
    <n v="10"/>
    <n v="260"/>
    <s v="No"/>
    <x v="1"/>
    <x v="2"/>
    <n v="0"/>
  </r>
  <r>
    <n v="10879"/>
    <x v="0"/>
    <n v="10"/>
    <n v="281"/>
    <s v="No"/>
    <x v="1"/>
    <x v="2"/>
    <n v="0"/>
  </r>
  <r>
    <n v="15891"/>
    <x v="1"/>
    <n v="6"/>
    <n v="85"/>
    <s v="No"/>
    <x v="1"/>
    <x v="3"/>
    <n v="0"/>
  </r>
  <r>
    <n v="13335"/>
    <x v="0"/>
    <n v="6"/>
    <n v="225"/>
    <s v="Yes"/>
    <x v="1"/>
    <x v="0"/>
    <n v="1"/>
  </r>
  <r>
    <n v="13145"/>
    <x v="0"/>
    <n v="1"/>
    <n v="372"/>
    <s v="No"/>
    <x v="1"/>
    <x v="0"/>
    <n v="0"/>
  </r>
  <r>
    <n v="18248"/>
    <x v="0"/>
    <n v="3"/>
    <n v="343"/>
    <s v="No"/>
    <x v="0"/>
    <x v="0"/>
    <n v="0"/>
  </r>
  <r>
    <n v="17942"/>
    <x v="0"/>
    <n v="4"/>
    <n v="148"/>
    <s v="No"/>
    <x v="1"/>
    <x v="1"/>
    <n v="0"/>
  </r>
  <r>
    <n v="16323"/>
    <x v="0"/>
    <n v="9"/>
    <n v="63"/>
    <s v="Yes"/>
    <x v="0"/>
    <x v="3"/>
    <n v="1"/>
  </r>
  <r>
    <n v="10172"/>
    <x v="0"/>
    <n v="13"/>
    <n v="120"/>
    <s v="No"/>
    <x v="1"/>
    <x v="3"/>
    <n v="0"/>
  </r>
  <r>
    <n v="12062"/>
    <x v="0"/>
    <n v="3"/>
    <n v="103"/>
    <s v="No"/>
    <x v="0"/>
    <x v="0"/>
    <n v="0"/>
  </r>
  <r>
    <n v="14525"/>
    <x v="1"/>
    <n v="7"/>
    <n v="395"/>
    <s v="No"/>
    <x v="1"/>
    <x v="2"/>
    <n v="0"/>
  </r>
  <r>
    <n v="11306"/>
    <x v="0"/>
    <n v="10"/>
    <n v="121"/>
    <s v="No"/>
    <x v="0"/>
    <x v="0"/>
    <n v="0"/>
  </r>
  <r>
    <n v="16450"/>
    <x v="0"/>
    <n v="10"/>
    <n v="149"/>
    <s v="No"/>
    <x v="0"/>
    <x v="3"/>
    <n v="0"/>
  </r>
  <r>
    <n v="18489"/>
    <x v="0"/>
    <n v="2"/>
    <n v="296"/>
    <s v="No"/>
    <x v="1"/>
    <x v="3"/>
    <n v="0"/>
  </r>
  <r>
    <n v="18173"/>
    <x v="0"/>
    <n v="2"/>
    <n v="385"/>
    <s v="No"/>
    <x v="1"/>
    <x v="1"/>
    <n v="0"/>
  </r>
  <r>
    <n v="10926"/>
    <x v="1"/>
    <n v="2"/>
    <n v="310"/>
    <s v="No"/>
    <x v="1"/>
    <x v="1"/>
    <n v="0"/>
  </r>
  <r>
    <n v="16309"/>
    <x v="0"/>
    <n v="13"/>
    <n v="308"/>
    <s v="No"/>
    <x v="1"/>
    <x v="3"/>
    <n v="0"/>
  </r>
  <r>
    <n v="14104"/>
    <x v="0"/>
    <n v="9"/>
    <n v="258"/>
    <s v="Yes"/>
    <x v="0"/>
    <x v="2"/>
    <n v="1"/>
  </r>
  <r>
    <n v="10168"/>
    <x v="0"/>
    <n v="4"/>
    <n v="193"/>
    <s v="Yes"/>
    <x v="1"/>
    <x v="2"/>
    <n v="1"/>
  </r>
  <r>
    <n v="16975"/>
    <x v="0"/>
    <n v="10"/>
    <n v="46"/>
    <s v="No"/>
    <x v="0"/>
    <x v="3"/>
    <n v="0"/>
  </r>
  <r>
    <n v="11758"/>
    <x v="1"/>
    <n v="10"/>
    <n v="400"/>
    <s v="No"/>
    <x v="0"/>
    <x v="2"/>
    <n v="0"/>
  </r>
  <r>
    <n v="10862"/>
    <x v="0"/>
    <n v="8"/>
    <n v="335"/>
    <s v="No"/>
    <x v="0"/>
    <x v="0"/>
    <n v="0"/>
  </r>
  <r>
    <n v="16866"/>
    <x v="0"/>
    <n v="1"/>
    <n v="348"/>
    <s v="No"/>
    <x v="1"/>
    <x v="1"/>
    <n v="0"/>
  </r>
  <r>
    <n v="13788"/>
    <x v="0"/>
    <n v="14"/>
    <n v="164"/>
    <s v="No"/>
    <x v="0"/>
    <x v="1"/>
    <n v="0"/>
  </r>
  <r>
    <n v="12356"/>
    <x v="1"/>
    <n v="14"/>
    <n v="366"/>
    <s v="No"/>
    <x v="0"/>
    <x v="2"/>
    <n v="0"/>
  </r>
  <r>
    <n v="19452"/>
    <x v="1"/>
    <n v="5"/>
    <n v="400"/>
    <s v="No"/>
    <x v="0"/>
    <x v="3"/>
    <n v="0"/>
  </r>
  <r>
    <n v="16567"/>
    <x v="0"/>
    <n v="6"/>
    <n v="134"/>
    <s v="No"/>
    <x v="0"/>
    <x v="3"/>
    <n v="0"/>
  </r>
  <r>
    <n v="18760"/>
    <x v="0"/>
    <n v="13"/>
    <n v="344"/>
    <s v="No"/>
    <x v="0"/>
    <x v="0"/>
    <n v="0"/>
  </r>
  <r>
    <n v="14682"/>
    <x v="1"/>
    <n v="2"/>
    <n v="371"/>
    <s v="No"/>
    <x v="0"/>
    <x v="3"/>
    <n v="0"/>
  </r>
  <r>
    <n v="13410"/>
    <x v="1"/>
    <n v="2"/>
    <n v="65"/>
    <s v="No"/>
    <x v="1"/>
    <x v="1"/>
    <n v="0"/>
  </r>
  <r>
    <n v="13503"/>
    <x v="1"/>
    <n v="3"/>
    <n v="187"/>
    <s v="No"/>
    <x v="1"/>
    <x v="0"/>
    <n v="0"/>
  </r>
  <r>
    <n v="17884"/>
    <x v="1"/>
    <n v="8"/>
    <n v="368"/>
    <s v="No"/>
    <x v="0"/>
    <x v="1"/>
    <n v="0"/>
  </r>
  <r>
    <n v="12024"/>
    <x v="1"/>
    <n v="4"/>
    <n v="308"/>
    <s v="No"/>
    <x v="1"/>
    <x v="0"/>
    <n v="0"/>
  </r>
  <r>
    <n v="15056"/>
    <x v="1"/>
    <n v="9"/>
    <n v="262"/>
    <s v="No"/>
    <x v="0"/>
    <x v="2"/>
    <n v="0"/>
  </r>
  <r>
    <n v="14679"/>
    <x v="0"/>
    <n v="9"/>
    <n v="125"/>
    <s v="Yes"/>
    <x v="1"/>
    <x v="1"/>
    <n v="1"/>
  </r>
  <r>
    <n v="18339"/>
    <x v="1"/>
    <n v="9"/>
    <n v="115"/>
    <s v="No"/>
    <x v="0"/>
    <x v="0"/>
    <n v="0"/>
  </r>
  <r>
    <n v="15922"/>
    <x v="0"/>
    <n v="7"/>
    <n v="399"/>
    <s v="No"/>
    <x v="0"/>
    <x v="2"/>
    <n v="0"/>
  </r>
  <r>
    <n v="16369"/>
    <x v="1"/>
    <n v="1"/>
    <n v="104"/>
    <s v="No"/>
    <x v="0"/>
    <x v="2"/>
    <n v="0"/>
  </r>
  <r>
    <n v="16792"/>
    <x v="1"/>
    <n v="3"/>
    <n v="88"/>
    <s v="Yes"/>
    <x v="0"/>
    <x v="1"/>
    <n v="1"/>
  </r>
  <r>
    <n v="13056"/>
    <x v="0"/>
    <n v="3"/>
    <n v="144"/>
    <s v="No"/>
    <x v="0"/>
    <x v="2"/>
    <n v="0"/>
  </r>
  <r>
    <n v="15149"/>
    <x v="0"/>
    <n v="3"/>
    <n v="383"/>
    <s v="No"/>
    <x v="1"/>
    <x v="3"/>
    <n v="0"/>
  </r>
  <r>
    <n v="11418"/>
    <x v="1"/>
    <n v="10"/>
    <n v="295"/>
    <s v="No"/>
    <x v="1"/>
    <x v="1"/>
    <n v="0"/>
  </r>
  <r>
    <n v="18803"/>
    <x v="1"/>
    <n v="9"/>
    <n v="93"/>
    <s v="No"/>
    <x v="0"/>
    <x v="2"/>
    <n v="0"/>
  </r>
  <r>
    <n v="16956"/>
    <x v="1"/>
    <n v="7"/>
    <n v="95"/>
    <s v="No"/>
    <x v="1"/>
    <x v="3"/>
    <n v="0"/>
  </r>
  <r>
    <n v="12027"/>
    <x v="0"/>
    <n v="6"/>
    <n v="389"/>
    <s v="No"/>
    <x v="1"/>
    <x v="1"/>
    <n v="0"/>
  </r>
  <r>
    <n v="17912"/>
    <x v="1"/>
    <n v="3"/>
    <n v="111"/>
    <s v="No"/>
    <x v="1"/>
    <x v="1"/>
    <n v="0"/>
  </r>
  <r>
    <n v="17874"/>
    <x v="0"/>
    <n v="7"/>
    <n v="230"/>
    <s v="No"/>
    <x v="1"/>
    <x v="3"/>
    <n v="0"/>
  </r>
  <r>
    <n v="12864"/>
    <x v="1"/>
    <n v="11"/>
    <n v="99"/>
    <s v="No"/>
    <x v="0"/>
    <x v="1"/>
    <n v="0"/>
  </r>
  <r>
    <n v="10447"/>
    <x v="1"/>
    <n v="10"/>
    <n v="142"/>
    <s v="No"/>
    <x v="0"/>
    <x v="2"/>
    <n v="0"/>
  </r>
  <r>
    <n v="10272"/>
    <x v="0"/>
    <n v="2"/>
    <n v="289"/>
    <s v="No"/>
    <x v="0"/>
    <x v="0"/>
    <n v="0"/>
  </r>
  <r>
    <n v="15254"/>
    <x v="1"/>
    <n v="8"/>
    <n v="198"/>
    <s v="No"/>
    <x v="1"/>
    <x v="0"/>
    <n v="0"/>
  </r>
  <r>
    <n v="10880"/>
    <x v="0"/>
    <n v="3"/>
    <n v="97"/>
    <s v="No"/>
    <x v="0"/>
    <x v="2"/>
    <n v="0"/>
  </r>
  <r>
    <n v="13069"/>
    <x v="1"/>
    <n v="7"/>
    <n v="342"/>
    <s v="No"/>
    <x v="1"/>
    <x v="3"/>
    <n v="0"/>
  </r>
  <r>
    <n v="11150"/>
    <x v="0"/>
    <n v="1"/>
    <n v="278"/>
    <s v="No"/>
    <x v="0"/>
    <x v="1"/>
    <n v="0"/>
  </r>
  <r>
    <n v="10759"/>
    <x v="0"/>
    <n v="3"/>
    <n v="432"/>
    <s v="No"/>
    <x v="0"/>
    <x v="0"/>
    <n v="0"/>
  </r>
  <r>
    <n v="19816"/>
    <x v="1"/>
    <n v="7"/>
    <n v="403"/>
    <s v="No"/>
    <x v="0"/>
    <x v="2"/>
    <n v="0"/>
  </r>
  <r>
    <n v="12067"/>
    <x v="0"/>
    <n v="9"/>
    <n v="181"/>
    <s v="Yes"/>
    <x v="0"/>
    <x v="2"/>
    <n v="1"/>
  </r>
  <r>
    <n v="18356"/>
    <x v="1"/>
    <n v="13"/>
    <n v="160"/>
    <s v="No"/>
    <x v="1"/>
    <x v="1"/>
    <n v="0"/>
  </r>
  <r>
    <n v="13348"/>
    <x v="0"/>
    <n v="12"/>
    <n v="40"/>
    <s v="No"/>
    <x v="1"/>
    <x v="2"/>
    <n v="0"/>
  </r>
  <r>
    <n v="12639"/>
    <x v="0"/>
    <n v="10"/>
    <n v="367"/>
    <s v="No"/>
    <x v="1"/>
    <x v="0"/>
    <n v="0"/>
  </r>
  <r>
    <n v="11894"/>
    <x v="1"/>
    <n v="8"/>
    <n v="191"/>
    <s v="No"/>
    <x v="1"/>
    <x v="0"/>
    <n v="0"/>
  </r>
  <r>
    <n v="15018"/>
    <x v="1"/>
    <n v="4"/>
    <n v="434"/>
    <s v="No"/>
    <x v="0"/>
    <x v="1"/>
    <n v="0"/>
  </r>
  <r>
    <n v="10695"/>
    <x v="0"/>
    <n v="8"/>
    <n v="87"/>
    <s v="No"/>
    <x v="0"/>
    <x v="0"/>
    <n v="0"/>
  </r>
  <r>
    <n v="12890"/>
    <x v="0"/>
    <n v="6"/>
    <n v="80"/>
    <s v="Yes"/>
    <x v="1"/>
    <x v="2"/>
    <n v="1"/>
  </r>
  <r>
    <n v="13699"/>
    <x v="0"/>
    <n v="7"/>
    <n v="303"/>
    <s v="Yes"/>
    <x v="1"/>
    <x v="3"/>
    <n v="1"/>
  </r>
  <r>
    <n v="18372"/>
    <x v="1"/>
    <n v="14"/>
    <n v="118"/>
    <s v="No"/>
    <x v="1"/>
    <x v="0"/>
    <n v="0"/>
  </r>
  <r>
    <n v="17693"/>
    <x v="0"/>
    <n v="14"/>
    <n v="89"/>
    <s v="No"/>
    <x v="1"/>
    <x v="2"/>
    <n v="0"/>
  </r>
  <r>
    <n v="11871"/>
    <x v="0"/>
    <n v="6"/>
    <n v="443"/>
    <s v="Yes"/>
    <x v="0"/>
    <x v="2"/>
    <n v="1"/>
  </r>
  <r>
    <n v="10559"/>
    <x v="1"/>
    <n v="5"/>
    <n v="325"/>
    <s v="No"/>
    <x v="0"/>
    <x v="0"/>
    <n v="0"/>
  </r>
  <r>
    <n v="17149"/>
    <x v="1"/>
    <n v="8"/>
    <n v="358"/>
    <s v="No"/>
    <x v="0"/>
    <x v="3"/>
    <n v="0"/>
  </r>
  <r>
    <n v="13281"/>
    <x v="1"/>
    <n v="6"/>
    <n v="373"/>
    <s v="No"/>
    <x v="0"/>
    <x v="1"/>
    <n v="0"/>
  </r>
  <r>
    <n v="11410"/>
    <x v="1"/>
    <n v="12"/>
    <n v="437"/>
    <s v="No"/>
    <x v="0"/>
    <x v="3"/>
    <n v="0"/>
  </r>
  <r>
    <n v="17529"/>
    <x v="0"/>
    <n v="7"/>
    <n v="236"/>
    <s v="No"/>
    <x v="0"/>
    <x v="3"/>
    <n v="0"/>
  </r>
  <r>
    <n v="10846"/>
    <x v="0"/>
    <n v="13"/>
    <n v="280"/>
    <s v="Yes"/>
    <x v="0"/>
    <x v="1"/>
    <n v="1"/>
  </r>
  <r>
    <n v="11580"/>
    <x v="0"/>
    <n v="7"/>
    <n v="40"/>
    <s v="No"/>
    <x v="1"/>
    <x v="3"/>
    <n v="0"/>
  </r>
  <r>
    <n v="11122"/>
    <x v="0"/>
    <n v="11"/>
    <n v="438"/>
    <s v="No"/>
    <x v="0"/>
    <x v="1"/>
    <n v="0"/>
  </r>
  <r>
    <n v="10045"/>
    <x v="0"/>
    <n v="13"/>
    <n v="202"/>
    <s v="No"/>
    <x v="1"/>
    <x v="3"/>
    <n v="0"/>
  </r>
  <r>
    <n v="18049"/>
    <x v="1"/>
    <n v="4"/>
    <n v="55"/>
    <s v="Yes"/>
    <x v="1"/>
    <x v="0"/>
    <n v="1"/>
  </r>
  <r>
    <n v="11743"/>
    <x v="1"/>
    <n v="5"/>
    <n v="143"/>
    <s v="Yes"/>
    <x v="0"/>
    <x v="1"/>
    <n v="1"/>
  </r>
  <r>
    <n v="15814"/>
    <x v="1"/>
    <n v="5"/>
    <n v="116"/>
    <s v="No"/>
    <x v="1"/>
    <x v="3"/>
    <n v="0"/>
  </r>
  <r>
    <n v="14026"/>
    <x v="0"/>
    <n v="6"/>
    <n v="187"/>
    <s v="No"/>
    <x v="0"/>
    <x v="3"/>
    <n v="0"/>
  </r>
  <r>
    <n v="11250"/>
    <x v="1"/>
    <n v="12"/>
    <n v="256"/>
    <s v="No"/>
    <x v="1"/>
    <x v="0"/>
    <n v="0"/>
  </r>
  <r>
    <n v="12249"/>
    <x v="1"/>
    <n v="5"/>
    <n v="431"/>
    <s v="No"/>
    <x v="1"/>
    <x v="2"/>
    <n v="0"/>
  </r>
  <r>
    <n v="13998"/>
    <x v="0"/>
    <n v="3"/>
    <n v="212"/>
    <s v="No"/>
    <x v="0"/>
    <x v="2"/>
    <n v="0"/>
  </r>
  <r>
    <n v="16511"/>
    <x v="0"/>
    <n v="13"/>
    <n v="427"/>
    <s v="No"/>
    <x v="0"/>
    <x v="2"/>
    <n v="0"/>
  </r>
  <r>
    <n v="16307"/>
    <x v="1"/>
    <n v="10"/>
    <n v="109"/>
    <s v="No"/>
    <x v="1"/>
    <x v="2"/>
    <n v="0"/>
  </r>
  <r>
    <n v="17451"/>
    <x v="0"/>
    <n v="14"/>
    <n v="46"/>
    <s v="No"/>
    <x v="1"/>
    <x v="0"/>
    <n v="0"/>
  </r>
  <r>
    <n v="12533"/>
    <x v="0"/>
    <n v="7"/>
    <n v="231"/>
    <s v="No"/>
    <x v="0"/>
    <x v="1"/>
    <n v="0"/>
  </r>
  <r>
    <n v="10776"/>
    <x v="1"/>
    <n v="5"/>
    <n v="214"/>
    <s v="No"/>
    <x v="1"/>
    <x v="0"/>
    <n v="0"/>
  </r>
  <r>
    <n v="10800"/>
    <x v="0"/>
    <n v="3"/>
    <n v="430"/>
    <s v="No"/>
    <x v="0"/>
    <x v="2"/>
    <n v="0"/>
  </r>
  <r>
    <n v="13683"/>
    <x v="1"/>
    <n v="13"/>
    <n v="92"/>
    <s v="No"/>
    <x v="0"/>
    <x v="3"/>
    <n v="0"/>
  </r>
  <r>
    <n v="12125"/>
    <x v="1"/>
    <n v="8"/>
    <n v="363"/>
    <s v="No"/>
    <x v="1"/>
    <x v="1"/>
    <n v="0"/>
  </r>
  <r>
    <n v="12563"/>
    <x v="0"/>
    <n v="12"/>
    <n v="300"/>
    <s v="No"/>
    <x v="0"/>
    <x v="0"/>
    <n v="0"/>
  </r>
  <r>
    <n v="17331"/>
    <x v="0"/>
    <n v="6"/>
    <n v="352"/>
    <s v="No"/>
    <x v="1"/>
    <x v="0"/>
    <n v="0"/>
  </r>
  <r>
    <n v="18077"/>
    <x v="1"/>
    <n v="5"/>
    <n v="161"/>
    <s v="No"/>
    <x v="1"/>
    <x v="1"/>
    <n v="0"/>
  </r>
  <r>
    <n v="17469"/>
    <x v="0"/>
    <n v="9"/>
    <n v="320"/>
    <s v="No"/>
    <x v="1"/>
    <x v="2"/>
    <n v="0"/>
  </r>
  <r>
    <n v="16854"/>
    <x v="0"/>
    <n v="3"/>
    <n v="99"/>
    <s v="No"/>
    <x v="1"/>
    <x v="1"/>
    <n v="0"/>
  </r>
  <r>
    <n v="11768"/>
    <x v="0"/>
    <n v="7"/>
    <n v="327"/>
    <s v="No"/>
    <x v="0"/>
    <x v="1"/>
    <n v="0"/>
  </r>
  <r>
    <n v="15722"/>
    <x v="0"/>
    <n v="10"/>
    <n v="322"/>
    <s v="No"/>
    <x v="0"/>
    <x v="1"/>
    <n v="0"/>
  </r>
  <r>
    <n v="17673"/>
    <x v="0"/>
    <n v="9"/>
    <n v="119"/>
    <s v="No"/>
    <x v="1"/>
    <x v="0"/>
    <n v="0"/>
  </r>
  <r>
    <n v="16384"/>
    <x v="0"/>
    <n v="4"/>
    <n v="375"/>
    <s v="No"/>
    <x v="0"/>
    <x v="0"/>
    <n v="0"/>
  </r>
  <r>
    <n v="10803"/>
    <x v="0"/>
    <n v="1"/>
    <n v="326"/>
    <s v="No"/>
    <x v="1"/>
    <x v="1"/>
    <n v="0"/>
  </r>
  <r>
    <n v="14877"/>
    <x v="0"/>
    <n v="10"/>
    <n v="394"/>
    <s v="No"/>
    <x v="1"/>
    <x v="2"/>
    <n v="0"/>
  </r>
  <r>
    <n v="16483"/>
    <x v="0"/>
    <n v="11"/>
    <n v="237"/>
    <s v="No"/>
    <x v="0"/>
    <x v="3"/>
    <n v="0"/>
  </r>
  <r>
    <n v="18928"/>
    <x v="1"/>
    <n v="2"/>
    <n v="88"/>
    <s v="No"/>
    <x v="0"/>
    <x v="2"/>
    <n v="0"/>
  </r>
  <r>
    <n v="13084"/>
    <x v="1"/>
    <n v="13"/>
    <n v="221"/>
    <s v="No"/>
    <x v="0"/>
    <x v="2"/>
    <n v="0"/>
  </r>
  <r>
    <n v="18345"/>
    <x v="1"/>
    <n v="13"/>
    <n v="99"/>
    <s v="No"/>
    <x v="1"/>
    <x v="0"/>
    <n v="0"/>
  </r>
  <r>
    <n v="11722"/>
    <x v="0"/>
    <n v="1"/>
    <n v="361"/>
    <s v="No"/>
    <x v="0"/>
    <x v="2"/>
    <n v="0"/>
  </r>
  <r>
    <n v="12213"/>
    <x v="1"/>
    <n v="9"/>
    <n v="200"/>
    <s v="No"/>
    <x v="1"/>
    <x v="1"/>
    <n v="0"/>
  </r>
  <r>
    <n v="18937"/>
    <x v="1"/>
    <n v="5"/>
    <n v="252"/>
    <s v="No"/>
    <x v="1"/>
    <x v="0"/>
    <n v="0"/>
  </r>
  <r>
    <n v="19756"/>
    <x v="1"/>
    <n v="13"/>
    <n v="380"/>
    <s v="No"/>
    <x v="1"/>
    <x v="3"/>
    <n v="0"/>
  </r>
  <r>
    <n v="15979"/>
    <x v="0"/>
    <n v="14"/>
    <n v="107"/>
    <s v="No"/>
    <x v="0"/>
    <x v="1"/>
    <n v="0"/>
  </r>
  <r>
    <n v="13023"/>
    <x v="1"/>
    <n v="10"/>
    <n v="448"/>
    <s v="No"/>
    <x v="0"/>
    <x v="1"/>
    <n v="0"/>
  </r>
  <r>
    <n v="16843"/>
    <x v="1"/>
    <n v="4"/>
    <n v="300"/>
    <s v="Yes"/>
    <x v="0"/>
    <x v="3"/>
    <n v="1"/>
  </r>
  <r>
    <n v="18880"/>
    <x v="0"/>
    <n v="4"/>
    <n v="217"/>
    <s v="No"/>
    <x v="1"/>
    <x v="1"/>
    <n v="0"/>
  </r>
  <r>
    <n v="11331"/>
    <x v="0"/>
    <n v="14"/>
    <n v="206"/>
    <s v="No"/>
    <x v="0"/>
    <x v="0"/>
    <n v="0"/>
  </r>
  <r>
    <n v="17793"/>
    <x v="1"/>
    <n v="14"/>
    <n v="407"/>
    <s v="No"/>
    <x v="1"/>
    <x v="2"/>
    <n v="0"/>
  </r>
  <r>
    <n v="16540"/>
    <x v="1"/>
    <n v="10"/>
    <n v="83"/>
    <s v="No"/>
    <x v="0"/>
    <x v="3"/>
    <n v="0"/>
  </r>
  <r>
    <n v="12177"/>
    <x v="1"/>
    <n v="9"/>
    <n v="226"/>
    <s v="No"/>
    <x v="0"/>
    <x v="1"/>
    <n v="0"/>
  </r>
  <r>
    <n v="15052"/>
    <x v="1"/>
    <n v="2"/>
    <n v="188"/>
    <s v="No"/>
    <x v="1"/>
    <x v="3"/>
    <n v="0"/>
  </r>
  <r>
    <n v="14084"/>
    <x v="0"/>
    <n v="2"/>
    <n v="91"/>
    <s v="No"/>
    <x v="0"/>
    <x v="1"/>
    <n v="0"/>
  </r>
  <r>
    <n v="19841"/>
    <x v="0"/>
    <n v="1"/>
    <n v="61"/>
    <s v="No"/>
    <x v="1"/>
    <x v="3"/>
    <n v="0"/>
  </r>
  <r>
    <n v="14629"/>
    <x v="0"/>
    <n v="9"/>
    <n v="424"/>
    <s v="Yes"/>
    <x v="0"/>
    <x v="2"/>
    <n v="1"/>
  </r>
  <r>
    <n v="16711"/>
    <x v="1"/>
    <n v="14"/>
    <n v="410"/>
    <s v="No"/>
    <x v="0"/>
    <x v="2"/>
    <n v="0"/>
  </r>
  <r>
    <n v="13070"/>
    <x v="1"/>
    <n v="8"/>
    <n v="187"/>
    <s v="No"/>
    <x v="1"/>
    <x v="2"/>
    <n v="0"/>
  </r>
  <r>
    <n v="10850"/>
    <x v="1"/>
    <n v="14"/>
    <n v="366"/>
    <s v="No"/>
    <x v="0"/>
    <x v="3"/>
    <n v="0"/>
  </r>
  <r>
    <n v="11265"/>
    <x v="1"/>
    <n v="5"/>
    <n v="369"/>
    <s v="No"/>
    <x v="0"/>
    <x v="1"/>
    <n v="0"/>
  </r>
  <r>
    <n v="19429"/>
    <x v="0"/>
    <n v="13"/>
    <n v="447"/>
    <s v="No"/>
    <x v="1"/>
    <x v="2"/>
    <n v="0"/>
  </r>
  <r>
    <n v="14830"/>
    <x v="1"/>
    <n v="1"/>
    <n v="191"/>
    <s v="No"/>
    <x v="1"/>
    <x v="1"/>
    <n v="0"/>
  </r>
  <r>
    <n v="19122"/>
    <x v="0"/>
    <n v="4"/>
    <n v="240"/>
    <s v="No"/>
    <x v="1"/>
    <x v="3"/>
    <n v="0"/>
  </r>
  <r>
    <n v="16662"/>
    <x v="0"/>
    <n v="1"/>
    <n v="219"/>
    <s v="No"/>
    <x v="1"/>
    <x v="1"/>
    <n v="0"/>
  </r>
  <r>
    <n v="10135"/>
    <x v="1"/>
    <n v="13"/>
    <n v="401"/>
    <s v="No"/>
    <x v="0"/>
    <x v="0"/>
    <n v="0"/>
  </r>
  <r>
    <n v="17423"/>
    <x v="0"/>
    <n v="7"/>
    <n v="370"/>
    <s v="No"/>
    <x v="1"/>
    <x v="2"/>
    <n v="0"/>
  </r>
  <r>
    <n v="17238"/>
    <x v="0"/>
    <n v="14"/>
    <n v="306"/>
    <s v="No"/>
    <x v="0"/>
    <x v="3"/>
    <n v="0"/>
  </r>
  <r>
    <n v="14020"/>
    <x v="1"/>
    <n v="5"/>
    <n v="152"/>
    <s v="No"/>
    <x v="1"/>
    <x v="3"/>
    <n v="0"/>
  </r>
  <r>
    <n v="19050"/>
    <x v="0"/>
    <n v="5"/>
    <n v="197"/>
    <s v="Yes"/>
    <x v="1"/>
    <x v="3"/>
    <n v="1"/>
  </r>
  <r>
    <n v="14791"/>
    <x v="0"/>
    <n v="1"/>
    <n v="367"/>
    <s v="No"/>
    <x v="1"/>
    <x v="0"/>
    <n v="0"/>
  </r>
  <r>
    <n v="14503"/>
    <x v="1"/>
    <n v="12"/>
    <n v="335"/>
    <s v="No"/>
    <x v="1"/>
    <x v="1"/>
    <n v="0"/>
  </r>
  <r>
    <n v="15935"/>
    <x v="0"/>
    <n v="7"/>
    <n v="47"/>
    <s v="No"/>
    <x v="0"/>
    <x v="3"/>
    <n v="0"/>
  </r>
  <r>
    <n v="14940"/>
    <x v="0"/>
    <n v="7"/>
    <n v="117"/>
    <s v="Yes"/>
    <x v="0"/>
    <x v="2"/>
    <n v="1"/>
  </r>
  <r>
    <n v="12958"/>
    <x v="0"/>
    <n v="10"/>
    <n v="186"/>
    <s v="No"/>
    <x v="1"/>
    <x v="3"/>
    <n v="0"/>
  </r>
  <r>
    <n v="16920"/>
    <x v="0"/>
    <n v="10"/>
    <n v="370"/>
    <s v="No"/>
    <x v="0"/>
    <x v="1"/>
    <n v="0"/>
  </r>
  <r>
    <n v="12193"/>
    <x v="0"/>
    <n v="11"/>
    <n v="138"/>
    <s v="No"/>
    <x v="1"/>
    <x v="3"/>
    <n v="0"/>
  </r>
  <r>
    <n v="12837"/>
    <x v="0"/>
    <n v="6"/>
    <n v="54"/>
    <s v="No"/>
    <x v="1"/>
    <x v="2"/>
    <n v="0"/>
  </r>
  <r>
    <n v="15082"/>
    <x v="0"/>
    <n v="11"/>
    <n v="102"/>
    <s v="No"/>
    <x v="1"/>
    <x v="1"/>
    <n v="0"/>
  </r>
  <r>
    <n v="10642"/>
    <x v="0"/>
    <n v="3"/>
    <n v="105"/>
    <s v="No"/>
    <x v="1"/>
    <x v="0"/>
    <n v="0"/>
  </r>
  <r>
    <n v="13705"/>
    <x v="0"/>
    <n v="4"/>
    <n v="423"/>
    <s v="No"/>
    <x v="1"/>
    <x v="3"/>
    <n v="0"/>
  </r>
  <r>
    <n v="13643"/>
    <x v="0"/>
    <n v="4"/>
    <n v="84"/>
    <s v="No"/>
    <x v="1"/>
    <x v="0"/>
    <n v="0"/>
  </r>
  <r>
    <n v="12007"/>
    <x v="0"/>
    <n v="11"/>
    <n v="247"/>
    <s v="No"/>
    <x v="0"/>
    <x v="1"/>
    <n v="0"/>
  </r>
  <r>
    <n v="11992"/>
    <x v="0"/>
    <n v="5"/>
    <n v="377"/>
    <s v="No"/>
    <x v="1"/>
    <x v="2"/>
    <n v="0"/>
  </r>
  <r>
    <n v="16032"/>
    <x v="0"/>
    <n v="8"/>
    <n v="50"/>
    <s v="No"/>
    <x v="0"/>
    <x v="0"/>
    <n v="0"/>
  </r>
  <r>
    <n v="15061"/>
    <x v="0"/>
    <n v="5"/>
    <n v="309"/>
    <s v="No"/>
    <x v="1"/>
    <x v="1"/>
    <n v="0"/>
  </r>
  <r>
    <n v="19278"/>
    <x v="0"/>
    <n v="7"/>
    <n v="96"/>
    <s v="No"/>
    <x v="1"/>
    <x v="1"/>
    <n v="0"/>
  </r>
  <r>
    <n v="13289"/>
    <x v="1"/>
    <n v="9"/>
    <n v="377"/>
    <s v="No"/>
    <x v="0"/>
    <x v="2"/>
    <n v="0"/>
  </r>
  <r>
    <n v="11075"/>
    <x v="1"/>
    <n v="11"/>
    <n v="49"/>
    <s v="No"/>
    <x v="1"/>
    <x v="3"/>
    <n v="0"/>
  </r>
  <r>
    <n v="12415"/>
    <x v="0"/>
    <n v="11"/>
    <n v="327"/>
    <s v="No"/>
    <x v="0"/>
    <x v="1"/>
    <n v="0"/>
  </r>
  <r>
    <n v="13937"/>
    <x v="1"/>
    <n v="4"/>
    <n v="412"/>
    <s v="No"/>
    <x v="0"/>
    <x v="3"/>
    <n v="0"/>
  </r>
  <r>
    <n v="14218"/>
    <x v="1"/>
    <n v="13"/>
    <n v="241"/>
    <s v="No"/>
    <x v="0"/>
    <x v="1"/>
    <n v="0"/>
  </r>
  <r>
    <n v="11187"/>
    <x v="0"/>
    <n v="10"/>
    <n v="84"/>
    <s v="No"/>
    <x v="1"/>
    <x v="3"/>
    <n v="0"/>
  </r>
  <r>
    <n v="18649"/>
    <x v="0"/>
    <n v="2"/>
    <n v="261"/>
    <s v="No"/>
    <x v="1"/>
    <x v="1"/>
    <n v="0"/>
  </r>
  <r>
    <n v="15313"/>
    <x v="1"/>
    <n v="8"/>
    <n v="200"/>
    <s v="No"/>
    <x v="1"/>
    <x v="0"/>
    <n v="0"/>
  </r>
  <r>
    <n v="19008"/>
    <x v="0"/>
    <n v="4"/>
    <n v="326"/>
    <s v="Yes"/>
    <x v="1"/>
    <x v="2"/>
    <n v="1"/>
  </r>
  <r>
    <n v="18506"/>
    <x v="1"/>
    <n v="10"/>
    <n v="93"/>
    <s v="Yes"/>
    <x v="0"/>
    <x v="2"/>
    <n v="1"/>
  </r>
  <r>
    <n v="13030"/>
    <x v="1"/>
    <n v="8"/>
    <n v="373"/>
    <s v="No"/>
    <x v="1"/>
    <x v="2"/>
    <n v="0"/>
  </r>
  <r>
    <n v="10555"/>
    <x v="0"/>
    <n v="12"/>
    <n v="327"/>
    <s v="No"/>
    <x v="0"/>
    <x v="3"/>
    <n v="0"/>
  </r>
  <r>
    <n v="11669"/>
    <x v="1"/>
    <n v="2"/>
    <n v="142"/>
    <s v="No"/>
    <x v="1"/>
    <x v="3"/>
    <n v="0"/>
  </r>
  <r>
    <n v="11163"/>
    <x v="1"/>
    <n v="1"/>
    <n v="277"/>
    <s v="No"/>
    <x v="1"/>
    <x v="2"/>
    <n v="0"/>
  </r>
  <r>
    <n v="15567"/>
    <x v="1"/>
    <n v="14"/>
    <n v="128"/>
    <s v="No"/>
    <x v="0"/>
    <x v="0"/>
    <n v="0"/>
  </r>
  <r>
    <n v="11079"/>
    <x v="1"/>
    <n v="2"/>
    <n v="93"/>
    <s v="No"/>
    <x v="0"/>
    <x v="1"/>
    <n v="0"/>
  </r>
  <r>
    <n v="14375"/>
    <x v="0"/>
    <n v="5"/>
    <n v="232"/>
    <s v="No"/>
    <x v="0"/>
    <x v="2"/>
    <n v="0"/>
  </r>
  <r>
    <n v="15023"/>
    <x v="0"/>
    <n v="14"/>
    <n v="145"/>
    <s v="No"/>
    <x v="1"/>
    <x v="2"/>
    <n v="0"/>
  </r>
  <r>
    <n v="11807"/>
    <x v="1"/>
    <n v="4"/>
    <n v="106"/>
    <s v="Yes"/>
    <x v="1"/>
    <x v="3"/>
    <n v="1"/>
  </r>
  <r>
    <n v="16232"/>
    <x v="1"/>
    <n v="14"/>
    <n v="69"/>
    <s v="No"/>
    <x v="0"/>
    <x v="3"/>
    <n v="0"/>
  </r>
  <r>
    <n v="16053"/>
    <x v="0"/>
    <n v="7"/>
    <n v="132"/>
    <s v="Yes"/>
    <x v="1"/>
    <x v="2"/>
    <n v="1"/>
  </r>
  <r>
    <n v="14806"/>
    <x v="0"/>
    <n v="9"/>
    <n v="307"/>
    <s v="No"/>
    <x v="0"/>
    <x v="2"/>
    <n v="0"/>
  </r>
  <r>
    <n v="11715"/>
    <x v="0"/>
    <n v="11"/>
    <n v="42"/>
    <s v="No"/>
    <x v="1"/>
    <x v="3"/>
    <n v="0"/>
  </r>
  <r>
    <n v="11338"/>
    <x v="1"/>
    <n v="9"/>
    <n v="271"/>
    <s v="No"/>
    <x v="1"/>
    <x v="0"/>
    <n v="0"/>
  </r>
  <r>
    <n v="18588"/>
    <x v="0"/>
    <n v="7"/>
    <n v="280"/>
    <s v="Yes"/>
    <x v="1"/>
    <x v="2"/>
    <n v="1"/>
  </r>
  <r>
    <n v="16326"/>
    <x v="0"/>
    <n v="11"/>
    <n v="177"/>
    <s v="Yes"/>
    <x v="1"/>
    <x v="0"/>
    <n v="1"/>
  </r>
  <r>
    <n v="12613"/>
    <x v="0"/>
    <n v="6"/>
    <n v="100"/>
    <s v="No"/>
    <x v="1"/>
    <x v="1"/>
    <n v="0"/>
  </r>
  <r>
    <n v="12041"/>
    <x v="0"/>
    <n v="9"/>
    <n v="350"/>
    <s v="Yes"/>
    <x v="0"/>
    <x v="2"/>
    <n v="1"/>
  </r>
  <r>
    <n v="18000"/>
    <x v="0"/>
    <n v="2"/>
    <n v="319"/>
    <s v="No"/>
    <x v="0"/>
    <x v="2"/>
    <n v="0"/>
  </r>
  <r>
    <n v="13227"/>
    <x v="1"/>
    <n v="12"/>
    <n v="192"/>
    <s v="No"/>
    <x v="1"/>
    <x v="1"/>
    <n v="0"/>
  </r>
  <r>
    <n v="19787"/>
    <x v="0"/>
    <n v="3"/>
    <n v="91"/>
    <s v="No"/>
    <x v="0"/>
    <x v="0"/>
    <n v="0"/>
  </r>
  <r>
    <n v="14505"/>
    <x v="1"/>
    <n v="9"/>
    <n v="260"/>
    <s v="No"/>
    <x v="0"/>
    <x v="1"/>
    <n v="0"/>
  </r>
  <r>
    <n v="13807"/>
    <x v="0"/>
    <n v="12"/>
    <n v="262"/>
    <s v="No"/>
    <x v="1"/>
    <x v="2"/>
    <n v="0"/>
  </r>
  <r>
    <n v="13958"/>
    <x v="0"/>
    <n v="1"/>
    <n v="449"/>
    <s v="No"/>
    <x v="1"/>
    <x v="2"/>
    <n v="0"/>
  </r>
  <r>
    <n v="17855"/>
    <x v="1"/>
    <n v="9"/>
    <n v="108"/>
    <s v="No"/>
    <x v="1"/>
    <x v="0"/>
    <n v="0"/>
  </r>
  <r>
    <n v="11853"/>
    <x v="0"/>
    <n v="12"/>
    <n v="446"/>
    <s v="No"/>
    <x v="0"/>
    <x v="3"/>
    <n v="0"/>
  </r>
  <r>
    <n v="16690"/>
    <x v="1"/>
    <n v="13"/>
    <n v="238"/>
    <s v="No"/>
    <x v="0"/>
    <x v="3"/>
    <n v="0"/>
  </r>
  <r>
    <n v="11762"/>
    <x v="1"/>
    <n v="9"/>
    <n v="286"/>
    <s v="No"/>
    <x v="1"/>
    <x v="3"/>
    <n v="0"/>
  </r>
  <r>
    <n v="10292"/>
    <x v="0"/>
    <n v="4"/>
    <n v="235"/>
    <s v="No"/>
    <x v="0"/>
    <x v="1"/>
    <n v="0"/>
  </r>
  <r>
    <n v="10653"/>
    <x v="0"/>
    <n v="8"/>
    <n v="109"/>
    <s v="No"/>
    <x v="0"/>
    <x v="0"/>
    <n v="0"/>
  </r>
  <r>
    <n v="10070"/>
    <x v="1"/>
    <n v="12"/>
    <n v="283"/>
    <s v="No"/>
    <x v="0"/>
    <x v="0"/>
    <n v="0"/>
  </r>
  <r>
    <n v="10434"/>
    <x v="1"/>
    <n v="4"/>
    <n v="263"/>
    <s v="No"/>
    <x v="0"/>
    <x v="0"/>
    <n v="0"/>
  </r>
  <r>
    <n v="13536"/>
    <x v="1"/>
    <n v="7"/>
    <n v="146"/>
    <s v="No"/>
    <x v="0"/>
    <x v="3"/>
    <n v="0"/>
  </r>
  <r>
    <n v="18039"/>
    <x v="0"/>
    <n v="12"/>
    <n v="168"/>
    <s v="No"/>
    <x v="1"/>
    <x v="0"/>
    <n v="0"/>
  </r>
  <r>
    <n v="14131"/>
    <x v="1"/>
    <n v="2"/>
    <n v="370"/>
    <s v="No"/>
    <x v="0"/>
    <x v="2"/>
    <n v="0"/>
  </r>
  <r>
    <n v="13263"/>
    <x v="0"/>
    <n v="12"/>
    <n v="426"/>
    <s v="No"/>
    <x v="0"/>
    <x v="0"/>
    <n v="0"/>
  </r>
  <r>
    <n v="12882"/>
    <x v="0"/>
    <n v="3"/>
    <n v="219"/>
    <s v="No"/>
    <x v="1"/>
    <x v="2"/>
    <n v="0"/>
  </r>
  <r>
    <n v="10005"/>
    <x v="0"/>
    <n v="8"/>
    <n v="274"/>
    <s v="No"/>
    <x v="1"/>
    <x v="0"/>
    <n v="0"/>
  </r>
  <r>
    <n v="14082"/>
    <x v="1"/>
    <n v="1"/>
    <n v="371"/>
    <s v="No"/>
    <x v="1"/>
    <x v="2"/>
    <n v="0"/>
  </r>
  <r>
    <n v="11902"/>
    <x v="1"/>
    <n v="6"/>
    <n v="416"/>
    <s v="No"/>
    <x v="0"/>
    <x v="2"/>
    <n v="0"/>
  </r>
  <r>
    <n v="11088"/>
    <x v="0"/>
    <n v="6"/>
    <n v="119"/>
    <s v="Yes"/>
    <x v="1"/>
    <x v="2"/>
    <n v="1"/>
  </r>
  <r>
    <n v="14866"/>
    <x v="0"/>
    <n v="4"/>
    <n v="410"/>
    <s v="No"/>
    <x v="1"/>
    <x v="3"/>
    <n v="0"/>
  </r>
  <r>
    <n v="10228"/>
    <x v="0"/>
    <n v="1"/>
    <n v="428"/>
    <s v="No"/>
    <x v="1"/>
    <x v="0"/>
    <n v="0"/>
  </r>
  <r>
    <n v="10916"/>
    <x v="1"/>
    <n v="4"/>
    <n v="422"/>
    <s v="No"/>
    <x v="1"/>
    <x v="1"/>
    <n v="0"/>
  </r>
  <r>
    <n v="15223"/>
    <x v="0"/>
    <n v="8"/>
    <n v="417"/>
    <s v="No"/>
    <x v="1"/>
    <x v="3"/>
    <n v="0"/>
  </r>
  <r>
    <n v="13827"/>
    <x v="0"/>
    <n v="13"/>
    <n v="407"/>
    <s v="No"/>
    <x v="0"/>
    <x v="3"/>
    <n v="0"/>
  </r>
  <r>
    <n v="10343"/>
    <x v="1"/>
    <n v="12"/>
    <n v="417"/>
    <s v="No"/>
    <x v="1"/>
    <x v="2"/>
    <n v="0"/>
  </r>
  <r>
    <n v="13005"/>
    <x v="1"/>
    <n v="13"/>
    <n v="51"/>
    <s v="Yes"/>
    <x v="1"/>
    <x v="1"/>
    <n v="1"/>
  </r>
  <r>
    <n v="12016"/>
    <x v="1"/>
    <n v="12"/>
    <n v="397"/>
    <s v="No"/>
    <x v="0"/>
    <x v="3"/>
    <n v="0"/>
  </r>
  <r>
    <n v="13480"/>
    <x v="1"/>
    <n v="10"/>
    <n v="429"/>
    <s v="No"/>
    <x v="0"/>
    <x v="0"/>
    <n v="0"/>
  </r>
  <r>
    <n v="19694"/>
    <x v="1"/>
    <n v="4"/>
    <n v="282"/>
    <s v="No"/>
    <x v="0"/>
    <x v="0"/>
    <n v="0"/>
  </r>
  <r>
    <n v="15969"/>
    <x v="0"/>
    <n v="1"/>
    <n v="381"/>
    <s v="No"/>
    <x v="0"/>
    <x v="2"/>
    <n v="0"/>
  </r>
  <r>
    <n v="19177"/>
    <x v="0"/>
    <n v="7"/>
    <n v="245"/>
    <s v="No"/>
    <x v="0"/>
    <x v="0"/>
    <n v="0"/>
  </r>
  <r>
    <n v="14863"/>
    <x v="0"/>
    <n v="3"/>
    <n v="316"/>
    <s v="No"/>
    <x v="1"/>
    <x v="0"/>
    <n v="0"/>
  </r>
  <r>
    <n v="11542"/>
    <x v="1"/>
    <n v="6"/>
    <n v="229"/>
    <s v="No"/>
    <x v="0"/>
    <x v="3"/>
    <n v="0"/>
  </r>
  <r>
    <n v="13441"/>
    <x v="0"/>
    <n v="12"/>
    <n v="84"/>
    <s v="No"/>
    <x v="1"/>
    <x v="1"/>
    <n v="0"/>
  </r>
  <r>
    <n v="16399"/>
    <x v="1"/>
    <n v="5"/>
    <n v="202"/>
    <s v="No"/>
    <x v="0"/>
    <x v="1"/>
    <n v="0"/>
  </r>
  <r>
    <n v="15509"/>
    <x v="0"/>
    <n v="2"/>
    <n v="107"/>
    <s v="No"/>
    <x v="0"/>
    <x v="3"/>
    <n v="0"/>
  </r>
  <r>
    <n v="11186"/>
    <x v="1"/>
    <n v="3"/>
    <n v="364"/>
    <s v="No"/>
    <x v="1"/>
    <x v="2"/>
    <n v="0"/>
  </r>
  <r>
    <n v="14244"/>
    <x v="0"/>
    <n v="1"/>
    <n v="244"/>
    <s v="No"/>
    <x v="1"/>
    <x v="0"/>
    <n v="0"/>
  </r>
  <r>
    <n v="16718"/>
    <x v="0"/>
    <n v="5"/>
    <n v="387"/>
    <s v="Yes"/>
    <x v="1"/>
    <x v="2"/>
    <n v="1"/>
  </r>
  <r>
    <n v="15207"/>
    <x v="1"/>
    <n v="4"/>
    <n v="107"/>
    <s v="No"/>
    <x v="1"/>
    <x v="2"/>
    <n v="0"/>
  </r>
  <r>
    <n v="17502"/>
    <x v="1"/>
    <n v="5"/>
    <n v="232"/>
    <s v="No"/>
    <x v="0"/>
    <x v="1"/>
    <n v="0"/>
  </r>
  <r>
    <n v="12871"/>
    <x v="0"/>
    <n v="9"/>
    <n v="444"/>
    <s v="No"/>
    <x v="1"/>
    <x v="3"/>
    <n v="0"/>
  </r>
  <r>
    <n v="15495"/>
    <x v="0"/>
    <n v="12"/>
    <n v="352"/>
    <s v="Yes"/>
    <x v="1"/>
    <x v="1"/>
    <n v="1"/>
  </r>
  <r>
    <n v="11178"/>
    <x v="0"/>
    <n v="2"/>
    <n v="253"/>
    <s v="No"/>
    <x v="0"/>
    <x v="2"/>
    <n v="0"/>
  </r>
  <r>
    <n v="15951"/>
    <x v="1"/>
    <n v="7"/>
    <n v="87"/>
    <s v="No"/>
    <x v="0"/>
    <x v="3"/>
    <n v="0"/>
  </r>
  <r>
    <n v="12928"/>
    <x v="1"/>
    <n v="1"/>
    <n v="73"/>
    <s v="No"/>
    <x v="1"/>
    <x v="2"/>
    <n v="0"/>
  </r>
  <r>
    <n v="10859"/>
    <x v="1"/>
    <n v="14"/>
    <n v="324"/>
    <s v="No"/>
    <x v="0"/>
    <x v="2"/>
    <n v="0"/>
  </r>
  <r>
    <n v="13662"/>
    <x v="1"/>
    <n v="8"/>
    <n v="59"/>
    <s v="No"/>
    <x v="1"/>
    <x v="2"/>
    <n v="0"/>
  </r>
  <r>
    <n v="11796"/>
    <x v="1"/>
    <n v="4"/>
    <n v="95"/>
    <s v="No"/>
    <x v="1"/>
    <x v="3"/>
    <n v="0"/>
  </r>
  <r>
    <n v="17924"/>
    <x v="1"/>
    <n v="12"/>
    <n v="310"/>
    <s v="No"/>
    <x v="1"/>
    <x v="3"/>
    <n v="0"/>
  </r>
  <r>
    <n v="13655"/>
    <x v="1"/>
    <n v="7"/>
    <n v="415"/>
    <s v="No"/>
    <x v="1"/>
    <x v="0"/>
    <n v="0"/>
  </r>
  <r>
    <n v="15970"/>
    <x v="1"/>
    <n v="1"/>
    <n v="387"/>
    <s v="No"/>
    <x v="1"/>
    <x v="2"/>
    <n v="0"/>
  </r>
  <r>
    <n v="17705"/>
    <x v="0"/>
    <n v="6"/>
    <n v="186"/>
    <s v="No"/>
    <x v="0"/>
    <x v="1"/>
    <n v="0"/>
  </r>
  <r>
    <n v="11612"/>
    <x v="1"/>
    <n v="9"/>
    <n v="345"/>
    <s v="No"/>
    <x v="0"/>
    <x v="3"/>
    <n v="0"/>
  </r>
  <r>
    <n v="17937"/>
    <x v="1"/>
    <n v="7"/>
    <n v="328"/>
    <s v="No"/>
    <x v="0"/>
    <x v="2"/>
    <n v="0"/>
  </r>
  <r>
    <n v="16853"/>
    <x v="0"/>
    <n v="8"/>
    <n v="362"/>
    <s v="No"/>
    <x v="0"/>
    <x v="3"/>
    <n v="0"/>
  </r>
  <r>
    <n v="13781"/>
    <x v="1"/>
    <n v="11"/>
    <n v="95"/>
    <s v="No"/>
    <x v="0"/>
    <x v="0"/>
    <n v="0"/>
  </r>
  <r>
    <n v="19380"/>
    <x v="0"/>
    <n v="6"/>
    <n v="294"/>
    <s v="No"/>
    <x v="0"/>
    <x v="3"/>
    <n v="0"/>
  </r>
  <r>
    <n v="15561"/>
    <x v="0"/>
    <n v="4"/>
    <n v="98"/>
    <s v="No"/>
    <x v="0"/>
    <x v="0"/>
    <n v="0"/>
  </r>
  <r>
    <n v="10518"/>
    <x v="0"/>
    <n v="10"/>
    <n v="74"/>
    <s v="No"/>
    <x v="0"/>
    <x v="1"/>
    <n v="0"/>
  </r>
  <r>
    <n v="16926"/>
    <x v="1"/>
    <n v="13"/>
    <n v="200"/>
    <s v="No"/>
    <x v="1"/>
    <x v="3"/>
    <n v="0"/>
  </r>
  <r>
    <n v="18044"/>
    <x v="0"/>
    <n v="1"/>
    <n v="284"/>
    <s v="No"/>
    <x v="0"/>
    <x v="0"/>
    <n v="0"/>
  </r>
  <r>
    <n v="19357"/>
    <x v="1"/>
    <n v="14"/>
    <n v="93"/>
    <s v="No"/>
    <x v="0"/>
    <x v="0"/>
    <n v="0"/>
  </r>
  <r>
    <n v="16198"/>
    <x v="1"/>
    <n v="7"/>
    <n v="102"/>
    <s v="No"/>
    <x v="0"/>
    <x v="3"/>
    <n v="0"/>
  </r>
  <r>
    <n v="16443"/>
    <x v="0"/>
    <n v="1"/>
    <n v="93"/>
    <s v="No"/>
    <x v="1"/>
    <x v="2"/>
    <n v="0"/>
  </r>
  <r>
    <n v="17834"/>
    <x v="1"/>
    <n v="1"/>
    <n v="148"/>
    <s v="No"/>
    <x v="1"/>
    <x v="3"/>
    <n v="0"/>
  </r>
  <r>
    <n v="12522"/>
    <x v="0"/>
    <n v="4"/>
    <n v="308"/>
    <s v="No"/>
    <x v="1"/>
    <x v="2"/>
    <n v="0"/>
  </r>
  <r>
    <n v="16422"/>
    <x v="0"/>
    <n v="12"/>
    <n v="296"/>
    <s v="No"/>
    <x v="1"/>
    <x v="3"/>
    <n v="0"/>
  </r>
  <r>
    <n v="13215"/>
    <x v="0"/>
    <n v="7"/>
    <n v="41"/>
    <s v="Yes"/>
    <x v="0"/>
    <x v="2"/>
    <n v="1"/>
  </r>
  <r>
    <n v="18129"/>
    <x v="0"/>
    <n v="10"/>
    <n v="136"/>
    <s v="No"/>
    <x v="0"/>
    <x v="2"/>
    <n v="0"/>
  </r>
  <r>
    <n v="15763"/>
    <x v="1"/>
    <n v="8"/>
    <n v="161"/>
    <s v="Yes"/>
    <x v="0"/>
    <x v="0"/>
    <n v="1"/>
  </r>
  <r>
    <n v="11387"/>
    <x v="0"/>
    <n v="3"/>
    <n v="168"/>
    <s v="No"/>
    <x v="0"/>
    <x v="1"/>
    <n v="0"/>
  </r>
  <r>
    <n v="11146"/>
    <x v="1"/>
    <n v="3"/>
    <n v="62"/>
    <s v="No"/>
    <x v="0"/>
    <x v="0"/>
    <n v="0"/>
  </r>
  <r>
    <n v="18865"/>
    <x v="1"/>
    <n v="11"/>
    <n v="256"/>
    <s v="No"/>
    <x v="0"/>
    <x v="3"/>
    <n v="0"/>
  </r>
  <r>
    <n v="10573"/>
    <x v="1"/>
    <n v="12"/>
    <n v="128"/>
    <s v="No"/>
    <x v="1"/>
    <x v="2"/>
    <n v="0"/>
  </r>
  <r>
    <n v="13058"/>
    <x v="1"/>
    <n v="11"/>
    <n v="208"/>
    <s v="No"/>
    <x v="0"/>
    <x v="0"/>
    <n v="0"/>
  </r>
  <r>
    <n v="12932"/>
    <x v="1"/>
    <n v="9"/>
    <n v="318"/>
    <s v="No"/>
    <x v="1"/>
    <x v="2"/>
    <n v="0"/>
  </r>
  <r>
    <n v="11383"/>
    <x v="1"/>
    <n v="3"/>
    <n v="97"/>
    <s v="No"/>
    <x v="1"/>
    <x v="0"/>
    <n v="0"/>
  </r>
  <r>
    <n v="18289"/>
    <x v="1"/>
    <n v="13"/>
    <n v="203"/>
    <s v="No"/>
    <x v="0"/>
    <x v="1"/>
    <n v="0"/>
  </r>
  <r>
    <n v="12431"/>
    <x v="1"/>
    <n v="13"/>
    <n v="416"/>
    <s v="No"/>
    <x v="1"/>
    <x v="2"/>
    <n v="0"/>
  </r>
  <r>
    <n v="17246"/>
    <x v="1"/>
    <n v="6"/>
    <n v="281"/>
    <s v="No"/>
    <x v="0"/>
    <x v="3"/>
    <n v="0"/>
  </r>
  <r>
    <n v="11385"/>
    <x v="0"/>
    <n v="12"/>
    <n v="372"/>
    <s v="No"/>
    <x v="0"/>
    <x v="2"/>
    <n v="0"/>
  </r>
  <r>
    <n v="15199"/>
    <x v="0"/>
    <n v="12"/>
    <n v="271"/>
    <s v="No"/>
    <x v="1"/>
    <x v="0"/>
    <n v="0"/>
  </r>
  <r>
    <n v="13029"/>
    <x v="0"/>
    <n v="7"/>
    <n v="284"/>
    <s v="No"/>
    <x v="0"/>
    <x v="3"/>
    <n v="0"/>
  </r>
  <r>
    <n v="10994"/>
    <x v="1"/>
    <n v="9"/>
    <n v="349"/>
    <s v="No"/>
    <x v="1"/>
    <x v="1"/>
    <n v="0"/>
  </r>
  <r>
    <n v="12004"/>
    <x v="1"/>
    <n v="4"/>
    <n v="223"/>
    <s v="No"/>
    <x v="0"/>
    <x v="0"/>
    <n v="0"/>
  </r>
  <r>
    <n v="17851"/>
    <x v="0"/>
    <n v="7"/>
    <n v="419"/>
    <s v="No"/>
    <x v="1"/>
    <x v="0"/>
    <n v="0"/>
  </r>
  <r>
    <n v="14051"/>
    <x v="0"/>
    <n v="3"/>
    <n v="91"/>
    <s v="No"/>
    <x v="0"/>
    <x v="0"/>
    <n v="0"/>
  </r>
  <r>
    <n v="11711"/>
    <x v="1"/>
    <n v="9"/>
    <n v="291"/>
    <s v="No"/>
    <x v="0"/>
    <x v="3"/>
    <n v="0"/>
  </r>
  <r>
    <n v="15570"/>
    <x v="0"/>
    <n v="14"/>
    <n v="176"/>
    <s v="No"/>
    <x v="0"/>
    <x v="1"/>
    <n v="0"/>
  </r>
  <r>
    <n v="19418"/>
    <x v="1"/>
    <n v="5"/>
    <n v="397"/>
    <s v="No"/>
    <x v="1"/>
    <x v="2"/>
    <n v="0"/>
  </r>
  <r>
    <n v="15274"/>
    <x v="1"/>
    <n v="7"/>
    <n v="365"/>
    <s v="No"/>
    <x v="0"/>
    <x v="3"/>
    <n v="0"/>
  </r>
  <r>
    <n v="10953"/>
    <x v="0"/>
    <n v="12"/>
    <n v="201"/>
    <s v="No"/>
    <x v="1"/>
    <x v="1"/>
    <n v="0"/>
  </r>
  <r>
    <n v="18962"/>
    <x v="1"/>
    <n v="7"/>
    <n v="131"/>
    <s v="No"/>
    <x v="0"/>
    <x v="1"/>
    <n v="0"/>
  </r>
  <r>
    <n v="11674"/>
    <x v="1"/>
    <n v="3"/>
    <n v="221"/>
    <s v="No"/>
    <x v="1"/>
    <x v="1"/>
    <n v="0"/>
  </r>
  <r>
    <n v="16615"/>
    <x v="0"/>
    <n v="4"/>
    <n v="132"/>
    <s v="No"/>
    <x v="0"/>
    <x v="0"/>
    <n v="0"/>
  </r>
  <r>
    <n v="16126"/>
    <x v="1"/>
    <n v="2"/>
    <n v="153"/>
    <s v="No"/>
    <x v="1"/>
    <x v="1"/>
    <n v="0"/>
  </r>
  <r>
    <n v="14714"/>
    <x v="0"/>
    <n v="8"/>
    <n v="411"/>
    <s v="No"/>
    <x v="1"/>
    <x v="2"/>
    <n v="0"/>
  </r>
  <r>
    <n v="19502"/>
    <x v="1"/>
    <n v="9"/>
    <n v="333"/>
    <s v="No"/>
    <x v="0"/>
    <x v="2"/>
    <n v="0"/>
  </r>
  <r>
    <n v="11194"/>
    <x v="0"/>
    <n v="11"/>
    <n v="46"/>
    <s v="Yes"/>
    <x v="0"/>
    <x v="2"/>
    <n v="1"/>
  </r>
  <r>
    <n v="17212"/>
    <x v="0"/>
    <n v="3"/>
    <n v="437"/>
    <s v="No"/>
    <x v="1"/>
    <x v="0"/>
    <n v="0"/>
  </r>
  <r>
    <n v="10873"/>
    <x v="1"/>
    <n v="14"/>
    <n v="374"/>
    <s v="No"/>
    <x v="0"/>
    <x v="3"/>
    <n v="0"/>
  </r>
  <r>
    <n v="16063"/>
    <x v="0"/>
    <n v="6"/>
    <n v="445"/>
    <s v="No"/>
    <x v="0"/>
    <x v="3"/>
    <n v="0"/>
  </r>
  <r>
    <n v="12354"/>
    <x v="1"/>
    <n v="14"/>
    <n v="182"/>
    <s v="No"/>
    <x v="0"/>
    <x v="3"/>
    <n v="0"/>
  </r>
  <r>
    <n v="18159"/>
    <x v="1"/>
    <n v="9"/>
    <n v="313"/>
    <s v="No"/>
    <x v="1"/>
    <x v="3"/>
    <n v="0"/>
  </r>
  <r>
    <n v="10267"/>
    <x v="0"/>
    <n v="4"/>
    <n v="89"/>
    <s v="No"/>
    <x v="1"/>
    <x v="2"/>
    <n v="0"/>
  </r>
  <r>
    <n v="18094"/>
    <x v="0"/>
    <n v="12"/>
    <n v="135"/>
    <s v="No"/>
    <x v="1"/>
    <x v="0"/>
    <n v="0"/>
  </r>
  <r>
    <n v="17155"/>
    <x v="0"/>
    <n v="9"/>
    <n v="64"/>
    <s v="No"/>
    <x v="1"/>
    <x v="1"/>
    <n v="0"/>
  </r>
  <r>
    <n v="14012"/>
    <x v="0"/>
    <n v="9"/>
    <n v="155"/>
    <s v="No"/>
    <x v="0"/>
    <x v="1"/>
    <n v="0"/>
  </r>
  <r>
    <n v="19068"/>
    <x v="0"/>
    <n v="14"/>
    <n v="67"/>
    <s v="No"/>
    <x v="1"/>
    <x v="2"/>
    <n v="0"/>
  </r>
  <r>
    <n v="13981"/>
    <x v="1"/>
    <n v="1"/>
    <n v="393"/>
    <s v="No"/>
    <x v="1"/>
    <x v="2"/>
    <n v="0"/>
  </r>
  <r>
    <n v="17474"/>
    <x v="1"/>
    <n v="6"/>
    <n v="284"/>
    <s v="No"/>
    <x v="1"/>
    <x v="3"/>
    <n v="0"/>
  </r>
  <r>
    <n v="16301"/>
    <x v="0"/>
    <n v="11"/>
    <n v="374"/>
    <s v="No"/>
    <x v="0"/>
    <x v="2"/>
    <n v="0"/>
  </r>
  <r>
    <n v="17611"/>
    <x v="0"/>
    <n v="14"/>
    <n v="251"/>
    <s v="No"/>
    <x v="0"/>
    <x v="1"/>
    <n v="0"/>
  </r>
  <r>
    <n v="13039"/>
    <x v="1"/>
    <n v="7"/>
    <n v="119"/>
    <s v="No"/>
    <x v="1"/>
    <x v="2"/>
    <n v="0"/>
  </r>
  <r>
    <n v="17248"/>
    <x v="1"/>
    <n v="3"/>
    <n v="125"/>
    <s v="No"/>
    <x v="0"/>
    <x v="2"/>
    <n v="0"/>
  </r>
  <r>
    <n v="14092"/>
    <x v="0"/>
    <n v="5"/>
    <n v="292"/>
    <s v="No"/>
    <x v="1"/>
    <x v="1"/>
    <n v="0"/>
  </r>
  <r>
    <n v="17836"/>
    <x v="0"/>
    <n v="8"/>
    <n v="199"/>
    <s v="No"/>
    <x v="0"/>
    <x v="0"/>
    <n v="0"/>
  </r>
  <r>
    <n v="15318"/>
    <x v="0"/>
    <n v="5"/>
    <n v="324"/>
    <s v="No"/>
    <x v="0"/>
    <x v="0"/>
    <n v="0"/>
  </r>
  <r>
    <n v="13573"/>
    <x v="1"/>
    <n v="11"/>
    <n v="316"/>
    <s v="No"/>
    <x v="0"/>
    <x v="2"/>
    <n v="0"/>
  </r>
  <r>
    <n v="16157"/>
    <x v="0"/>
    <n v="12"/>
    <n v="264"/>
    <s v="No"/>
    <x v="1"/>
    <x v="0"/>
    <n v="0"/>
  </r>
  <r>
    <n v="18475"/>
    <x v="0"/>
    <n v="3"/>
    <n v="292"/>
    <s v="No"/>
    <x v="1"/>
    <x v="3"/>
    <n v="0"/>
  </r>
  <r>
    <n v="18912"/>
    <x v="1"/>
    <n v="2"/>
    <n v="448"/>
    <s v="No"/>
    <x v="0"/>
    <x v="1"/>
    <n v="0"/>
  </r>
  <r>
    <n v="15028"/>
    <x v="0"/>
    <n v="1"/>
    <n v="380"/>
    <s v="No"/>
    <x v="0"/>
    <x v="1"/>
    <n v="0"/>
  </r>
  <r>
    <n v="10729"/>
    <x v="1"/>
    <n v="9"/>
    <n v="104"/>
    <s v="No"/>
    <x v="0"/>
    <x v="1"/>
    <n v="0"/>
  </r>
  <r>
    <n v="13880"/>
    <x v="0"/>
    <n v="12"/>
    <n v="404"/>
    <s v="No"/>
    <x v="1"/>
    <x v="2"/>
    <n v="0"/>
  </r>
  <r>
    <n v="18917"/>
    <x v="0"/>
    <n v="2"/>
    <n v="441"/>
    <s v="Yes"/>
    <x v="0"/>
    <x v="3"/>
    <n v="1"/>
  </r>
  <r>
    <n v="10730"/>
    <x v="1"/>
    <n v="5"/>
    <n v="156"/>
    <s v="No"/>
    <x v="1"/>
    <x v="3"/>
    <n v="0"/>
  </r>
  <r>
    <n v="16444"/>
    <x v="1"/>
    <n v="7"/>
    <n v="345"/>
    <s v="No"/>
    <x v="1"/>
    <x v="2"/>
    <n v="0"/>
  </r>
  <r>
    <n v="16186"/>
    <x v="1"/>
    <n v="11"/>
    <n v="179"/>
    <s v="Yes"/>
    <x v="0"/>
    <x v="3"/>
    <n v="1"/>
  </r>
  <r>
    <n v="15241"/>
    <x v="0"/>
    <n v="13"/>
    <n v="400"/>
    <s v="No"/>
    <x v="0"/>
    <x v="0"/>
    <n v="0"/>
  </r>
  <r>
    <n v="16894"/>
    <x v="1"/>
    <n v="9"/>
    <n v="367"/>
    <s v="No"/>
    <x v="0"/>
    <x v="0"/>
    <n v="0"/>
  </r>
  <r>
    <n v="13374"/>
    <x v="0"/>
    <n v="6"/>
    <n v="257"/>
    <s v="No"/>
    <x v="0"/>
    <x v="0"/>
    <n v="0"/>
  </r>
  <r>
    <n v="14886"/>
    <x v="1"/>
    <n v="13"/>
    <n v="52"/>
    <s v="No"/>
    <x v="0"/>
    <x v="1"/>
    <n v="0"/>
  </r>
  <r>
    <n v="13358"/>
    <x v="0"/>
    <n v="3"/>
    <n v="400"/>
    <s v="No"/>
    <x v="0"/>
    <x v="2"/>
    <n v="0"/>
  </r>
  <r>
    <n v="17721"/>
    <x v="1"/>
    <n v="14"/>
    <n v="382"/>
    <s v="No"/>
    <x v="0"/>
    <x v="0"/>
    <n v="0"/>
  </r>
  <r>
    <n v="15988"/>
    <x v="1"/>
    <n v="1"/>
    <n v="294"/>
    <s v="No"/>
    <x v="1"/>
    <x v="2"/>
    <n v="0"/>
  </r>
  <r>
    <n v="16178"/>
    <x v="1"/>
    <n v="2"/>
    <n v="131"/>
    <s v="No"/>
    <x v="0"/>
    <x v="0"/>
    <n v="0"/>
  </r>
  <r>
    <n v="16187"/>
    <x v="1"/>
    <n v="7"/>
    <n v="264"/>
    <s v="No"/>
    <x v="0"/>
    <x v="1"/>
    <n v="0"/>
  </r>
  <r>
    <n v="19904"/>
    <x v="0"/>
    <n v="14"/>
    <n v="161"/>
    <s v="No"/>
    <x v="1"/>
    <x v="3"/>
    <n v="0"/>
  </r>
  <r>
    <n v="15550"/>
    <x v="0"/>
    <n v="7"/>
    <n v="172"/>
    <s v="No"/>
    <x v="1"/>
    <x v="1"/>
    <n v="0"/>
  </r>
  <r>
    <n v="16963"/>
    <x v="1"/>
    <n v="2"/>
    <n v="208"/>
    <s v="No"/>
    <x v="0"/>
    <x v="2"/>
    <n v="0"/>
  </r>
  <r>
    <n v="19185"/>
    <x v="1"/>
    <n v="10"/>
    <n v="45"/>
    <s v="No"/>
    <x v="1"/>
    <x v="3"/>
    <n v="0"/>
  </r>
  <r>
    <n v="15176"/>
    <x v="0"/>
    <n v="7"/>
    <n v="420"/>
    <s v="No"/>
    <x v="0"/>
    <x v="1"/>
    <n v="0"/>
  </r>
  <r>
    <n v="15203"/>
    <x v="0"/>
    <n v="11"/>
    <n v="274"/>
    <s v="Yes"/>
    <x v="0"/>
    <x v="1"/>
    <n v="1"/>
  </r>
  <r>
    <n v="14732"/>
    <x v="1"/>
    <n v="14"/>
    <n v="225"/>
    <s v="No"/>
    <x v="1"/>
    <x v="1"/>
    <n v="0"/>
  </r>
  <r>
    <n v="17119"/>
    <x v="0"/>
    <n v="8"/>
    <n v="131"/>
    <s v="No"/>
    <x v="1"/>
    <x v="0"/>
    <n v="0"/>
  </r>
  <r>
    <n v="15978"/>
    <x v="0"/>
    <n v="3"/>
    <n v="271"/>
    <s v="No"/>
    <x v="0"/>
    <x v="0"/>
    <n v="0"/>
  </r>
  <r>
    <n v="12625"/>
    <x v="1"/>
    <n v="11"/>
    <n v="253"/>
    <s v="No"/>
    <x v="0"/>
    <x v="2"/>
    <n v="0"/>
  </r>
  <r>
    <n v="14690"/>
    <x v="0"/>
    <n v="10"/>
    <n v="144"/>
    <s v="No"/>
    <x v="1"/>
    <x v="2"/>
    <n v="0"/>
  </r>
  <r>
    <n v="15013"/>
    <x v="1"/>
    <n v="14"/>
    <n v="128"/>
    <s v="No"/>
    <x v="1"/>
    <x v="3"/>
    <n v="0"/>
  </r>
  <r>
    <n v="19182"/>
    <x v="0"/>
    <n v="11"/>
    <n v="81"/>
    <s v="No"/>
    <x v="0"/>
    <x v="1"/>
    <n v="0"/>
  </r>
  <r>
    <n v="10813"/>
    <x v="0"/>
    <n v="14"/>
    <n v="133"/>
    <s v="No"/>
    <x v="1"/>
    <x v="2"/>
    <n v="0"/>
  </r>
  <r>
    <n v="17089"/>
    <x v="0"/>
    <n v="9"/>
    <n v="111"/>
    <s v="No"/>
    <x v="1"/>
    <x v="1"/>
    <n v="0"/>
  </r>
  <r>
    <n v="16900"/>
    <x v="0"/>
    <n v="9"/>
    <n v="55"/>
    <s v="No"/>
    <x v="1"/>
    <x v="1"/>
    <n v="0"/>
  </r>
  <r>
    <n v="11289"/>
    <x v="1"/>
    <n v="3"/>
    <n v="384"/>
    <s v="No"/>
    <x v="0"/>
    <x v="2"/>
    <n v="0"/>
  </r>
  <r>
    <n v="13051"/>
    <x v="1"/>
    <n v="1"/>
    <n v="368"/>
    <s v="No"/>
    <x v="0"/>
    <x v="1"/>
    <n v="0"/>
  </r>
  <r>
    <n v="19964"/>
    <x v="0"/>
    <n v="1"/>
    <n v="118"/>
    <s v="Yes"/>
    <x v="0"/>
    <x v="3"/>
    <n v="1"/>
  </r>
  <r>
    <n v="12594"/>
    <x v="1"/>
    <n v="4"/>
    <n v="135"/>
    <s v="No"/>
    <x v="0"/>
    <x v="0"/>
    <n v="0"/>
  </r>
  <r>
    <n v="19450"/>
    <x v="0"/>
    <n v="6"/>
    <n v="197"/>
    <s v="No"/>
    <x v="0"/>
    <x v="3"/>
    <n v="0"/>
  </r>
  <r>
    <n v="10251"/>
    <x v="0"/>
    <n v="9"/>
    <n v="368"/>
    <s v="No"/>
    <x v="1"/>
    <x v="0"/>
    <n v="0"/>
  </r>
  <r>
    <n v="19383"/>
    <x v="0"/>
    <n v="13"/>
    <n v="360"/>
    <s v="Yes"/>
    <x v="0"/>
    <x v="0"/>
    <n v="1"/>
  </r>
  <r>
    <n v="10906"/>
    <x v="0"/>
    <n v="13"/>
    <n v="318"/>
    <s v="No"/>
    <x v="0"/>
    <x v="2"/>
    <n v="0"/>
  </r>
  <r>
    <n v="11708"/>
    <x v="1"/>
    <n v="8"/>
    <n v="216"/>
    <s v="No"/>
    <x v="1"/>
    <x v="0"/>
    <n v="0"/>
  </r>
  <r>
    <n v="14761"/>
    <x v="1"/>
    <n v="14"/>
    <n v="149"/>
    <s v="No"/>
    <x v="0"/>
    <x v="1"/>
    <n v="0"/>
  </r>
  <r>
    <n v="19290"/>
    <x v="0"/>
    <n v="13"/>
    <n v="381"/>
    <s v="No"/>
    <x v="1"/>
    <x v="3"/>
    <n v="0"/>
  </r>
  <r>
    <n v="12531"/>
    <x v="1"/>
    <n v="8"/>
    <n v="113"/>
    <s v="Yes"/>
    <x v="0"/>
    <x v="1"/>
    <n v="1"/>
  </r>
  <r>
    <n v="11107"/>
    <x v="1"/>
    <n v="2"/>
    <n v="345"/>
    <s v="No"/>
    <x v="0"/>
    <x v="3"/>
    <n v="0"/>
  </r>
  <r>
    <n v="11968"/>
    <x v="1"/>
    <n v="13"/>
    <n v="417"/>
    <s v="No"/>
    <x v="0"/>
    <x v="0"/>
    <n v="0"/>
  </r>
  <r>
    <n v="11607"/>
    <x v="0"/>
    <n v="10"/>
    <n v="268"/>
    <s v="No"/>
    <x v="0"/>
    <x v="3"/>
    <n v="0"/>
  </r>
  <r>
    <n v="10636"/>
    <x v="1"/>
    <n v="6"/>
    <n v="198"/>
    <s v="No"/>
    <x v="0"/>
    <x v="0"/>
    <n v="0"/>
  </r>
  <r>
    <n v="17598"/>
    <x v="1"/>
    <n v="3"/>
    <n v="433"/>
    <s v="No"/>
    <x v="1"/>
    <x v="0"/>
    <n v="0"/>
  </r>
  <r>
    <n v="17916"/>
    <x v="1"/>
    <n v="5"/>
    <n v="404"/>
    <s v="No"/>
    <x v="1"/>
    <x v="3"/>
    <n v="0"/>
  </r>
  <r>
    <n v="12904"/>
    <x v="1"/>
    <n v="2"/>
    <n v="249"/>
    <s v="No"/>
    <x v="0"/>
    <x v="0"/>
    <n v="0"/>
  </r>
  <r>
    <n v="17067"/>
    <x v="0"/>
    <n v="14"/>
    <n v="80"/>
    <s v="No"/>
    <x v="0"/>
    <x v="0"/>
    <n v="0"/>
  </r>
  <r>
    <n v="13541"/>
    <x v="1"/>
    <n v="13"/>
    <n v="413"/>
    <s v="No"/>
    <x v="1"/>
    <x v="2"/>
    <n v="0"/>
  </r>
  <r>
    <n v="16335"/>
    <x v="1"/>
    <n v="1"/>
    <n v="383"/>
    <s v="No"/>
    <x v="0"/>
    <x v="3"/>
    <n v="0"/>
  </r>
  <r>
    <n v="15823"/>
    <x v="0"/>
    <n v="2"/>
    <n v="393"/>
    <s v="Yes"/>
    <x v="1"/>
    <x v="1"/>
    <n v="1"/>
  </r>
  <r>
    <n v="19551"/>
    <x v="0"/>
    <n v="9"/>
    <n v="393"/>
    <s v="Yes"/>
    <x v="1"/>
    <x v="3"/>
    <n v="1"/>
  </r>
  <r>
    <n v="16367"/>
    <x v="1"/>
    <n v="7"/>
    <n v="403"/>
    <s v="No"/>
    <x v="1"/>
    <x v="1"/>
    <n v="0"/>
  </r>
  <r>
    <n v="17865"/>
    <x v="0"/>
    <n v="1"/>
    <n v="436"/>
    <s v="No"/>
    <x v="0"/>
    <x v="3"/>
    <n v="0"/>
  </r>
  <r>
    <n v="13976"/>
    <x v="1"/>
    <n v="14"/>
    <n v="365"/>
    <s v="Yes"/>
    <x v="0"/>
    <x v="2"/>
    <n v="1"/>
  </r>
  <r>
    <n v="12785"/>
    <x v="1"/>
    <n v="11"/>
    <n v="231"/>
    <s v="No"/>
    <x v="1"/>
    <x v="1"/>
    <n v="0"/>
  </r>
  <r>
    <n v="11851"/>
    <x v="0"/>
    <n v="11"/>
    <n v="196"/>
    <s v="No"/>
    <x v="1"/>
    <x v="3"/>
    <n v="0"/>
  </r>
  <r>
    <n v="19859"/>
    <x v="1"/>
    <n v="6"/>
    <n v="157"/>
    <s v="No"/>
    <x v="0"/>
    <x v="2"/>
    <n v="0"/>
  </r>
  <r>
    <n v="13037"/>
    <x v="1"/>
    <n v="7"/>
    <n v="224"/>
    <s v="No"/>
    <x v="1"/>
    <x v="0"/>
    <n v="0"/>
  </r>
  <r>
    <n v="15825"/>
    <x v="0"/>
    <n v="14"/>
    <n v="268"/>
    <s v="No"/>
    <x v="0"/>
    <x v="2"/>
    <n v="0"/>
  </r>
  <r>
    <n v="19923"/>
    <x v="0"/>
    <n v="7"/>
    <n v="377"/>
    <s v="No"/>
    <x v="1"/>
    <x v="1"/>
    <n v="0"/>
  </r>
  <r>
    <n v="18420"/>
    <x v="1"/>
    <n v="4"/>
    <n v="312"/>
    <s v="No"/>
    <x v="1"/>
    <x v="0"/>
    <n v="0"/>
  </r>
  <r>
    <n v="15059"/>
    <x v="0"/>
    <n v="4"/>
    <n v="277"/>
    <s v="No"/>
    <x v="0"/>
    <x v="3"/>
    <n v="0"/>
  </r>
  <r>
    <n v="15738"/>
    <x v="1"/>
    <n v="1"/>
    <n v="228"/>
    <s v="No"/>
    <x v="0"/>
    <x v="1"/>
    <n v="0"/>
  </r>
  <r>
    <n v="18807"/>
    <x v="0"/>
    <n v="8"/>
    <n v="55"/>
    <s v="No"/>
    <x v="0"/>
    <x v="3"/>
    <n v="0"/>
  </r>
  <r>
    <n v="11830"/>
    <x v="1"/>
    <n v="4"/>
    <n v="286"/>
    <s v="No"/>
    <x v="1"/>
    <x v="0"/>
    <n v="0"/>
  </r>
  <r>
    <n v="12539"/>
    <x v="0"/>
    <n v="13"/>
    <n v="143"/>
    <s v="No"/>
    <x v="0"/>
    <x v="1"/>
    <n v="0"/>
  </r>
  <r>
    <n v="12013"/>
    <x v="1"/>
    <n v="13"/>
    <n v="182"/>
    <s v="No"/>
    <x v="1"/>
    <x v="0"/>
    <n v="0"/>
  </r>
  <r>
    <n v="18893"/>
    <x v="1"/>
    <n v="2"/>
    <n v="296"/>
    <s v="No"/>
    <x v="0"/>
    <x v="2"/>
    <n v="0"/>
  </r>
  <r>
    <n v="15895"/>
    <x v="0"/>
    <n v="4"/>
    <n v="200"/>
    <s v="No"/>
    <x v="0"/>
    <x v="3"/>
    <n v="0"/>
  </r>
  <r>
    <n v="15267"/>
    <x v="0"/>
    <n v="4"/>
    <n v="344"/>
    <s v="No"/>
    <x v="1"/>
    <x v="1"/>
    <n v="0"/>
  </r>
  <r>
    <n v="10513"/>
    <x v="0"/>
    <n v="2"/>
    <n v="444"/>
    <s v="No"/>
    <x v="0"/>
    <x v="0"/>
    <n v="0"/>
  </r>
  <r>
    <n v="14580"/>
    <x v="0"/>
    <n v="4"/>
    <n v="51"/>
    <s v="No"/>
    <x v="1"/>
    <x v="3"/>
    <n v="0"/>
  </r>
  <r>
    <n v="14033"/>
    <x v="1"/>
    <n v="12"/>
    <n v="54"/>
    <s v="No"/>
    <x v="1"/>
    <x v="0"/>
    <n v="0"/>
  </r>
  <r>
    <n v="11599"/>
    <x v="1"/>
    <n v="3"/>
    <n v="264"/>
    <s v="No"/>
    <x v="1"/>
    <x v="0"/>
    <n v="0"/>
  </r>
  <r>
    <n v="19854"/>
    <x v="0"/>
    <n v="8"/>
    <n v="237"/>
    <s v="No"/>
    <x v="0"/>
    <x v="0"/>
    <n v="0"/>
  </r>
  <r>
    <n v="18189"/>
    <x v="0"/>
    <n v="10"/>
    <n v="432"/>
    <s v="No"/>
    <x v="0"/>
    <x v="2"/>
    <n v="0"/>
  </r>
  <r>
    <n v="16951"/>
    <x v="1"/>
    <n v="6"/>
    <n v="168"/>
    <s v="No"/>
    <x v="0"/>
    <x v="1"/>
    <n v="0"/>
  </r>
  <r>
    <n v="10116"/>
    <x v="0"/>
    <n v="3"/>
    <n v="213"/>
    <s v="No"/>
    <x v="0"/>
    <x v="2"/>
    <n v="0"/>
  </r>
  <r>
    <n v="10331"/>
    <x v="0"/>
    <n v="1"/>
    <n v="404"/>
    <s v="No"/>
    <x v="0"/>
    <x v="0"/>
    <n v="0"/>
  </r>
  <r>
    <n v="16701"/>
    <x v="1"/>
    <n v="11"/>
    <n v="333"/>
    <s v="No"/>
    <x v="1"/>
    <x v="0"/>
    <n v="0"/>
  </r>
  <r>
    <n v="13708"/>
    <x v="0"/>
    <n v="7"/>
    <n v="239"/>
    <s v="No"/>
    <x v="0"/>
    <x v="0"/>
    <n v="0"/>
  </r>
  <r>
    <n v="16980"/>
    <x v="0"/>
    <n v="1"/>
    <n v="133"/>
    <s v="No"/>
    <x v="0"/>
    <x v="2"/>
    <n v="0"/>
  </r>
  <r>
    <n v="12536"/>
    <x v="1"/>
    <n v="12"/>
    <n v="213"/>
    <s v="No"/>
    <x v="0"/>
    <x v="3"/>
    <n v="0"/>
  </r>
  <r>
    <n v="12733"/>
    <x v="0"/>
    <n v="14"/>
    <n v="271"/>
    <s v="No"/>
    <x v="1"/>
    <x v="2"/>
    <n v="0"/>
  </r>
  <r>
    <n v="16275"/>
    <x v="0"/>
    <n v="3"/>
    <n v="57"/>
    <s v="No"/>
    <x v="1"/>
    <x v="1"/>
    <n v="0"/>
  </r>
  <r>
    <n v="17172"/>
    <x v="0"/>
    <n v="7"/>
    <n v="184"/>
    <s v="No"/>
    <x v="0"/>
    <x v="1"/>
    <n v="0"/>
  </r>
  <r>
    <n v="17220"/>
    <x v="1"/>
    <n v="6"/>
    <n v="361"/>
    <s v="No"/>
    <x v="0"/>
    <x v="2"/>
    <n v="0"/>
  </r>
  <r>
    <n v="18800"/>
    <x v="1"/>
    <n v="13"/>
    <n v="90"/>
    <s v="No"/>
    <x v="0"/>
    <x v="2"/>
    <n v="0"/>
  </r>
  <r>
    <n v="14660"/>
    <x v="1"/>
    <n v="3"/>
    <n v="178"/>
    <s v="No"/>
    <x v="0"/>
    <x v="2"/>
    <n v="0"/>
  </r>
  <r>
    <n v="16235"/>
    <x v="0"/>
    <n v="5"/>
    <n v="293"/>
    <s v="No"/>
    <x v="1"/>
    <x v="0"/>
    <n v="0"/>
  </r>
  <r>
    <n v="11953"/>
    <x v="0"/>
    <n v="9"/>
    <n v="138"/>
    <s v="No"/>
    <x v="0"/>
    <x v="2"/>
    <n v="0"/>
  </r>
  <r>
    <n v="11172"/>
    <x v="0"/>
    <n v="5"/>
    <n v="310"/>
    <s v="No"/>
    <x v="1"/>
    <x v="0"/>
    <n v="0"/>
  </r>
  <r>
    <n v="13808"/>
    <x v="1"/>
    <n v="11"/>
    <n v="179"/>
    <s v="No"/>
    <x v="0"/>
    <x v="2"/>
    <n v="0"/>
  </r>
  <r>
    <n v="14544"/>
    <x v="1"/>
    <n v="11"/>
    <n v="260"/>
    <s v="No"/>
    <x v="1"/>
    <x v="2"/>
    <n v="0"/>
  </r>
  <r>
    <n v="14518"/>
    <x v="1"/>
    <n v="10"/>
    <n v="65"/>
    <s v="No"/>
    <x v="1"/>
    <x v="1"/>
    <n v="0"/>
  </r>
  <r>
    <n v="10415"/>
    <x v="0"/>
    <n v="8"/>
    <n v="383"/>
    <s v="No"/>
    <x v="0"/>
    <x v="1"/>
    <n v="0"/>
  </r>
  <r>
    <n v="17590"/>
    <x v="1"/>
    <n v="12"/>
    <n v="71"/>
    <s v="No"/>
    <x v="0"/>
    <x v="2"/>
    <n v="0"/>
  </r>
  <r>
    <n v="10294"/>
    <x v="0"/>
    <n v="5"/>
    <n v="66"/>
    <s v="No"/>
    <x v="0"/>
    <x v="3"/>
    <n v="0"/>
  </r>
  <r>
    <n v="19642"/>
    <x v="0"/>
    <n v="10"/>
    <n v="56"/>
    <s v="No"/>
    <x v="1"/>
    <x v="0"/>
    <n v="0"/>
  </r>
  <r>
    <n v="17594"/>
    <x v="0"/>
    <n v="8"/>
    <n v="279"/>
    <s v="No"/>
    <x v="0"/>
    <x v="1"/>
    <n v="0"/>
  </r>
  <r>
    <n v="14294"/>
    <x v="1"/>
    <n v="2"/>
    <n v="438"/>
    <s v="No"/>
    <x v="0"/>
    <x v="3"/>
    <n v="0"/>
  </r>
  <r>
    <n v="11949"/>
    <x v="0"/>
    <n v="5"/>
    <n v="137"/>
    <s v="No"/>
    <x v="0"/>
    <x v="1"/>
    <n v="0"/>
  </r>
  <r>
    <n v="13569"/>
    <x v="0"/>
    <n v="13"/>
    <n v="422"/>
    <s v="Yes"/>
    <x v="1"/>
    <x v="2"/>
    <n v="1"/>
  </r>
  <r>
    <n v="15112"/>
    <x v="1"/>
    <n v="13"/>
    <n v="405"/>
    <s v="No"/>
    <x v="0"/>
    <x v="1"/>
    <n v="0"/>
  </r>
  <r>
    <n v="10672"/>
    <x v="0"/>
    <n v="11"/>
    <n v="41"/>
    <s v="No"/>
    <x v="0"/>
    <x v="1"/>
    <n v="0"/>
  </r>
  <r>
    <n v="17775"/>
    <x v="0"/>
    <n v="12"/>
    <n v="151"/>
    <s v="No"/>
    <x v="1"/>
    <x v="2"/>
    <n v="0"/>
  </r>
  <r>
    <n v="18150"/>
    <x v="0"/>
    <n v="7"/>
    <n v="259"/>
    <s v="No"/>
    <x v="0"/>
    <x v="2"/>
    <n v="0"/>
  </r>
  <r>
    <n v="12465"/>
    <x v="0"/>
    <n v="8"/>
    <n v="395"/>
    <s v="No"/>
    <x v="1"/>
    <x v="2"/>
    <n v="0"/>
  </r>
  <r>
    <n v="11572"/>
    <x v="0"/>
    <n v="1"/>
    <n v="101"/>
    <s v="No"/>
    <x v="1"/>
    <x v="0"/>
    <n v="0"/>
  </r>
  <r>
    <n v="10099"/>
    <x v="0"/>
    <n v="12"/>
    <n v="313"/>
    <s v="No"/>
    <x v="1"/>
    <x v="3"/>
    <n v="0"/>
  </r>
  <r>
    <n v="11037"/>
    <x v="1"/>
    <n v="14"/>
    <n v="290"/>
    <s v="No"/>
    <x v="1"/>
    <x v="0"/>
    <n v="0"/>
  </r>
  <r>
    <n v="12605"/>
    <x v="1"/>
    <n v="8"/>
    <n v="421"/>
    <s v="No"/>
    <x v="0"/>
    <x v="0"/>
    <n v="0"/>
  </r>
  <r>
    <n v="15432"/>
    <x v="0"/>
    <n v="5"/>
    <n v="130"/>
    <s v="No"/>
    <x v="0"/>
    <x v="2"/>
    <n v="0"/>
  </r>
  <r>
    <n v="16494"/>
    <x v="0"/>
    <n v="8"/>
    <n v="348"/>
    <s v="Yes"/>
    <x v="0"/>
    <x v="3"/>
    <n v="1"/>
  </r>
  <r>
    <n v="11487"/>
    <x v="0"/>
    <n v="14"/>
    <n v="435"/>
    <s v="No"/>
    <x v="1"/>
    <x v="2"/>
    <n v="0"/>
  </r>
  <r>
    <n v="19070"/>
    <x v="1"/>
    <n v="1"/>
    <n v="52"/>
    <s v="Yes"/>
    <x v="0"/>
    <x v="0"/>
    <n v="1"/>
  </r>
  <r>
    <n v="19594"/>
    <x v="1"/>
    <n v="3"/>
    <n v="213"/>
    <s v="No"/>
    <x v="0"/>
    <x v="2"/>
    <n v="0"/>
  </r>
  <r>
    <n v="16344"/>
    <x v="1"/>
    <n v="7"/>
    <n v="162"/>
    <s v="No"/>
    <x v="1"/>
    <x v="0"/>
    <n v="0"/>
  </r>
  <r>
    <n v="14862"/>
    <x v="1"/>
    <n v="10"/>
    <n v="112"/>
    <s v="No"/>
    <x v="1"/>
    <x v="2"/>
    <n v="0"/>
  </r>
  <r>
    <n v="15811"/>
    <x v="0"/>
    <n v="4"/>
    <n v="172"/>
    <s v="No"/>
    <x v="1"/>
    <x v="1"/>
    <n v="0"/>
  </r>
  <r>
    <n v="13746"/>
    <x v="1"/>
    <n v="9"/>
    <n v="326"/>
    <s v="No"/>
    <x v="0"/>
    <x v="1"/>
    <n v="0"/>
  </r>
  <r>
    <n v="15025"/>
    <x v="1"/>
    <n v="10"/>
    <n v="211"/>
    <s v="No"/>
    <x v="1"/>
    <x v="1"/>
    <n v="0"/>
  </r>
  <r>
    <n v="12440"/>
    <x v="1"/>
    <n v="5"/>
    <n v="369"/>
    <s v="No"/>
    <x v="1"/>
    <x v="2"/>
    <n v="0"/>
  </r>
  <r>
    <n v="11848"/>
    <x v="1"/>
    <n v="8"/>
    <n v="322"/>
    <s v="No"/>
    <x v="1"/>
    <x v="3"/>
    <n v="0"/>
  </r>
  <r>
    <n v="16668"/>
    <x v="1"/>
    <n v="7"/>
    <n v="120"/>
    <s v="No"/>
    <x v="0"/>
    <x v="1"/>
    <n v="0"/>
  </r>
  <r>
    <n v="15099"/>
    <x v="0"/>
    <n v="6"/>
    <n v="333"/>
    <s v="No"/>
    <x v="1"/>
    <x v="0"/>
    <n v="0"/>
  </r>
  <r>
    <n v="12019"/>
    <x v="0"/>
    <n v="1"/>
    <n v="91"/>
    <s v="No"/>
    <x v="1"/>
    <x v="3"/>
    <n v="0"/>
  </r>
  <r>
    <n v="10342"/>
    <x v="1"/>
    <n v="7"/>
    <n v="252"/>
    <s v="No"/>
    <x v="0"/>
    <x v="1"/>
    <n v="0"/>
  </r>
  <r>
    <n v="11380"/>
    <x v="0"/>
    <n v="1"/>
    <n v="224"/>
    <s v="No"/>
    <x v="1"/>
    <x v="3"/>
    <n v="0"/>
  </r>
  <r>
    <n v="19781"/>
    <x v="1"/>
    <n v="7"/>
    <n v="271"/>
    <s v="No"/>
    <x v="1"/>
    <x v="0"/>
    <n v="0"/>
  </r>
  <r>
    <n v="16507"/>
    <x v="0"/>
    <n v="12"/>
    <n v="259"/>
    <s v="No"/>
    <x v="0"/>
    <x v="2"/>
    <n v="0"/>
  </r>
  <r>
    <n v="14956"/>
    <x v="1"/>
    <n v="12"/>
    <n v="267"/>
    <s v="No"/>
    <x v="0"/>
    <x v="0"/>
    <n v="0"/>
  </r>
  <r>
    <n v="19870"/>
    <x v="1"/>
    <n v="10"/>
    <n v="101"/>
    <s v="No"/>
    <x v="0"/>
    <x v="2"/>
    <n v="0"/>
  </r>
  <r>
    <n v="10596"/>
    <x v="0"/>
    <n v="9"/>
    <n v="292"/>
    <s v="Yes"/>
    <x v="1"/>
    <x v="0"/>
    <n v="1"/>
  </r>
  <r>
    <n v="12530"/>
    <x v="1"/>
    <n v="9"/>
    <n v="279"/>
    <s v="No"/>
    <x v="0"/>
    <x v="1"/>
    <n v="0"/>
  </r>
  <r>
    <n v="11999"/>
    <x v="1"/>
    <n v="6"/>
    <n v="152"/>
    <s v="No"/>
    <x v="1"/>
    <x v="0"/>
    <n v="0"/>
  </r>
  <r>
    <n v="11372"/>
    <x v="0"/>
    <n v="4"/>
    <n v="238"/>
    <s v="No"/>
    <x v="1"/>
    <x v="3"/>
    <n v="0"/>
  </r>
  <r>
    <n v="19822"/>
    <x v="0"/>
    <n v="9"/>
    <n v="323"/>
    <s v="No"/>
    <x v="1"/>
    <x v="3"/>
    <n v="0"/>
  </r>
  <r>
    <n v="17694"/>
    <x v="1"/>
    <n v="1"/>
    <n v="161"/>
    <s v="No"/>
    <x v="0"/>
    <x v="0"/>
    <n v="0"/>
  </r>
  <r>
    <n v="18639"/>
    <x v="1"/>
    <n v="11"/>
    <n v="287"/>
    <s v="No"/>
    <x v="1"/>
    <x v="3"/>
    <n v="0"/>
  </r>
  <r>
    <n v="12667"/>
    <x v="0"/>
    <n v="8"/>
    <n v="214"/>
    <s v="No"/>
    <x v="0"/>
    <x v="1"/>
    <n v="0"/>
  </r>
  <r>
    <n v="10355"/>
    <x v="1"/>
    <n v="10"/>
    <n v="355"/>
    <s v="No"/>
    <x v="0"/>
    <x v="3"/>
    <n v="0"/>
  </r>
  <r>
    <n v="14167"/>
    <x v="0"/>
    <n v="9"/>
    <n v="245"/>
    <s v="No"/>
    <x v="0"/>
    <x v="1"/>
    <n v="0"/>
  </r>
  <r>
    <n v="11465"/>
    <x v="0"/>
    <n v="3"/>
    <n v="383"/>
    <s v="No"/>
    <x v="0"/>
    <x v="3"/>
    <n v="0"/>
  </r>
  <r>
    <n v="12374"/>
    <x v="1"/>
    <n v="3"/>
    <n v="314"/>
    <s v="No"/>
    <x v="1"/>
    <x v="2"/>
    <n v="0"/>
  </r>
  <r>
    <n v="15489"/>
    <x v="1"/>
    <n v="6"/>
    <n v="237"/>
    <s v="No"/>
    <x v="1"/>
    <x v="2"/>
    <n v="0"/>
  </r>
  <r>
    <n v="16790"/>
    <x v="0"/>
    <n v="5"/>
    <n v="93"/>
    <s v="No"/>
    <x v="0"/>
    <x v="2"/>
    <n v="0"/>
  </r>
  <r>
    <n v="18463"/>
    <x v="0"/>
    <n v="5"/>
    <n v="111"/>
    <s v="No"/>
    <x v="0"/>
    <x v="0"/>
    <n v="0"/>
  </r>
  <r>
    <n v="11313"/>
    <x v="1"/>
    <n v="6"/>
    <n v="231"/>
    <s v="No"/>
    <x v="1"/>
    <x v="0"/>
    <n v="0"/>
  </r>
  <r>
    <n v="11430"/>
    <x v="0"/>
    <n v="4"/>
    <n v="287"/>
    <s v="No"/>
    <x v="0"/>
    <x v="1"/>
    <n v="0"/>
  </r>
  <r>
    <n v="19668"/>
    <x v="0"/>
    <n v="7"/>
    <n v="295"/>
    <s v="Yes"/>
    <x v="1"/>
    <x v="1"/>
    <n v="1"/>
  </r>
  <r>
    <n v="19603"/>
    <x v="0"/>
    <n v="3"/>
    <n v="175"/>
    <s v="No"/>
    <x v="1"/>
    <x v="2"/>
    <n v="0"/>
  </r>
  <r>
    <n v="10334"/>
    <x v="1"/>
    <n v="7"/>
    <n v="193"/>
    <s v="No"/>
    <x v="1"/>
    <x v="3"/>
    <n v="0"/>
  </r>
  <r>
    <n v="15729"/>
    <x v="1"/>
    <n v="11"/>
    <n v="417"/>
    <s v="No"/>
    <x v="0"/>
    <x v="3"/>
    <n v="0"/>
  </r>
  <r>
    <n v="13579"/>
    <x v="0"/>
    <n v="12"/>
    <n v="420"/>
    <s v="No"/>
    <x v="0"/>
    <x v="0"/>
    <n v="0"/>
  </r>
  <r>
    <n v="10492"/>
    <x v="1"/>
    <n v="2"/>
    <n v="397"/>
    <s v="No"/>
    <x v="1"/>
    <x v="2"/>
    <n v="0"/>
  </r>
  <r>
    <n v="13195"/>
    <x v="1"/>
    <n v="12"/>
    <n v="385"/>
    <s v="No"/>
    <x v="1"/>
    <x v="1"/>
    <n v="0"/>
  </r>
  <r>
    <n v="15861"/>
    <x v="0"/>
    <n v="3"/>
    <n v="413"/>
    <s v="No"/>
    <x v="1"/>
    <x v="0"/>
    <n v="0"/>
  </r>
  <r>
    <n v="13688"/>
    <x v="0"/>
    <n v="8"/>
    <n v="428"/>
    <s v="No"/>
    <x v="1"/>
    <x v="1"/>
    <n v="0"/>
  </r>
  <r>
    <n v="11064"/>
    <x v="0"/>
    <n v="1"/>
    <n v="218"/>
    <s v="No"/>
    <x v="1"/>
    <x v="3"/>
    <n v="0"/>
  </r>
  <r>
    <n v="15826"/>
    <x v="1"/>
    <n v="1"/>
    <n v="262"/>
    <s v="No"/>
    <x v="1"/>
    <x v="2"/>
    <n v="0"/>
  </r>
  <r>
    <n v="10656"/>
    <x v="0"/>
    <n v="3"/>
    <n v="63"/>
    <s v="No"/>
    <x v="0"/>
    <x v="3"/>
    <n v="0"/>
  </r>
  <r>
    <n v="14359"/>
    <x v="0"/>
    <n v="2"/>
    <n v="367"/>
    <s v="No"/>
    <x v="0"/>
    <x v="0"/>
    <n v="0"/>
  </r>
  <r>
    <n v="16800"/>
    <x v="1"/>
    <n v="2"/>
    <n v="94"/>
    <s v="Yes"/>
    <x v="1"/>
    <x v="3"/>
    <n v="1"/>
  </r>
  <r>
    <n v="10152"/>
    <x v="1"/>
    <n v="5"/>
    <n v="201"/>
    <s v="No"/>
    <x v="0"/>
    <x v="2"/>
    <n v="0"/>
  </r>
  <r>
    <n v="11910"/>
    <x v="0"/>
    <n v="8"/>
    <n v="42"/>
    <s v="No"/>
    <x v="0"/>
    <x v="1"/>
    <n v="0"/>
  </r>
  <r>
    <n v="19206"/>
    <x v="1"/>
    <n v="4"/>
    <n v="105"/>
    <s v="No"/>
    <x v="1"/>
    <x v="1"/>
    <n v="0"/>
  </r>
  <r>
    <n v="18965"/>
    <x v="0"/>
    <n v="10"/>
    <n v="136"/>
    <s v="No"/>
    <x v="0"/>
    <x v="1"/>
    <n v="0"/>
  </r>
  <r>
    <n v="14225"/>
    <x v="0"/>
    <n v="10"/>
    <n v="388"/>
    <s v="No"/>
    <x v="1"/>
    <x v="3"/>
    <n v="0"/>
  </r>
  <r>
    <n v="11538"/>
    <x v="1"/>
    <n v="13"/>
    <n v="304"/>
    <s v="No"/>
    <x v="0"/>
    <x v="2"/>
    <n v="0"/>
  </r>
  <r>
    <n v="13217"/>
    <x v="0"/>
    <n v="8"/>
    <n v="281"/>
    <s v="Yes"/>
    <x v="0"/>
    <x v="0"/>
    <n v="1"/>
  </r>
  <r>
    <n v="13878"/>
    <x v="0"/>
    <n v="10"/>
    <n v="88"/>
    <s v="No"/>
    <x v="1"/>
    <x v="3"/>
    <n v="0"/>
  </r>
  <r>
    <n v="18753"/>
    <x v="1"/>
    <n v="7"/>
    <n v="363"/>
    <s v="Yes"/>
    <x v="0"/>
    <x v="3"/>
    <n v="1"/>
  </r>
  <r>
    <n v="10475"/>
    <x v="0"/>
    <n v="3"/>
    <n v="157"/>
    <s v="No"/>
    <x v="0"/>
    <x v="0"/>
    <n v="0"/>
  </r>
  <r>
    <n v="13324"/>
    <x v="0"/>
    <n v="9"/>
    <n v="282"/>
    <s v="No"/>
    <x v="0"/>
    <x v="0"/>
    <n v="0"/>
  </r>
  <r>
    <n v="15625"/>
    <x v="0"/>
    <n v="1"/>
    <n v="358"/>
    <s v="No"/>
    <x v="0"/>
    <x v="2"/>
    <n v="0"/>
  </r>
  <r>
    <n v="12614"/>
    <x v="0"/>
    <n v="9"/>
    <n v="44"/>
    <s v="No"/>
    <x v="0"/>
    <x v="0"/>
    <n v="0"/>
  </r>
  <r>
    <n v="13054"/>
    <x v="0"/>
    <n v="9"/>
    <n v="170"/>
    <s v="Yes"/>
    <x v="1"/>
    <x v="1"/>
    <n v="1"/>
  </r>
  <r>
    <n v="10328"/>
    <x v="1"/>
    <n v="5"/>
    <n v="215"/>
    <s v="No"/>
    <x v="0"/>
    <x v="2"/>
    <n v="0"/>
  </r>
  <r>
    <n v="15189"/>
    <x v="0"/>
    <n v="10"/>
    <n v="317"/>
    <s v="No"/>
    <x v="1"/>
    <x v="3"/>
    <n v="0"/>
  </r>
  <r>
    <n v="13474"/>
    <x v="1"/>
    <n v="11"/>
    <n v="198"/>
    <s v="No"/>
    <x v="1"/>
    <x v="1"/>
    <n v="0"/>
  </r>
  <r>
    <n v="10387"/>
    <x v="0"/>
    <n v="10"/>
    <n v="280"/>
    <s v="No"/>
    <x v="0"/>
    <x v="0"/>
    <n v="0"/>
  </r>
  <r>
    <n v="13757"/>
    <x v="1"/>
    <n v="9"/>
    <n v="392"/>
    <s v="No"/>
    <x v="1"/>
    <x v="0"/>
    <n v="0"/>
  </r>
  <r>
    <n v="14573"/>
    <x v="0"/>
    <n v="13"/>
    <n v="117"/>
    <s v="No"/>
    <x v="1"/>
    <x v="2"/>
    <n v="0"/>
  </r>
  <r>
    <n v="12438"/>
    <x v="0"/>
    <n v="9"/>
    <n v="235"/>
    <s v="Yes"/>
    <x v="0"/>
    <x v="1"/>
    <n v="1"/>
  </r>
  <r>
    <n v="17084"/>
    <x v="0"/>
    <n v="10"/>
    <n v="364"/>
    <s v="No"/>
    <x v="1"/>
    <x v="0"/>
    <n v="0"/>
  </r>
  <r>
    <n v="10007"/>
    <x v="1"/>
    <n v="14"/>
    <n v="264"/>
    <s v="No"/>
    <x v="1"/>
    <x v="1"/>
    <n v="0"/>
  </r>
  <r>
    <n v="17592"/>
    <x v="1"/>
    <n v="9"/>
    <n v="311"/>
    <s v="No"/>
    <x v="1"/>
    <x v="1"/>
    <n v="0"/>
  </r>
  <r>
    <n v="12912"/>
    <x v="0"/>
    <n v="14"/>
    <n v="142"/>
    <s v="No"/>
    <x v="0"/>
    <x v="2"/>
    <n v="0"/>
  </r>
  <r>
    <n v="13343"/>
    <x v="0"/>
    <n v="10"/>
    <n v="398"/>
    <s v="No"/>
    <x v="0"/>
    <x v="2"/>
    <n v="0"/>
  </r>
  <r>
    <n v="19355"/>
    <x v="1"/>
    <n v="2"/>
    <n v="384"/>
    <s v="No"/>
    <x v="1"/>
    <x v="2"/>
    <n v="0"/>
  </r>
  <r>
    <n v="11990"/>
    <x v="0"/>
    <n v="12"/>
    <n v="410"/>
    <s v="Yes"/>
    <x v="0"/>
    <x v="3"/>
    <n v="1"/>
  </r>
  <r>
    <n v="10403"/>
    <x v="1"/>
    <n v="10"/>
    <n v="220"/>
    <s v="No"/>
    <x v="1"/>
    <x v="3"/>
    <n v="0"/>
  </r>
  <r>
    <n v="13170"/>
    <x v="1"/>
    <n v="8"/>
    <n v="96"/>
    <s v="No"/>
    <x v="1"/>
    <x v="3"/>
    <n v="0"/>
  </r>
  <r>
    <n v="10385"/>
    <x v="0"/>
    <n v="2"/>
    <n v="327"/>
    <s v="No"/>
    <x v="0"/>
    <x v="3"/>
    <n v="0"/>
  </r>
  <r>
    <n v="14182"/>
    <x v="0"/>
    <n v="12"/>
    <n v="383"/>
    <s v="No"/>
    <x v="1"/>
    <x v="0"/>
    <n v="0"/>
  </r>
  <r>
    <n v="11756"/>
    <x v="0"/>
    <n v="2"/>
    <n v="235"/>
    <s v="No"/>
    <x v="0"/>
    <x v="3"/>
    <n v="0"/>
  </r>
  <r>
    <n v="16261"/>
    <x v="0"/>
    <n v="3"/>
    <n v="137"/>
    <s v="No"/>
    <x v="1"/>
    <x v="2"/>
    <n v="0"/>
  </r>
  <r>
    <n v="16819"/>
    <x v="0"/>
    <n v="4"/>
    <n v="375"/>
    <s v="No"/>
    <x v="1"/>
    <x v="0"/>
    <n v="0"/>
  </r>
  <r>
    <n v="10882"/>
    <x v="1"/>
    <n v="8"/>
    <n v="79"/>
    <s v="No"/>
    <x v="1"/>
    <x v="2"/>
    <n v="0"/>
  </r>
  <r>
    <n v="13115"/>
    <x v="0"/>
    <n v="6"/>
    <n v="165"/>
    <s v="No"/>
    <x v="1"/>
    <x v="2"/>
    <n v="0"/>
  </r>
  <r>
    <n v="18058"/>
    <x v="0"/>
    <n v="2"/>
    <n v="336"/>
    <s v="No"/>
    <x v="0"/>
    <x v="1"/>
    <n v="0"/>
  </r>
  <r>
    <n v="17309"/>
    <x v="0"/>
    <n v="4"/>
    <n v="98"/>
    <s v="No"/>
    <x v="1"/>
    <x v="2"/>
    <n v="0"/>
  </r>
  <r>
    <n v="13071"/>
    <x v="0"/>
    <n v="6"/>
    <n v="122"/>
    <s v="No"/>
    <x v="1"/>
    <x v="3"/>
    <n v="0"/>
  </r>
  <r>
    <n v="14755"/>
    <x v="1"/>
    <n v="1"/>
    <n v="321"/>
    <s v="No"/>
    <x v="0"/>
    <x v="0"/>
    <n v="0"/>
  </r>
  <r>
    <n v="10666"/>
    <x v="0"/>
    <n v="3"/>
    <n v="324"/>
    <s v="No"/>
    <x v="1"/>
    <x v="3"/>
    <n v="0"/>
  </r>
  <r>
    <n v="14317"/>
    <x v="0"/>
    <n v="5"/>
    <n v="406"/>
    <s v="No"/>
    <x v="1"/>
    <x v="3"/>
    <n v="0"/>
  </r>
  <r>
    <n v="14034"/>
    <x v="0"/>
    <n v="7"/>
    <n v="224"/>
    <s v="No"/>
    <x v="1"/>
    <x v="2"/>
    <n v="0"/>
  </r>
  <r>
    <n v="10725"/>
    <x v="0"/>
    <n v="9"/>
    <n v="131"/>
    <s v="No"/>
    <x v="1"/>
    <x v="2"/>
    <n v="0"/>
  </r>
  <r>
    <n v="19850"/>
    <x v="0"/>
    <n v="5"/>
    <n v="112"/>
    <s v="No"/>
    <x v="1"/>
    <x v="0"/>
    <n v="0"/>
  </r>
  <r>
    <n v="18833"/>
    <x v="1"/>
    <n v="13"/>
    <n v="338"/>
    <s v="No"/>
    <x v="0"/>
    <x v="3"/>
    <n v="0"/>
  </r>
  <r>
    <n v="13709"/>
    <x v="1"/>
    <n v="14"/>
    <n v="274"/>
    <s v="No"/>
    <x v="0"/>
    <x v="1"/>
    <n v="0"/>
  </r>
  <r>
    <n v="10143"/>
    <x v="0"/>
    <n v="1"/>
    <n v="396"/>
    <s v="Yes"/>
    <x v="0"/>
    <x v="0"/>
    <n v="1"/>
  </r>
  <r>
    <n v="17180"/>
    <x v="0"/>
    <n v="13"/>
    <n v="441"/>
    <s v="No"/>
    <x v="1"/>
    <x v="0"/>
    <n v="0"/>
  </r>
  <r>
    <n v="19907"/>
    <x v="1"/>
    <n v="1"/>
    <n v="433"/>
    <s v="No"/>
    <x v="1"/>
    <x v="3"/>
    <n v="0"/>
  </r>
  <r>
    <n v="18214"/>
    <x v="0"/>
    <n v="2"/>
    <n v="400"/>
    <s v="No"/>
    <x v="0"/>
    <x v="2"/>
    <n v="0"/>
  </r>
  <r>
    <n v="16817"/>
    <x v="0"/>
    <n v="3"/>
    <n v="394"/>
    <s v="No"/>
    <x v="1"/>
    <x v="2"/>
    <n v="0"/>
  </r>
  <r>
    <n v="15296"/>
    <x v="0"/>
    <n v="7"/>
    <n v="124"/>
    <s v="No"/>
    <x v="0"/>
    <x v="3"/>
    <n v="0"/>
  </r>
  <r>
    <n v="10608"/>
    <x v="0"/>
    <n v="12"/>
    <n v="386"/>
    <s v="No"/>
    <x v="1"/>
    <x v="3"/>
    <n v="0"/>
  </r>
  <r>
    <n v="18570"/>
    <x v="0"/>
    <n v="4"/>
    <n v="437"/>
    <s v="No"/>
    <x v="1"/>
    <x v="2"/>
    <n v="0"/>
  </r>
  <r>
    <n v="19467"/>
    <x v="0"/>
    <n v="7"/>
    <n v="362"/>
    <s v="No"/>
    <x v="0"/>
    <x v="3"/>
    <n v="0"/>
  </r>
  <r>
    <n v="11281"/>
    <x v="0"/>
    <n v="10"/>
    <n v="319"/>
    <s v="No"/>
    <x v="1"/>
    <x v="3"/>
    <n v="0"/>
  </r>
  <r>
    <n v="12682"/>
    <x v="1"/>
    <n v="9"/>
    <n v="286"/>
    <s v="No"/>
    <x v="0"/>
    <x v="2"/>
    <n v="0"/>
  </r>
  <r>
    <n v="10834"/>
    <x v="0"/>
    <n v="13"/>
    <n v="109"/>
    <s v="No"/>
    <x v="1"/>
    <x v="3"/>
    <n v="0"/>
  </r>
  <r>
    <n v="14625"/>
    <x v="1"/>
    <n v="8"/>
    <n v="369"/>
    <s v="No"/>
    <x v="1"/>
    <x v="3"/>
    <n v="0"/>
  </r>
  <r>
    <n v="12422"/>
    <x v="0"/>
    <n v="3"/>
    <n v="347"/>
    <s v="No"/>
    <x v="1"/>
    <x v="1"/>
    <n v="0"/>
  </r>
  <r>
    <n v="16850"/>
    <x v="0"/>
    <n v="12"/>
    <n v="287"/>
    <s v="No"/>
    <x v="1"/>
    <x v="0"/>
    <n v="0"/>
  </r>
  <r>
    <n v="17827"/>
    <x v="0"/>
    <n v="7"/>
    <n v="234"/>
    <s v="No"/>
    <x v="0"/>
    <x v="3"/>
    <n v="0"/>
  </r>
  <r>
    <n v="17162"/>
    <x v="0"/>
    <n v="5"/>
    <n v="254"/>
    <s v="No"/>
    <x v="1"/>
    <x v="0"/>
    <n v="0"/>
  </r>
  <r>
    <n v="12656"/>
    <x v="1"/>
    <n v="5"/>
    <n v="336"/>
    <s v="No"/>
    <x v="1"/>
    <x v="3"/>
    <n v="0"/>
  </r>
  <r>
    <n v="13932"/>
    <x v="1"/>
    <n v="3"/>
    <n v="213"/>
    <s v="No"/>
    <x v="0"/>
    <x v="1"/>
    <n v="0"/>
  </r>
  <r>
    <n v="10798"/>
    <x v="0"/>
    <n v="3"/>
    <n v="240"/>
    <s v="No"/>
    <x v="1"/>
    <x v="1"/>
    <n v="0"/>
  </r>
  <r>
    <n v="11158"/>
    <x v="0"/>
    <n v="9"/>
    <n v="393"/>
    <s v="No"/>
    <x v="0"/>
    <x v="3"/>
    <n v="0"/>
  </r>
  <r>
    <n v="16566"/>
    <x v="0"/>
    <n v="3"/>
    <n v="190"/>
    <s v="Yes"/>
    <x v="0"/>
    <x v="0"/>
    <n v="1"/>
  </r>
  <r>
    <n v="12449"/>
    <x v="1"/>
    <n v="10"/>
    <n v="306"/>
    <s v="No"/>
    <x v="1"/>
    <x v="0"/>
    <n v="0"/>
  </r>
  <r>
    <n v="16059"/>
    <x v="0"/>
    <n v="5"/>
    <n v="364"/>
    <s v="Yes"/>
    <x v="1"/>
    <x v="3"/>
    <n v="1"/>
  </r>
  <r>
    <n v="11016"/>
    <x v="0"/>
    <n v="11"/>
    <n v="219"/>
    <s v="No"/>
    <x v="0"/>
    <x v="2"/>
    <n v="0"/>
  </r>
  <r>
    <n v="10352"/>
    <x v="0"/>
    <n v="14"/>
    <n v="299"/>
    <s v="Yes"/>
    <x v="1"/>
    <x v="2"/>
    <n v="1"/>
  </r>
  <r>
    <n v="14494"/>
    <x v="1"/>
    <n v="4"/>
    <n v="87"/>
    <s v="No"/>
    <x v="1"/>
    <x v="0"/>
    <n v="0"/>
  </r>
  <r>
    <n v="19643"/>
    <x v="1"/>
    <n v="4"/>
    <n v="122"/>
    <s v="No"/>
    <x v="0"/>
    <x v="1"/>
    <n v="0"/>
  </r>
  <r>
    <n v="14058"/>
    <x v="0"/>
    <n v="1"/>
    <n v="41"/>
    <s v="No"/>
    <x v="1"/>
    <x v="3"/>
    <n v="0"/>
  </r>
  <r>
    <n v="13756"/>
    <x v="0"/>
    <n v="3"/>
    <n v="52"/>
    <s v="No"/>
    <x v="0"/>
    <x v="3"/>
    <n v="0"/>
  </r>
  <r>
    <n v="12239"/>
    <x v="1"/>
    <n v="4"/>
    <n v="344"/>
    <s v="No"/>
    <x v="1"/>
    <x v="0"/>
    <n v="0"/>
  </r>
  <r>
    <n v="14853"/>
    <x v="1"/>
    <n v="2"/>
    <n v="90"/>
    <s v="No"/>
    <x v="1"/>
    <x v="3"/>
    <n v="0"/>
  </r>
  <r>
    <n v="12184"/>
    <x v="1"/>
    <n v="9"/>
    <n v="129"/>
    <s v="No"/>
    <x v="1"/>
    <x v="3"/>
    <n v="0"/>
  </r>
  <r>
    <n v="13785"/>
    <x v="0"/>
    <n v="3"/>
    <n v="163"/>
    <s v="No"/>
    <x v="1"/>
    <x v="3"/>
    <n v="0"/>
  </r>
  <r>
    <n v="15404"/>
    <x v="0"/>
    <n v="1"/>
    <n v="289"/>
    <s v="Yes"/>
    <x v="0"/>
    <x v="0"/>
    <n v="1"/>
  </r>
  <r>
    <n v="13602"/>
    <x v="0"/>
    <n v="8"/>
    <n v="337"/>
    <s v="No"/>
    <x v="1"/>
    <x v="3"/>
    <n v="0"/>
  </r>
  <r>
    <n v="12865"/>
    <x v="1"/>
    <n v="7"/>
    <n v="373"/>
    <s v="No"/>
    <x v="1"/>
    <x v="2"/>
    <n v="0"/>
  </r>
  <r>
    <n v="13664"/>
    <x v="0"/>
    <n v="9"/>
    <n v="266"/>
    <s v="No"/>
    <x v="0"/>
    <x v="3"/>
    <n v="0"/>
  </r>
  <r>
    <n v="12142"/>
    <x v="0"/>
    <n v="12"/>
    <n v="185"/>
    <s v="No"/>
    <x v="0"/>
    <x v="3"/>
    <n v="0"/>
  </r>
  <r>
    <n v="13282"/>
    <x v="1"/>
    <n v="3"/>
    <n v="320"/>
    <s v="No"/>
    <x v="1"/>
    <x v="2"/>
    <n v="0"/>
  </r>
  <r>
    <n v="16245"/>
    <x v="0"/>
    <n v="10"/>
    <n v="272"/>
    <s v="No"/>
    <x v="0"/>
    <x v="0"/>
    <n v="0"/>
  </r>
  <r>
    <n v="14950"/>
    <x v="0"/>
    <n v="5"/>
    <n v="325"/>
    <s v="Yes"/>
    <x v="1"/>
    <x v="1"/>
    <n v="1"/>
  </r>
  <r>
    <n v="13128"/>
    <x v="0"/>
    <n v="13"/>
    <n v="238"/>
    <s v="No"/>
    <x v="0"/>
    <x v="1"/>
    <n v="0"/>
  </r>
  <r>
    <n v="14594"/>
    <x v="0"/>
    <n v="9"/>
    <n v="212"/>
    <s v="No"/>
    <x v="1"/>
    <x v="1"/>
    <n v="0"/>
  </r>
  <r>
    <n v="16646"/>
    <x v="1"/>
    <n v="6"/>
    <n v="51"/>
    <s v="No"/>
    <x v="0"/>
    <x v="2"/>
    <n v="0"/>
  </r>
  <r>
    <n v="19840"/>
    <x v="0"/>
    <n v="14"/>
    <n v="252"/>
    <s v="No"/>
    <x v="1"/>
    <x v="0"/>
    <n v="0"/>
  </r>
  <r>
    <n v="15562"/>
    <x v="1"/>
    <n v="11"/>
    <n v="321"/>
    <s v="No"/>
    <x v="0"/>
    <x v="2"/>
    <n v="0"/>
  </r>
  <r>
    <n v="16102"/>
    <x v="0"/>
    <n v="4"/>
    <n v="403"/>
    <s v="No"/>
    <x v="0"/>
    <x v="2"/>
    <n v="0"/>
  </r>
  <r>
    <n v="11626"/>
    <x v="1"/>
    <n v="2"/>
    <n v="430"/>
    <s v="No"/>
    <x v="1"/>
    <x v="3"/>
    <n v="0"/>
  </r>
  <r>
    <n v="11180"/>
    <x v="1"/>
    <n v="11"/>
    <n v="71"/>
    <s v="No"/>
    <x v="0"/>
    <x v="0"/>
    <n v="0"/>
  </r>
  <r>
    <n v="19485"/>
    <x v="0"/>
    <n v="1"/>
    <n v="449"/>
    <s v="Yes"/>
    <x v="1"/>
    <x v="2"/>
    <n v="1"/>
  </r>
  <r>
    <n v="14637"/>
    <x v="1"/>
    <n v="6"/>
    <n v="377"/>
    <s v="No"/>
    <x v="1"/>
    <x v="2"/>
    <n v="0"/>
  </r>
  <r>
    <n v="10150"/>
    <x v="0"/>
    <n v="4"/>
    <n v="101"/>
    <s v="Yes"/>
    <x v="1"/>
    <x v="3"/>
    <n v="1"/>
  </r>
  <r>
    <n v="18809"/>
    <x v="0"/>
    <n v="13"/>
    <n v="200"/>
    <s v="No"/>
    <x v="0"/>
    <x v="0"/>
    <n v="0"/>
  </r>
  <r>
    <n v="15540"/>
    <x v="0"/>
    <n v="1"/>
    <n v="394"/>
    <s v="No"/>
    <x v="1"/>
    <x v="0"/>
    <n v="0"/>
  </r>
  <r>
    <n v="15813"/>
    <x v="0"/>
    <n v="13"/>
    <n v="435"/>
    <s v="No"/>
    <x v="1"/>
    <x v="1"/>
    <n v="0"/>
  </r>
  <r>
    <n v="13994"/>
    <x v="1"/>
    <n v="5"/>
    <n v="69"/>
    <s v="No"/>
    <x v="0"/>
    <x v="2"/>
    <n v="0"/>
  </r>
  <r>
    <n v="10599"/>
    <x v="1"/>
    <n v="10"/>
    <n v="353"/>
    <s v="No"/>
    <x v="1"/>
    <x v="3"/>
    <n v="0"/>
  </r>
  <r>
    <n v="16925"/>
    <x v="0"/>
    <n v="8"/>
    <n v="386"/>
    <s v="No"/>
    <x v="1"/>
    <x v="3"/>
    <n v="0"/>
  </r>
  <r>
    <n v="19891"/>
    <x v="0"/>
    <n v="7"/>
    <n v="436"/>
    <s v="No"/>
    <x v="0"/>
    <x v="1"/>
    <n v="0"/>
  </r>
  <r>
    <n v="18787"/>
    <x v="0"/>
    <n v="5"/>
    <n v="76"/>
    <s v="No"/>
    <x v="0"/>
    <x v="2"/>
    <n v="0"/>
  </r>
  <r>
    <n v="18992"/>
    <x v="0"/>
    <n v="11"/>
    <n v="411"/>
    <s v="No"/>
    <x v="0"/>
    <x v="0"/>
    <n v="0"/>
  </r>
  <r>
    <n v="13862"/>
    <x v="1"/>
    <n v="5"/>
    <n v="313"/>
    <s v="No"/>
    <x v="1"/>
    <x v="3"/>
    <n v="0"/>
  </r>
  <r>
    <n v="18421"/>
    <x v="0"/>
    <n v="9"/>
    <n v="203"/>
    <s v="No"/>
    <x v="1"/>
    <x v="2"/>
    <n v="0"/>
  </r>
  <r>
    <n v="13471"/>
    <x v="1"/>
    <n v="4"/>
    <n v="72"/>
    <s v="No"/>
    <x v="0"/>
    <x v="2"/>
    <n v="0"/>
  </r>
  <r>
    <n v="12412"/>
    <x v="1"/>
    <n v="10"/>
    <n v="192"/>
    <s v="No"/>
    <x v="0"/>
    <x v="0"/>
    <n v="0"/>
  </r>
  <r>
    <n v="15496"/>
    <x v="1"/>
    <n v="13"/>
    <n v="415"/>
    <s v="No"/>
    <x v="0"/>
    <x v="2"/>
    <n v="0"/>
  </r>
  <r>
    <n v="15701"/>
    <x v="1"/>
    <n v="2"/>
    <n v="352"/>
    <s v="No"/>
    <x v="1"/>
    <x v="1"/>
    <n v="0"/>
  </r>
  <r>
    <n v="14017"/>
    <x v="0"/>
    <n v="1"/>
    <n v="411"/>
    <s v="No"/>
    <x v="1"/>
    <x v="2"/>
    <n v="0"/>
  </r>
  <r>
    <n v="16225"/>
    <x v="0"/>
    <n v="7"/>
    <n v="44"/>
    <s v="No"/>
    <x v="0"/>
    <x v="1"/>
    <n v="0"/>
  </r>
  <r>
    <n v="14925"/>
    <x v="1"/>
    <n v="3"/>
    <n v="101"/>
    <s v="No"/>
    <x v="1"/>
    <x v="2"/>
    <n v="0"/>
  </r>
  <r>
    <n v="19099"/>
    <x v="0"/>
    <n v="4"/>
    <n v="340"/>
    <s v="No"/>
    <x v="0"/>
    <x v="2"/>
    <n v="0"/>
  </r>
  <r>
    <n v="15727"/>
    <x v="0"/>
    <n v="8"/>
    <n v="177"/>
    <s v="No"/>
    <x v="1"/>
    <x v="3"/>
    <n v="0"/>
  </r>
  <r>
    <n v="11485"/>
    <x v="0"/>
    <n v="4"/>
    <n v="324"/>
    <s v="Yes"/>
    <x v="1"/>
    <x v="0"/>
    <n v="1"/>
  </r>
  <r>
    <n v="13457"/>
    <x v="0"/>
    <n v="12"/>
    <n v="152"/>
    <s v="No"/>
    <x v="1"/>
    <x v="0"/>
    <n v="0"/>
  </r>
  <r>
    <n v="18452"/>
    <x v="1"/>
    <n v="3"/>
    <n v="51"/>
    <s v="No"/>
    <x v="0"/>
    <x v="1"/>
    <n v="0"/>
  </r>
  <r>
    <n v="12502"/>
    <x v="0"/>
    <n v="5"/>
    <n v="212"/>
    <s v="No"/>
    <x v="1"/>
    <x v="1"/>
    <n v="0"/>
  </r>
  <r>
    <n v="14050"/>
    <x v="1"/>
    <n v="10"/>
    <n v="405"/>
    <s v="No"/>
    <x v="1"/>
    <x v="0"/>
    <n v="0"/>
  </r>
  <r>
    <n v="15568"/>
    <x v="0"/>
    <n v="9"/>
    <n v="176"/>
    <s v="No"/>
    <x v="1"/>
    <x v="3"/>
    <n v="0"/>
  </r>
  <r>
    <n v="17054"/>
    <x v="1"/>
    <n v="4"/>
    <n v="262"/>
    <s v="No"/>
    <x v="0"/>
    <x v="1"/>
    <n v="0"/>
  </r>
  <r>
    <n v="12226"/>
    <x v="0"/>
    <n v="10"/>
    <n v="359"/>
    <s v="No"/>
    <x v="1"/>
    <x v="1"/>
    <n v="0"/>
  </r>
  <r>
    <n v="12987"/>
    <x v="1"/>
    <n v="5"/>
    <n v="148"/>
    <s v="No"/>
    <x v="1"/>
    <x v="3"/>
    <n v="0"/>
  </r>
  <r>
    <n v="11237"/>
    <x v="1"/>
    <n v="13"/>
    <n v="364"/>
    <s v="Yes"/>
    <x v="1"/>
    <x v="1"/>
    <n v="1"/>
  </r>
  <r>
    <n v="14011"/>
    <x v="1"/>
    <n v="1"/>
    <n v="348"/>
    <s v="No"/>
    <x v="1"/>
    <x v="1"/>
    <n v="0"/>
  </r>
  <r>
    <n v="16057"/>
    <x v="1"/>
    <n v="13"/>
    <n v="133"/>
    <s v="No"/>
    <x v="0"/>
    <x v="3"/>
    <n v="0"/>
  </r>
  <r>
    <n v="13314"/>
    <x v="1"/>
    <n v="2"/>
    <n v="363"/>
    <s v="No"/>
    <x v="1"/>
    <x v="1"/>
    <n v="0"/>
  </r>
  <r>
    <n v="19126"/>
    <x v="1"/>
    <n v="9"/>
    <n v="434"/>
    <s v="No"/>
    <x v="0"/>
    <x v="1"/>
    <n v="0"/>
  </r>
  <r>
    <n v="12885"/>
    <x v="1"/>
    <n v="1"/>
    <n v="282"/>
    <s v="No"/>
    <x v="1"/>
    <x v="1"/>
    <n v="0"/>
  </r>
  <r>
    <n v="18623"/>
    <x v="1"/>
    <n v="6"/>
    <n v="396"/>
    <s v="No"/>
    <x v="0"/>
    <x v="2"/>
    <n v="0"/>
  </r>
  <r>
    <n v="13067"/>
    <x v="1"/>
    <n v="5"/>
    <n v="312"/>
    <s v="No"/>
    <x v="1"/>
    <x v="1"/>
    <n v="0"/>
  </r>
  <r>
    <n v="15165"/>
    <x v="0"/>
    <n v="1"/>
    <n v="272"/>
    <s v="No"/>
    <x v="0"/>
    <x v="1"/>
    <n v="0"/>
  </r>
  <r>
    <n v="18007"/>
    <x v="0"/>
    <n v="13"/>
    <n v="180"/>
    <s v="No"/>
    <x v="0"/>
    <x v="0"/>
    <n v="0"/>
  </r>
  <r>
    <n v="15384"/>
    <x v="1"/>
    <n v="9"/>
    <n v="71"/>
    <s v="No"/>
    <x v="1"/>
    <x v="3"/>
    <n v="0"/>
  </r>
  <r>
    <n v="10208"/>
    <x v="1"/>
    <n v="1"/>
    <n v="341"/>
    <s v="Yes"/>
    <x v="0"/>
    <x v="3"/>
    <n v="1"/>
  </r>
  <r>
    <n v="16770"/>
    <x v="1"/>
    <n v="11"/>
    <n v="318"/>
    <s v="No"/>
    <x v="0"/>
    <x v="1"/>
    <n v="0"/>
  </r>
  <r>
    <n v="10722"/>
    <x v="1"/>
    <n v="3"/>
    <n v="320"/>
    <s v="No"/>
    <x v="0"/>
    <x v="2"/>
    <n v="0"/>
  </r>
  <r>
    <n v="13136"/>
    <x v="0"/>
    <n v="1"/>
    <n v="115"/>
    <s v="No"/>
    <x v="0"/>
    <x v="3"/>
    <n v="0"/>
  </r>
  <r>
    <n v="14137"/>
    <x v="1"/>
    <n v="8"/>
    <n v="180"/>
    <s v="No"/>
    <x v="0"/>
    <x v="0"/>
    <n v="0"/>
  </r>
  <r>
    <n v="16601"/>
    <x v="0"/>
    <n v="12"/>
    <n v="338"/>
    <s v="No"/>
    <x v="1"/>
    <x v="0"/>
    <n v="0"/>
  </r>
  <r>
    <n v="10055"/>
    <x v="0"/>
    <n v="8"/>
    <n v="250"/>
    <s v="Yes"/>
    <x v="0"/>
    <x v="1"/>
    <n v="1"/>
  </r>
  <r>
    <n v="13088"/>
    <x v="1"/>
    <n v="14"/>
    <n v="331"/>
    <s v="No"/>
    <x v="0"/>
    <x v="1"/>
    <n v="0"/>
  </r>
  <r>
    <n v="15955"/>
    <x v="0"/>
    <n v="4"/>
    <n v="65"/>
    <s v="Yes"/>
    <x v="0"/>
    <x v="3"/>
    <n v="1"/>
  </r>
  <r>
    <n v="12457"/>
    <x v="0"/>
    <n v="1"/>
    <n v="281"/>
    <s v="No"/>
    <x v="0"/>
    <x v="3"/>
    <n v="0"/>
  </r>
  <r>
    <n v="14973"/>
    <x v="0"/>
    <n v="13"/>
    <n v="83"/>
    <s v="No"/>
    <x v="0"/>
    <x v="0"/>
    <n v="0"/>
  </r>
  <r>
    <n v="14652"/>
    <x v="0"/>
    <n v="7"/>
    <n v="370"/>
    <s v="No"/>
    <x v="1"/>
    <x v="3"/>
    <n v="0"/>
  </r>
  <r>
    <n v="17147"/>
    <x v="1"/>
    <n v="7"/>
    <n v="114"/>
    <s v="No"/>
    <x v="0"/>
    <x v="0"/>
    <n v="0"/>
  </r>
  <r>
    <n v="16097"/>
    <x v="0"/>
    <n v="10"/>
    <n v="349"/>
    <s v="No"/>
    <x v="1"/>
    <x v="3"/>
    <n v="0"/>
  </r>
  <r>
    <n v="18941"/>
    <x v="1"/>
    <n v="7"/>
    <n v="267"/>
    <s v="No"/>
    <x v="1"/>
    <x v="3"/>
    <n v="0"/>
  </r>
  <r>
    <n v="15584"/>
    <x v="1"/>
    <n v="4"/>
    <n v="133"/>
    <s v="No"/>
    <x v="1"/>
    <x v="0"/>
    <n v="0"/>
  </r>
  <r>
    <n v="19749"/>
    <x v="0"/>
    <n v="8"/>
    <n v="253"/>
    <s v="No"/>
    <x v="0"/>
    <x v="2"/>
    <n v="0"/>
  </r>
  <r>
    <n v="15239"/>
    <x v="0"/>
    <n v="14"/>
    <n v="365"/>
    <s v="Yes"/>
    <x v="0"/>
    <x v="3"/>
    <n v="1"/>
  </r>
  <r>
    <n v="14903"/>
    <x v="1"/>
    <n v="8"/>
    <n v="409"/>
    <s v="No"/>
    <x v="1"/>
    <x v="3"/>
    <n v="0"/>
  </r>
  <r>
    <n v="16269"/>
    <x v="0"/>
    <n v="12"/>
    <n v="238"/>
    <s v="No"/>
    <x v="0"/>
    <x v="2"/>
    <n v="0"/>
  </r>
  <r>
    <n v="14628"/>
    <x v="1"/>
    <n v="14"/>
    <n v="343"/>
    <s v="No"/>
    <x v="0"/>
    <x v="3"/>
    <n v="0"/>
  </r>
  <r>
    <n v="14260"/>
    <x v="0"/>
    <n v="10"/>
    <n v="299"/>
    <s v="No"/>
    <x v="0"/>
    <x v="0"/>
    <n v="0"/>
  </r>
  <r>
    <n v="16554"/>
    <x v="0"/>
    <n v="1"/>
    <n v="184"/>
    <s v="No"/>
    <x v="0"/>
    <x v="1"/>
    <n v="0"/>
  </r>
  <r>
    <n v="14735"/>
    <x v="0"/>
    <n v="3"/>
    <n v="272"/>
    <s v="No"/>
    <x v="1"/>
    <x v="2"/>
    <n v="0"/>
  </r>
  <r>
    <n v="12059"/>
    <x v="1"/>
    <n v="12"/>
    <n v="63"/>
    <s v="No"/>
    <x v="1"/>
    <x v="3"/>
    <n v="0"/>
  </r>
  <r>
    <n v="15378"/>
    <x v="0"/>
    <n v="4"/>
    <n v="367"/>
    <s v="No"/>
    <x v="0"/>
    <x v="0"/>
    <n v="0"/>
  </r>
  <r>
    <n v="12117"/>
    <x v="0"/>
    <n v="8"/>
    <n v="299"/>
    <s v="No"/>
    <x v="1"/>
    <x v="0"/>
    <n v="0"/>
  </r>
  <r>
    <n v="19746"/>
    <x v="0"/>
    <n v="8"/>
    <n v="59"/>
    <s v="No"/>
    <x v="0"/>
    <x v="3"/>
    <n v="0"/>
  </r>
  <r>
    <n v="16379"/>
    <x v="1"/>
    <n v="14"/>
    <n v="119"/>
    <s v="No"/>
    <x v="0"/>
    <x v="1"/>
    <n v="0"/>
  </r>
  <r>
    <n v="17410"/>
    <x v="0"/>
    <n v="9"/>
    <n v="153"/>
    <s v="No"/>
    <x v="0"/>
    <x v="2"/>
    <n v="0"/>
  </r>
  <r>
    <n v="19285"/>
    <x v="0"/>
    <n v="3"/>
    <n v="135"/>
    <s v="No"/>
    <x v="0"/>
    <x v="1"/>
    <n v="0"/>
  </r>
  <r>
    <n v="15006"/>
    <x v="0"/>
    <n v="5"/>
    <n v="145"/>
    <s v="No"/>
    <x v="1"/>
    <x v="3"/>
    <n v="0"/>
  </r>
  <r>
    <n v="10790"/>
    <x v="1"/>
    <n v="11"/>
    <n v="432"/>
    <s v="No"/>
    <x v="0"/>
    <x v="0"/>
    <n v="0"/>
  </r>
  <r>
    <n v="18898"/>
    <x v="0"/>
    <n v="3"/>
    <n v="222"/>
    <s v="No"/>
    <x v="1"/>
    <x v="1"/>
    <n v="0"/>
  </r>
  <r>
    <n v="15923"/>
    <x v="0"/>
    <n v="6"/>
    <n v="249"/>
    <s v="No"/>
    <x v="0"/>
    <x v="1"/>
    <n v="0"/>
  </r>
  <r>
    <n v="18398"/>
    <x v="0"/>
    <n v="4"/>
    <n v="256"/>
    <s v="No"/>
    <x v="0"/>
    <x v="3"/>
    <n v="0"/>
  </r>
  <r>
    <n v="14826"/>
    <x v="1"/>
    <n v="3"/>
    <n v="404"/>
    <s v="No"/>
    <x v="0"/>
    <x v="2"/>
    <n v="0"/>
  </r>
  <r>
    <n v="11431"/>
    <x v="0"/>
    <n v="13"/>
    <n v="425"/>
    <s v="No"/>
    <x v="0"/>
    <x v="3"/>
    <n v="0"/>
  </r>
  <r>
    <n v="18516"/>
    <x v="1"/>
    <n v="14"/>
    <n v="177"/>
    <s v="Yes"/>
    <x v="1"/>
    <x v="3"/>
    <n v="1"/>
  </r>
  <r>
    <n v="11601"/>
    <x v="0"/>
    <n v="1"/>
    <n v="160"/>
    <s v="No"/>
    <x v="1"/>
    <x v="0"/>
    <n v="0"/>
  </r>
  <r>
    <n v="16992"/>
    <x v="0"/>
    <n v="11"/>
    <n v="197"/>
    <s v="Yes"/>
    <x v="1"/>
    <x v="0"/>
    <n v="1"/>
  </r>
  <r>
    <n v="13782"/>
    <x v="1"/>
    <n v="12"/>
    <n v="357"/>
    <s v="No"/>
    <x v="1"/>
    <x v="1"/>
    <n v="0"/>
  </r>
  <r>
    <n v="19783"/>
    <x v="0"/>
    <n v="1"/>
    <n v="339"/>
    <s v="No"/>
    <x v="1"/>
    <x v="2"/>
    <n v="0"/>
  </r>
  <r>
    <n v="13081"/>
    <x v="1"/>
    <n v="5"/>
    <n v="208"/>
    <s v="No"/>
    <x v="1"/>
    <x v="0"/>
    <n v="0"/>
  </r>
  <r>
    <n v="17193"/>
    <x v="1"/>
    <n v="6"/>
    <n v="255"/>
    <s v="No"/>
    <x v="0"/>
    <x v="2"/>
    <n v="0"/>
  </r>
  <r>
    <n v="14386"/>
    <x v="0"/>
    <n v="7"/>
    <n v="110"/>
    <s v="No"/>
    <x v="1"/>
    <x v="2"/>
    <n v="0"/>
  </r>
  <r>
    <n v="18140"/>
    <x v="0"/>
    <n v="6"/>
    <n v="439"/>
    <s v="No"/>
    <x v="1"/>
    <x v="2"/>
    <n v="0"/>
  </r>
  <r>
    <n v="16106"/>
    <x v="1"/>
    <n v="8"/>
    <n v="89"/>
    <s v="No"/>
    <x v="0"/>
    <x v="3"/>
    <n v="0"/>
  </r>
  <r>
    <n v="14061"/>
    <x v="0"/>
    <n v="11"/>
    <n v="445"/>
    <s v="No"/>
    <x v="1"/>
    <x v="0"/>
    <n v="0"/>
  </r>
  <r>
    <n v="13846"/>
    <x v="1"/>
    <n v="3"/>
    <n v="96"/>
    <s v="No"/>
    <x v="0"/>
    <x v="3"/>
    <n v="0"/>
  </r>
  <r>
    <n v="16185"/>
    <x v="0"/>
    <n v="11"/>
    <n v="307"/>
    <s v="Yes"/>
    <x v="0"/>
    <x v="2"/>
    <n v="1"/>
  </r>
  <r>
    <n v="16190"/>
    <x v="0"/>
    <n v="12"/>
    <n v="118"/>
    <s v="No"/>
    <x v="0"/>
    <x v="2"/>
    <n v="0"/>
  </r>
  <r>
    <n v="17318"/>
    <x v="0"/>
    <n v="6"/>
    <n v="159"/>
    <s v="No"/>
    <x v="0"/>
    <x v="1"/>
    <n v="0"/>
  </r>
  <r>
    <n v="18371"/>
    <x v="1"/>
    <n v="14"/>
    <n v="351"/>
    <s v="No"/>
    <x v="0"/>
    <x v="3"/>
    <n v="0"/>
  </r>
  <r>
    <n v="14686"/>
    <x v="1"/>
    <n v="4"/>
    <n v="41"/>
    <s v="No"/>
    <x v="0"/>
    <x v="2"/>
    <n v="0"/>
  </r>
  <r>
    <n v="13867"/>
    <x v="1"/>
    <n v="12"/>
    <n v="76"/>
    <s v="No"/>
    <x v="1"/>
    <x v="0"/>
    <n v="0"/>
  </r>
  <r>
    <n v="15943"/>
    <x v="1"/>
    <n v="14"/>
    <n v="449"/>
    <s v="No"/>
    <x v="1"/>
    <x v="3"/>
    <n v="0"/>
  </r>
  <r>
    <n v="15282"/>
    <x v="1"/>
    <n v="2"/>
    <n v="299"/>
    <s v="No"/>
    <x v="1"/>
    <x v="3"/>
    <n v="0"/>
  </r>
  <r>
    <n v="11414"/>
    <x v="0"/>
    <n v="8"/>
    <n v="401"/>
    <s v="No"/>
    <x v="0"/>
    <x v="3"/>
    <n v="0"/>
  </r>
  <r>
    <n v="14510"/>
    <x v="0"/>
    <n v="14"/>
    <n v="151"/>
    <s v="No"/>
    <x v="1"/>
    <x v="1"/>
    <n v="0"/>
  </r>
  <r>
    <n v="19101"/>
    <x v="1"/>
    <n v="7"/>
    <n v="353"/>
    <s v="No"/>
    <x v="0"/>
    <x v="2"/>
    <n v="0"/>
  </r>
  <r>
    <n v="10132"/>
    <x v="0"/>
    <n v="7"/>
    <n v="174"/>
    <s v="No"/>
    <x v="1"/>
    <x v="0"/>
    <n v="0"/>
  </r>
  <r>
    <n v="12162"/>
    <x v="1"/>
    <n v="4"/>
    <n v="216"/>
    <s v="No"/>
    <x v="1"/>
    <x v="2"/>
    <n v="0"/>
  </r>
  <r>
    <n v="11492"/>
    <x v="1"/>
    <n v="9"/>
    <n v="62"/>
    <s v="No"/>
    <x v="0"/>
    <x v="0"/>
    <n v="0"/>
  </r>
  <r>
    <n v="11570"/>
    <x v="0"/>
    <n v="9"/>
    <n v="254"/>
    <s v="No"/>
    <x v="1"/>
    <x v="2"/>
    <n v="0"/>
  </r>
  <r>
    <n v="19778"/>
    <x v="1"/>
    <n v="6"/>
    <n v="393"/>
    <s v="No"/>
    <x v="1"/>
    <x v="2"/>
    <n v="0"/>
  </r>
  <r>
    <n v="11717"/>
    <x v="0"/>
    <n v="2"/>
    <n v="82"/>
    <s v="No"/>
    <x v="0"/>
    <x v="2"/>
    <n v="0"/>
  </r>
  <r>
    <n v="13694"/>
    <x v="0"/>
    <n v="10"/>
    <n v="217"/>
    <s v="No"/>
    <x v="1"/>
    <x v="1"/>
    <n v="0"/>
  </r>
  <r>
    <n v="16720"/>
    <x v="1"/>
    <n v="12"/>
    <n v="209"/>
    <s v="No"/>
    <x v="1"/>
    <x v="0"/>
    <n v="0"/>
  </r>
  <r>
    <n v="17771"/>
    <x v="1"/>
    <n v="4"/>
    <n v="435"/>
    <s v="No"/>
    <x v="0"/>
    <x v="3"/>
    <n v="0"/>
  </r>
  <r>
    <n v="19201"/>
    <x v="0"/>
    <n v="1"/>
    <n v="291"/>
    <s v="No"/>
    <x v="1"/>
    <x v="2"/>
    <n v="0"/>
  </r>
  <r>
    <n v="17607"/>
    <x v="0"/>
    <n v="10"/>
    <n v="297"/>
    <s v="No"/>
    <x v="1"/>
    <x v="3"/>
    <n v="0"/>
  </r>
  <r>
    <n v="11076"/>
    <x v="1"/>
    <n v="3"/>
    <n v="197"/>
    <s v="No"/>
    <x v="1"/>
    <x v="3"/>
    <n v="0"/>
  </r>
  <r>
    <n v="11398"/>
    <x v="0"/>
    <n v="2"/>
    <n v="57"/>
    <s v="No"/>
    <x v="1"/>
    <x v="1"/>
    <n v="0"/>
  </r>
  <r>
    <n v="14726"/>
    <x v="0"/>
    <n v="10"/>
    <n v="393"/>
    <s v="No"/>
    <x v="0"/>
    <x v="2"/>
    <n v="0"/>
  </r>
  <r>
    <n v="19991"/>
    <x v="1"/>
    <n v="14"/>
    <n v="200"/>
    <s v="No"/>
    <x v="1"/>
    <x v="1"/>
    <n v="0"/>
  </r>
  <r>
    <n v="16660"/>
    <x v="1"/>
    <n v="12"/>
    <n v="79"/>
    <s v="No"/>
    <x v="0"/>
    <x v="1"/>
    <n v="0"/>
  </r>
  <r>
    <n v="14164"/>
    <x v="1"/>
    <n v="14"/>
    <n v="357"/>
    <s v="No"/>
    <x v="1"/>
    <x v="0"/>
    <n v="0"/>
  </r>
  <r>
    <n v="10896"/>
    <x v="1"/>
    <n v="8"/>
    <n v="346"/>
    <s v="No"/>
    <x v="0"/>
    <x v="1"/>
    <n v="0"/>
  </r>
  <r>
    <n v="13120"/>
    <x v="0"/>
    <n v="11"/>
    <n v="148"/>
    <s v="Yes"/>
    <x v="1"/>
    <x v="2"/>
    <n v="1"/>
  </r>
  <r>
    <n v="14127"/>
    <x v="1"/>
    <n v="6"/>
    <n v="270"/>
    <s v="No"/>
    <x v="1"/>
    <x v="2"/>
    <n v="0"/>
  </r>
  <r>
    <n v="17690"/>
    <x v="1"/>
    <n v="13"/>
    <n v="134"/>
    <s v="No"/>
    <x v="1"/>
    <x v="2"/>
    <n v="0"/>
  </r>
  <r>
    <n v="18662"/>
    <x v="0"/>
    <n v="2"/>
    <n v="82"/>
    <s v="No"/>
    <x v="0"/>
    <x v="0"/>
    <n v="0"/>
  </r>
  <r>
    <n v="13864"/>
    <x v="0"/>
    <n v="7"/>
    <n v="365"/>
    <s v="No"/>
    <x v="0"/>
    <x v="3"/>
    <n v="0"/>
  </r>
  <r>
    <n v="18843"/>
    <x v="1"/>
    <n v="14"/>
    <n v="69"/>
    <s v="Yes"/>
    <x v="0"/>
    <x v="1"/>
    <n v="1"/>
  </r>
  <r>
    <n v="16695"/>
    <x v="1"/>
    <n v="9"/>
    <n v="96"/>
    <s v="No"/>
    <x v="0"/>
    <x v="1"/>
    <n v="0"/>
  </r>
  <r>
    <n v="17582"/>
    <x v="0"/>
    <n v="6"/>
    <n v="181"/>
    <s v="No"/>
    <x v="1"/>
    <x v="3"/>
    <n v="0"/>
  </r>
  <r>
    <n v="17106"/>
    <x v="1"/>
    <n v="9"/>
    <n v="129"/>
    <s v="Yes"/>
    <x v="0"/>
    <x v="0"/>
    <n v="1"/>
  </r>
  <r>
    <n v="15742"/>
    <x v="0"/>
    <n v="13"/>
    <n v="159"/>
    <s v="No"/>
    <x v="1"/>
    <x v="2"/>
    <n v="0"/>
  </r>
  <r>
    <n v="18630"/>
    <x v="0"/>
    <n v="7"/>
    <n v="207"/>
    <s v="No"/>
    <x v="0"/>
    <x v="3"/>
    <n v="0"/>
  </r>
  <r>
    <n v="19579"/>
    <x v="0"/>
    <n v="3"/>
    <n v="105"/>
    <s v="No"/>
    <x v="0"/>
    <x v="0"/>
    <n v="0"/>
  </r>
  <r>
    <n v="16641"/>
    <x v="1"/>
    <n v="14"/>
    <n v="52"/>
    <s v="No"/>
    <x v="0"/>
    <x v="0"/>
    <n v="0"/>
  </r>
  <r>
    <n v="18395"/>
    <x v="0"/>
    <n v="10"/>
    <n v="216"/>
    <s v="No"/>
    <x v="0"/>
    <x v="0"/>
    <n v="0"/>
  </r>
  <r>
    <n v="17264"/>
    <x v="0"/>
    <n v="4"/>
    <n v="405"/>
    <s v="No"/>
    <x v="1"/>
    <x v="3"/>
    <n v="0"/>
  </r>
  <r>
    <n v="18686"/>
    <x v="1"/>
    <n v="10"/>
    <n v="381"/>
    <s v="No"/>
    <x v="1"/>
    <x v="3"/>
    <n v="0"/>
  </r>
  <r>
    <n v="15557"/>
    <x v="1"/>
    <n v="5"/>
    <n v="197"/>
    <s v="Yes"/>
    <x v="0"/>
    <x v="1"/>
    <n v="1"/>
  </r>
  <r>
    <n v="10128"/>
    <x v="1"/>
    <n v="12"/>
    <n v="191"/>
    <s v="No"/>
    <x v="1"/>
    <x v="0"/>
    <n v="0"/>
  </r>
  <r>
    <n v="17189"/>
    <x v="0"/>
    <n v="5"/>
    <n v="239"/>
    <s v="No"/>
    <x v="1"/>
    <x v="0"/>
    <n v="0"/>
  </r>
  <r>
    <n v="13052"/>
    <x v="1"/>
    <n v="6"/>
    <n v="377"/>
    <s v="No"/>
    <x v="0"/>
    <x v="2"/>
    <n v="0"/>
  </r>
  <r>
    <n v="10193"/>
    <x v="0"/>
    <n v="7"/>
    <n v="314"/>
    <s v="No"/>
    <x v="0"/>
    <x v="0"/>
    <n v="0"/>
  </r>
  <r>
    <n v="10133"/>
    <x v="0"/>
    <n v="13"/>
    <n v="397"/>
    <s v="No"/>
    <x v="1"/>
    <x v="0"/>
    <n v="0"/>
  </r>
  <r>
    <n v="12098"/>
    <x v="1"/>
    <n v="8"/>
    <n v="401"/>
    <s v="No"/>
    <x v="1"/>
    <x v="0"/>
    <n v="0"/>
  </r>
  <r>
    <n v="10500"/>
    <x v="0"/>
    <n v="6"/>
    <n v="335"/>
    <s v="No"/>
    <x v="0"/>
    <x v="1"/>
    <n v="0"/>
  </r>
  <r>
    <n v="19095"/>
    <x v="0"/>
    <n v="5"/>
    <n v="441"/>
    <s v="No"/>
    <x v="1"/>
    <x v="0"/>
    <n v="0"/>
  </r>
  <r>
    <n v="12712"/>
    <x v="0"/>
    <n v="9"/>
    <n v="348"/>
    <s v="Yes"/>
    <x v="0"/>
    <x v="1"/>
    <n v="1"/>
  </r>
  <r>
    <n v="12752"/>
    <x v="1"/>
    <n v="13"/>
    <n v="422"/>
    <s v="No"/>
    <x v="0"/>
    <x v="2"/>
    <n v="0"/>
  </r>
  <r>
    <n v="12537"/>
    <x v="0"/>
    <n v="2"/>
    <n v="292"/>
    <s v="No"/>
    <x v="0"/>
    <x v="1"/>
    <n v="0"/>
  </r>
  <r>
    <n v="15190"/>
    <x v="1"/>
    <n v="14"/>
    <n v="193"/>
    <s v="No"/>
    <x v="0"/>
    <x v="2"/>
    <n v="0"/>
  </r>
  <r>
    <n v="15210"/>
    <x v="0"/>
    <n v="11"/>
    <n v="163"/>
    <s v="Yes"/>
    <x v="1"/>
    <x v="2"/>
    <n v="1"/>
  </r>
  <r>
    <n v="14043"/>
    <x v="1"/>
    <n v="3"/>
    <n v="393"/>
    <s v="No"/>
    <x v="1"/>
    <x v="3"/>
    <n v="0"/>
  </r>
  <r>
    <n v="13570"/>
    <x v="0"/>
    <n v="9"/>
    <n v="389"/>
    <s v="No"/>
    <x v="0"/>
    <x v="3"/>
    <n v="0"/>
  </r>
  <r>
    <n v="14285"/>
    <x v="1"/>
    <n v="1"/>
    <n v="168"/>
    <s v="No"/>
    <x v="0"/>
    <x v="1"/>
    <n v="0"/>
  </r>
  <r>
    <n v="19092"/>
    <x v="1"/>
    <n v="1"/>
    <n v="381"/>
    <s v="No"/>
    <x v="1"/>
    <x v="1"/>
    <n v="0"/>
  </r>
  <r>
    <n v="17936"/>
    <x v="0"/>
    <n v="4"/>
    <n v="231"/>
    <s v="No"/>
    <x v="1"/>
    <x v="1"/>
    <n v="0"/>
  </r>
  <r>
    <n v="19879"/>
    <x v="1"/>
    <n v="14"/>
    <n v="177"/>
    <s v="No"/>
    <x v="0"/>
    <x v="0"/>
    <n v="0"/>
  </r>
  <r>
    <n v="10187"/>
    <x v="0"/>
    <n v="4"/>
    <n v="50"/>
    <s v="No"/>
    <x v="1"/>
    <x v="3"/>
    <n v="0"/>
  </r>
  <r>
    <n v="18447"/>
    <x v="0"/>
    <n v="12"/>
    <n v="385"/>
    <s v="No"/>
    <x v="0"/>
    <x v="2"/>
    <n v="0"/>
  </r>
  <r>
    <n v="17600"/>
    <x v="0"/>
    <n v="13"/>
    <n v="444"/>
    <s v="No"/>
    <x v="1"/>
    <x v="1"/>
    <n v="0"/>
  </r>
  <r>
    <n v="11655"/>
    <x v="1"/>
    <n v="9"/>
    <n v="324"/>
    <s v="Yes"/>
    <x v="0"/>
    <x v="0"/>
    <n v="1"/>
  </r>
  <r>
    <n v="15215"/>
    <x v="0"/>
    <n v="3"/>
    <n v="313"/>
    <s v="Yes"/>
    <x v="0"/>
    <x v="2"/>
    <n v="1"/>
  </r>
  <r>
    <n v="17302"/>
    <x v="1"/>
    <n v="2"/>
    <n v="94"/>
    <s v="No"/>
    <x v="1"/>
    <x v="2"/>
    <n v="0"/>
  </r>
  <r>
    <n v="12590"/>
    <x v="0"/>
    <n v="14"/>
    <n v="275"/>
    <s v="Yes"/>
    <x v="0"/>
    <x v="3"/>
    <n v="1"/>
  </r>
  <r>
    <n v="12686"/>
    <x v="1"/>
    <n v="10"/>
    <n v="333"/>
    <s v="No"/>
    <x v="1"/>
    <x v="2"/>
    <n v="0"/>
  </r>
  <r>
    <n v="16635"/>
    <x v="1"/>
    <n v="2"/>
    <n v="58"/>
    <s v="No"/>
    <x v="0"/>
    <x v="0"/>
    <n v="0"/>
  </r>
  <r>
    <n v="11396"/>
    <x v="1"/>
    <n v="11"/>
    <n v="129"/>
    <s v="No"/>
    <x v="0"/>
    <x v="2"/>
    <n v="0"/>
  </r>
  <r>
    <n v="19135"/>
    <x v="1"/>
    <n v="14"/>
    <n v="391"/>
    <s v="No"/>
    <x v="1"/>
    <x v="0"/>
    <n v="0"/>
  </r>
  <r>
    <n v="12896"/>
    <x v="1"/>
    <n v="8"/>
    <n v="328"/>
    <s v="No"/>
    <x v="1"/>
    <x v="1"/>
    <n v="0"/>
  </r>
  <r>
    <n v="19910"/>
    <x v="0"/>
    <n v="1"/>
    <n v="338"/>
    <s v="Yes"/>
    <x v="1"/>
    <x v="3"/>
    <n v="1"/>
  </r>
  <r>
    <n v="19097"/>
    <x v="0"/>
    <n v="6"/>
    <n v="112"/>
    <s v="No"/>
    <x v="0"/>
    <x v="3"/>
    <n v="0"/>
  </r>
  <r>
    <n v="11144"/>
    <x v="1"/>
    <n v="3"/>
    <n v="182"/>
    <s v="No"/>
    <x v="0"/>
    <x v="1"/>
    <n v="0"/>
  </r>
  <r>
    <n v="12951"/>
    <x v="1"/>
    <n v="10"/>
    <n v="253"/>
    <s v="No"/>
    <x v="1"/>
    <x v="0"/>
    <n v="0"/>
  </r>
  <r>
    <n v="19172"/>
    <x v="0"/>
    <n v="8"/>
    <n v="220"/>
    <s v="No"/>
    <x v="1"/>
    <x v="2"/>
    <n v="0"/>
  </r>
  <r>
    <n v="18525"/>
    <x v="1"/>
    <n v="8"/>
    <n v="256"/>
    <s v="No"/>
    <x v="1"/>
    <x v="2"/>
    <n v="0"/>
  </r>
  <r>
    <n v="19129"/>
    <x v="1"/>
    <n v="1"/>
    <n v="434"/>
    <s v="No"/>
    <x v="1"/>
    <x v="2"/>
    <n v="0"/>
  </r>
  <r>
    <n v="10297"/>
    <x v="1"/>
    <n v="9"/>
    <n v="374"/>
    <s v="No"/>
    <x v="1"/>
    <x v="3"/>
    <n v="0"/>
  </r>
  <r>
    <n v="18509"/>
    <x v="1"/>
    <n v="7"/>
    <n v="86"/>
    <s v="No"/>
    <x v="1"/>
    <x v="3"/>
    <n v="0"/>
  </r>
  <r>
    <n v="18165"/>
    <x v="0"/>
    <n v="5"/>
    <n v="429"/>
    <s v="No"/>
    <x v="0"/>
    <x v="2"/>
    <n v="0"/>
  </r>
  <r>
    <n v="17444"/>
    <x v="0"/>
    <n v="3"/>
    <n v="285"/>
    <s v="No"/>
    <x v="0"/>
    <x v="1"/>
    <n v="0"/>
  </r>
  <r>
    <n v="12510"/>
    <x v="1"/>
    <n v="7"/>
    <n v="237"/>
    <s v="No"/>
    <x v="1"/>
    <x v="3"/>
    <n v="0"/>
  </r>
  <r>
    <n v="17470"/>
    <x v="1"/>
    <n v="12"/>
    <n v="310"/>
    <s v="No"/>
    <x v="1"/>
    <x v="1"/>
    <n v="0"/>
  </r>
  <r>
    <n v="16630"/>
    <x v="1"/>
    <n v="12"/>
    <n v="248"/>
    <s v="No"/>
    <x v="0"/>
    <x v="0"/>
    <n v="0"/>
  </r>
  <r>
    <n v="14385"/>
    <x v="1"/>
    <n v="4"/>
    <n v="53"/>
    <s v="No"/>
    <x v="0"/>
    <x v="2"/>
    <n v="0"/>
  </r>
  <r>
    <n v="17517"/>
    <x v="0"/>
    <n v="14"/>
    <n v="157"/>
    <s v="No"/>
    <x v="1"/>
    <x v="1"/>
    <n v="0"/>
  </r>
  <r>
    <n v="16822"/>
    <x v="0"/>
    <n v="6"/>
    <n v="277"/>
    <s v="No"/>
    <x v="1"/>
    <x v="2"/>
    <n v="0"/>
  </r>
  <r>
    <n v="13387"/>
    <x v="1"/>
    <n v="1"/>
    <n v="256"/>
    <s v="No"/>
    <x v="1"/>
    <x v="3"/>
    <n v="0"/>
  </r>
  <r>
    <n v="14464"/>
    <x v="0"/>
    <n v="14"/>
    <n v="430"/>
    <s v="No"/>
    <x v="0"/>
    <x v="0"/>
    <n v="0"/>
  </r>
  <r>
    <n v="18654"/>
    <x v="0"/>
    <n v="2"/>
    <n v="176"/>
    <s v="No"/>
    <x v="0"/>
    <x v="2"/>
    <n v="0"/>
  </r>
  <r>
    <n v="10719"/>
    <x v="1"/>
    <n v="10"/>
    <n v="377"/>
    <s v="No"/>
    <x v="0"/>
    <x v="1"/>
    <n v="0"/>
  </r>
  <r>
    <n v="14811"/>
    <x v="0"/>
    <n v="7"/>
    <n v="73"/>
    <s v="No"/>
    <x v="0"/>
    <x v="0"/>
    <n v="0"/>
  </r>
  <r>
    <n v="18997"/>
    <x v="1"/>
    <n v="11"/>
    <n v="222"/>
    <s v="No"/>
    <x v="1"/>
    <x v="2"/>
    <n v="0"/>
  </r>
  <r>
    <n v="16127"/>
    <x v="1"/>
    <n v="6"/>
    <n v="401"/>
    <s v="No"/>
    <x v="1"/>
    <x v="0"/>
    <n v="0"/>
  </r>
  <r>
    <n v="15036"/>
    <x v="0"/>
    <n v="8"/>
    <n v="225"/>
    <s v="No"/>
    <x v="0"/>
    <x v="3"/>
    <n v="0"/>
  </r>
  <r>
    <n v="10164"/>
    <x v="0"/>
    <n v="13"/>
    <n v="439"/>
    <s v="No"/>
    <x v="1"/>
    <x v="2"/>
    <n v="0"/>
  </r>
  <r>
    <n v="17813"/>
    <x v="0"/>
    <n v="2"/>
    <n v="370"/>
    <s v="Yes"/>
    <x v="0"/>
    <x v="3"/>
    <n v="1"/>
  </r>
  <r>
    <n v="19415"/>
    <x v="1"/>
    <n v="10"/>
    <n v="346"/>
    <s v="No"/>
    <x v="0"/>
    <x v="2"/>
    <n v="0"/>
  </r>
  <r>
    <n v="12907"/>
    <x v="0"/>
    <n v="4"/>
    <n v="256"/>
    <s v="Yes"/>
    <x v="0"/>
    <x v="0"/>
    <n v="1"/>
  </r>
  <r>
    <n v="11478"/>
    <x v="1"/>
    <n v="4"/>
    <n v="143"/>
    <s v="No"/>
    <x v="1"/>
    <x v="1"/>
    <n v="0"/>
  </r>
  <r>
    <n v="11641"/>
    <x v="1"/>
    <n v="8"/>
    <n v="61"/>
    <s v="No"/>
    <x v="0"/>
    <x v="1"/>
    <n v="0"/>
  </r>
  <r>
    <n v="19188"/>
    <x v="1"/>
    <n v="13"/>
    <n v="308"/>
    <s v="No"/>
    <x v="0"/>
    <x v="2"/>
    <n v="0"/>
  </r>
  <r>
    <n v="11785"/>
    <x v="1"/>
    <n v="4"/>
    <n v="59"/>
    <s v="No"/>
    <x v="1"/>
    <x v="0"/>
    <n v="0"/>
  </r>
  <r>
    <n v="12576"/>
    <x v="1"/>
    <n v="9"/>
    <n v="129"/>
    <s v="No"/>
    <x v="0"/>
    <x v="1"/>
    <n v="0"/>
  </r>
  <r>
    <n v="10156"/>
    <x v="0"/>
    <n v="2"/>
    <n v="65"/>
    <s v="No"/>
    <x v="1"/>
    <x v="0"/>
    <n v="0"/>
  </r>
  <r>
    <n v="12347"/>
    <x v="1"/>
    <n v="1"/>
    <n v="100"/>
    <s v="No"/>
    <x v="0"/>
    <x v="3"/>
    <n v="0"/>
  </r>
  <r>
    <n v="14783"/>
    <x v="0"/>
    <n v="8"/>
    <n v="258"/>
    <s v="No"/>
    <x v="0"/>
    <x v="3"/>
    <n v="0"/>
  </r>
  <r>
    <n v="15422"/>
    <x v="1"/>
    <n v="10"/>
    <n v="442"/>
    <s v="No"/>
    <x v="0"/>
    <x v="0"/>
    <n v="0"/>
  </r>
  <r>
    <n v="10394"/>
    <x v="1"/>
    <n v="7"/>
    <n v="89"/>
    <s v="No"/>
    <x v="1"/>
    <x v="0"/>
    <n v="0"/>
  </r>
  <r>
    <n v="18179"/>
    <x v="0"/>
    <n v="10"/>
    <n v="182"/>
    <s v="No"/>
    <x v="0"/>
    <x v="2"/>
    <n v="0"/>
  </r>
  <r>
    <n v="19276"/>
    <x v="1"/>
    <n v="6"/>
    <n v="253"/>
    <s v="No"/>
    <x v="1"/>
    <x v="0"/>
    <n v="0"/>
  </r>
  <r>
    <n v="18163"/>
    <x v="0"/>
    <n v="2"/>
    <n v="174"/>
    <s v="No"/>
    <x v="1"/>
    <x v="1"/>
    <n v="0"/>
  </r>
  <r>
    <n v="14331"/>
    <x v="0"/>
    <n v="2"/>
    <n v="149"/>
    <s v="No"/>
    <x v="0"/>
    <x v="0"/>
    <n v="0"/>
  </r>
  <r>
    <n v="17202"/>
    <x v="1"/>
    <n v="7"/>
    <n v="444"/>
    <s v="No"/>
    <x v="0"/>
    <x v="0"/>
    <n v="0"/>
  </r>
  <r>
    <n v="14966"/>
    <x v="1"/>
    <n v="10"/>
    <n v="443"/>
    <s v="No"/>
    <x v="0"/>
    <x v="2"/>
    <n v="0"/>
  </r>
  <r>
    <n v="10437"/>
    <x v="0"/>
    <n v="1"/>
    <n v="266"/>
    <s v="No"/>
    <x v="1"/>
    <x v="1"/>
    <n v="0"/>
  </r>
  <r>
    <n v="15360"/>
    <x v="0"/>
    <n v="6"/>
    <n v="387"/>
    <s v="No"/>
    <x v="1"/>
    <x v="0"/>
    <n v="0"/>
  </r>
  <r>
    <n v="17368"/>
    <x v="1"/>
    <n v="13"/>
    <n v="414"/>
    <s v="Yes"/>
    <x v="0"/>
    <x v="3"/>
    <n v="1"/>
  </r>
  <r>
    <n v="17262"/>
    <x v="0"/>
    <n v="4"/>
    <n v="359"/>
    <s v="No"/>
    <x v="0"/>
    <x v="1"/>
    <n v="0"/>
  </r>
  <r>
    <n v="15973"/>
    <x v="0"/>
    <n v="3"/>
    <n v="364"/>
    <s v="No"/>
    <x v="0"/>
    <x v="2"/>
    <n v="0"/>
  </r>
  <r>
    <n v="11559"/>
    <x v="1"/>
    <n v="12"/>
    <n v="104"/>
    <s v="No"/>
    <x v="1"/>
    <x v="2"/>
    <n v="0"/>
  </r>
  <r>
    <n v="14269"/>
    <x v="1"/>
    <n v="6"/>
    <n v="311"/>
    <s v="No"/>
    <x v="1"/>
    <x v="3"/>
    <n v="0"/>
  </r>
  <r>
    <n v="16625"/>
    <x v="1"/>
    <n v="5"/>
    <n v="108"/>
    <s v="No"/>
    <x v="0"/>
    <x v="1"/>
    <n v="0"/>
  </r>
  <r>
    <n v="19582"/>
    <x v="1"/>
    <n v="10"/>
    <n v="190"/>
    <s v="Yes"/>
    <x v="1"/>
    <x v="3"/>
    <n v="1"/>
  </r>
  <r>
    <n v="15643"/>
    <x v="0"/>
    <n v="13"/>
    <n v="146"/>
    <s v="No"/>
    <x v="1"/>
    <x v="0"/>
    <n v="0"/>
  </r>
  <r>
    <n v="19246"/>
    <x v="1"/>
    <n v="1"/>
    <n v="96"/>
    <s v="No"/>
    <x v="0"/>
    <x v="2"/>
    <n v="0"/>
  </r>
  <r>
    <n v="13001"/>
    <x v="1"/>
    <n v="1"/>
    <n v="171"/>
    <s v="No"/>
    <x v="0"/>
    <x v="0"/>
    <n v="0"/>
  </r>
  <r>
    <n v="19680"/>
    <x v="0"/>
    <n v="6"/>
    <n v="45"/>
    <s v="No"/>
    <x v="0"/>
    <x v="2"/>
    <n v="0"/>
  </r>
  <r>
    <n v="16529"/>
    <x v="1"/>
    <n v="13"/>
    <n v="48"/>
    <s v="No"/>
    <x v="1"/>
    <x v="2"/>
    <n v="0"/>
  </r>
  <r>
    <n v="18729"/>
    <x v="1"/>
    <n v="3"/>
    <n v="360"/>
    <s v="No"/>
    <x v="0"/>
    <x v="1"/>
    <n v="0"/>
  </r>
  <r>
    <n v="16826"/>
    <x v="1"/>
    <n v="4"/>
    <n v="307"/>
    <s v="No"/>
    <x v="1"/>
    <x v="0"/>
    <n v="0"/>
  </r>
  <r>
    <n v="18858"/>
    <x v="1"/>
    <n v="11"/>
    <n v="273"/>
    <s v="No"/>
    <x v="1"/>
    <x v="2"/>
    <n v="0"/>
  </r>
  <r>
    <n v="11617"/>
    <x v="0"/>
    <n v="13"/>
    <n v="395"/>
    <s v="No"/>
    <x v="0"/>
    <x v="3"/>
    <n v="0"/>
  </r>
  <r>
    <n v="14663"/>
    <x v="0"/>
    <n v="8"/>
    <n v="240"/>
    <s v="No"/>
    <x v="0"/>
    <x v="1"/>
    <n v="0"/>
  </r>
  <r>
    <n v="14613"/>
    <x v="0"/>
    <n v="6"/>
    <n v="195"/>
    <s v="No"/>
    <x v="1"/>
    <x v="2"/>
    <n v="0"/>
  </r>
  <r>
    <n v="18974"/>
    <x v="0"/>
    <n v="4"/>
    <n v="100"/>
    <s v="No"/>
    <x v="0"/>
    <x v="0"/>
    <n v="0"/>
  </r>
  <r>
    <n v="19975"/>
    <x v="1"/>
    <n v="6"/>
    <n v="317"/>
    <s v="No"/>
    <x v="0"/>
    <x v="3"/>
    <n v="0"/>
  </r>
  <r>
    <n v="18973"/>
    <x v="0"/>
    <n v="9"/>
    <n v="192"/>
    <s v="No"/>
    <x v="0"/>
    <x v="3"/>
    <n v="0"/>
  </r>
  <r>
    <n v="14848"/>
    <x v="0"/>
    <n v="8"/>
    <n v="90"/>
    <s v="Yes"/>
    <x v="0"/>
    <x v="3"/>
    <n v="1"/>
  </r>
  <r>
    <n v="11697"/>
    <x v="1"/>
    <n v="10"/>
    <n v="112"/>
    <s v="No"/>
    <x v="1"/>
    <x v="3"/>
    <n v="0"/>
  </r>
  <r>
    <n v="12305"/>
    <x v="0"/>
    <n v="9"/>
    <n v="65"/>
    <s v="No"/>
    <x v="1"/>
    <x v="3"/>
    <n v="0"/>
  </r>
  <r>
    <n v="11891"/>
    <x v="0"/>
    <n v="12"/>
    <n v="370"/>
    <s v="No"/>
    <x v="1"/>
    <x v="3"/>
    <n v="0"/>
  </r>
  <r>
    <n v="10407"/>
    <x v="0"/>
    <n v="1"/>
    <n v="287"/>
    <s v="No"/>
    <x v="0"/>
    <x v="0"/>
    <n v="0"/>
  </r>
  <r>
    <n v="15272"/>
    <x v="0"/>
    <n v="1"/>
    <n v="148"/>
    <s v="No"/>
    <x v="0"/>
    <x v="3"/>
    <n v="0"/>
  </r>
  <r>
    <n v="19523"/>
    <x v="0"/>
    <n v="8"/>
    <n v="279"/>
    <s v="No"/>
    <x v="0"/>
    <x v="1"/>
    <n v="0"/>
  </r>
  <r>
    <n v="15302"/>
    <x v="0"/>
    <n v="9"/>
    <n v="380"/>
    <s v="No"/>
    <x v="1"/>
    <x v="3"/>
    <n v="0"/>
  </r>
  <r>
    <n v="10524"/>
    <x v="0"/>
    <n v="6"/>
    <n v="330"/>
    <s v="No"/>
    <x v="1"/>
    <x v="1"/>
    <n v="0"/>
  </r>
  <r>
    <n v="14832"/>
    <x v="1"/>
    <n v="6"/>
    <n v="126"/>
    <s v="No"/>
    <x v="1"/>
    <x v="3"/>
    <n v="0"/>
  </r>
  <r>
    <n v="15458"/>
    <x v="0"/>
    <n v="1"/>
    <n v="84"/>
    <s v="No"/>
    <x v="1"/>
    <x v="0"/>
    <n v="0"/>
  </r>
  <r>
    <n v="17158"/>
    <x v="0"/>
    <n v="9"/>
    <n v="367"/>
    <s v="No"/>
    <x v="0"/>
    <x v="2"/>
    <n v="0"/>
  </r>
  <r>
    <n v="17379"/>
    <x v="1"/>
    <n v="11"/>
    <n v="88"/>
    <s v="No"/>
    <x v="1"/>
    <x v="0"/>
    <n v="0"/>
  </r>
  <r>
    <n v="11061"/>
    <x v="1"/>
    <n v="8"/>
    <n v="440"/>
    <s v="No"/>
    <x v="1"/>
    <x v="0"/>
    <n v="0"/>
  </r>
  <r>
    <n v="12520"/>
    <x v="0"/>
    <n v="1"/>
    <n v="291"/>
    <s v="No"/>
    <x v="1"/>
    <x v="3"/>
    <n v="0"/>
  </r>
  <r>
    <n v="13583"/>
    <x v="1"/>
    <n v="7"/>
    <n v="238"/>
    <s v="No"/>
    <x v="0"/>
    <x v="0"/>
    <n v="0"/>
  </r>
  <r>
    <n v="15854"/>
    <x v="1"/>
    <n v="7"/>
    <n v="215"/>
    <s v="No"/>
    <x v="1"/>
    <x v="0"/>
    <n v="0"/>
  </r>
  <r>
    <n v="13331"/>
    <x v="1"/>
    <n v="7"/>
    <n v="102"/>
    <s v="No"/>
    <x v="0"/>
    <x v="3"/>
    <n v="0"/>
  </r>
  <r>
    <n v="14258"/>
    <x v="1"/>
    <n v="4"/>
    <n v="92"/>
    <s v="No"/>
    <x v="1"/>
    <x v="1"/>
    <n v="0"/>
  </r>
  <r>
    <n v="14943"/>
    <x v="1"/>
    <n v="8"/>
    <n v="104"/>
    <s v="No"/>
    <x v="1"/>
    <x v="2"/>
    <n v="0"/>
  </r>
  <r>
    <n v="10694"/>
    <x v="1"/>
    <n v="8"/>
    <n v="426"/>
    <s v="No"/>
    <x v="0"/>
    <x v="2"/>
    <n v="0"/>
  </r>
  <r>
    <n v="16191"/>
    <x v="1"/>
    <n v="3"/>
    <n v="153"/>
    <s v="No"/>
    <x v="1"/>
    <x v="0"/>
    <n v="0"/>
  </r>
  <r>
    <n v="17992"/>
    <x v="0"/>
    <n v="7"/>
    <n v="321"/>
    <s v="No"/>
    <x v="1"/>
    <x v="3"/>
    <n v="0"/>
  </r>
  <r>
    <n v="12942"/>
    <x v="1"/>
    <n v="9"/>
    <n v="121"/>
    <s v="No"/>
    <x v="0"/>
    <x v="2"/>
    <n v="0"/>
  </r>
  <r>
    <n v="16710"/>
    <x v="0"/>
    <n v="9"/>
    <n v="115"/>
    <s v="No"/>
    <x v="1"/>
    <x v="3"/>
    <n v="0"/>
  </r>
  <r>
    <n v="13032"/>
    <x v="0"/>
    <n v="13"/>
    <n v="225"/>
    <s v="Yes"/>
    <x v="1"/>
    <x v="3"/>
    <n v="1"/>
  </r>
  <r>
    <n v="18655"/>
    <x v="0"/>
    <n v="12"/>
    <n v="210"/>
    <s v="No"/>
    <x v="0"/>
    <x v="2"/>
    <n v="0"/>
  </r>
  <r>
    <n v="18877"/>
    <x v="0"/>
    <n v="8"/>
    <n v="300"/>
    <s v="No"/>
    <x v="0"/>
    <x v="1"/>
    <n v="0"/>
  </r>
  <r>
    <n v="16933"/>
    <x v="1"/>
    <n v="3"/>
    <n v="386"/>
    <s v="No"/>
    <x v="1"/>
    <x v="1"/>
    <n v="0"/>
  </r>
  <r>
    <n v="12688"/>
    <x v="0"/>
    <n v="14"/>
    <n v="154"/>
    <s v="No"/>
    <x v="0"/>
    <x v="3"/>
    <n v="0"/>
  </r>
  <r>
    <n v="16957"/>
    <x v="1"/>
    <n v="11"/>
    <n v="293"/>
    <s v="No"/>
    <x v="1"/>
    <x v="1"/>
    <n v="0"/>
  </r>
  <r>
    <n v="15941"/>
    <x v="0"/>
    <n v="13"/>
    <n v="146"/>
    <s v="No"/>
    <x v="1"/>
    <x v="3"/>
    <n v="0"/>
  </r>
  <r>
    <n v="14865"/>
    <x v="0"/>
    <n v="10"/>
    <n v="114"/>
    <s v="No"/>
    <x v="0"/>
    <x v="2"/>
    <n v="0"/>
  </r>
  <r>
    <n v="10861"/>
    <x v="0"/>
    <n v="13"/>
    <n v="151"/>
    <s v="No"/>
    <x v="0"/>
    <x v="1"/>
    <n v="0"/>
  </r>
  <r>
    <n v="18866"/>
    <x v="1"/>
    <n v="4"/>
    <n v="268"/>
    <s v="No"/>
    <x v="0"/>
    <x v="0"/>
    <n v="0"/>
  </r>
  <r>
    <n v="13515"/>
    <x v="1"/>
    <n v="9"/>
    <n v="374"/>
    <s v="No"/>
    <x v="1"/>
    <x v="0"/>
    <n v="0"/>
  </r>
  <r>
    <n v="13939"/>
    <x v="1"/>
    <n v="8"/>
    <n v="220"/>
    <s v="No"/>
    <x v="1"/>
    <x v="0"/>
    <n v="0"/>
  </r>
  <r>
    <n v="12069"/>
    <x v="1"/>
    <n v="2"/>
    <n v="256"/>
    <s v="No"/>
    <x v="1"/>
    <x v="0"/>
    <n v="0"/>
  </r>
  <r>
    <n v="16798"/>
    <x v="0"/>
    <n v="7"/>
    <n v="443"/>
    <s v="No"/>
    <x v="0"/>
    <x v="0"/>
    <n v="0"/>
  </r>
  <r>
    <n v="11500"/>
    <x v="1"/>
    <n v="13"/>
    <n v="326"/>
    <s v="No"/>
    <x v="1"/>
    <x v="2"/>
    <n v="0"/>
  </r>
  <r>
    <n v="11977"/>
    <x v="1"/>
    <n v="3"/>
    <n v="187"/>
    <s v="No"/>
    <x v="1"/>
    <x v="1"/>
    <n v="0"/>
  </r>
  <r>
    <n v="15315"/>
    <x v="1"/>
    <n v="11"/>
    <n v="316"/>
    <s v="No"/>
    <x v="1"/>
    <x v="1"/>
    <n v="0"/>
  </r>
  <r>
    <n v="14343"/>
    <x v="0"/>
    <n v="13"/>
    <n v="426"/>
    <s v="No"/>
    <x v="1"/>
    <x v="0"/>
    <n v="0"/>
  </r>
  <r>
    <n v="14767"/>
    <x v="0"/>
    <n v="12"/>
    <n v="183"/>
    <s v="No"/>
    <x v="1"/>
    <x v="0"/>
    <n v="0"/>
  </r>
  <r>
    <n v="11828"/>
    <x v="0"/>
    <n v="2"/>
    <n v="446"/>
    <s v="No"/>
    <x v="0"/>
    <x v="3"/>
    <n v="0"/>
  </r>
  <r>
    <n v="15764"/>
    <x v="1"/>
    <n v="2"/>
    <n v="112"/>
    <s v="No"/>
    <x v="0"/>
    <x v="0"/>
    <n v="0"/>
  </r>
  <r>
    <n v="12598"/>
    <x v="1"/>
    <n v="11"/>
    <n v="308"/>
    <s v="No"/>
    <x v="1"/>
    <x v="0"/>
    <n v="0"/>
  </r>
  <r>
    <n v="13857"/>
    <x v="0"/>
    <n v="8"/>
    <n v="401"/>
    <s v="No"/>
    <x v="0"/>
    <x v="3"/>
    <n v="0"/>
  </r>
  <r>
    <n v="11972"/>
    <x v="1"/>
    <n v="11"/>
    <n v="342"/>
    <s v="No"/>
    <x v="0"/>
    <x v="0"/>
    <n v="0"/>
  </r>
  <r>
    <n v="16744"/>
    <x v="0"/>
    <n v="6"/>
    <n v="436"/>
    <s v="No"/>
    <x v="0"/>
    <x v="3"/>
    <n v="0"/>
  </r>
  <r>
    <n v="13504"/>
    <x v="1"/>
    <n v="8"/>
    <n v="437"/>
    <s v="No"/>
    <x v="0"/>
    <x v="1"/>
    <n v="0"/>
  </r>
  <r>
    <n v="17549"/>
    <x v="1"/>
    <n v="3"/>
    <n v="384"/>
    <s v="No"/>
    <x v="1"/>
    <x v="3"/>
    <n v="0"/>
  </r>
  <r>
    <n v="18700"/>
    <x v="0"/>
    <n v="2"/>
    <n v="289"/>
    <s v="No"/>
    <x v="0"/>
    <x v="2"/>
    <n v="0"/>
  </r>
  <r>
    <n v="16420"/>
    <x v="1"/>
    <n v="3"/>
    <n v="387"/>
    <s v="No"/>
    <x v="0"/>
    <x v="1"/>
    <n v="0"/>
  </r>
  <r>
    <n v="15647"/>
    <x v="1"/>
    <n v="5"/>
    <n v="194"/>
    <s v="No"/>
    <x v="0"/>
    <x v="1"/>
    <n v="0"/>
  </r>
  <r>
    <n v="19868"/>
    <x v="1"/>
    <n v="12"/>
    <n v="301"/>
    <s v="No"/>
    <x v="1"/>
    <x v="2"/>
    <n v="0"/>
  </r>
  <r>
    <n v="10082"/>
    <x v="0"/>
    <n v="12"/>
    <n v="317"/>
    <s v="Yes"/>
    <x v="0"/>
    <x v="0"/>
    <n v="1"/>
  </r>
  <r>
    <n v="14640"/>
    <x v="1"/>
    <n v="6"/>
    <n v="308"/>
    <s v="No"/>
    <x v="0"/>
    <x v="2"/>
    <n v="0"/>
  </r>
  <r>
    <n v="16088"/>
    <x v="1"/>
    <n v="4"/>
    <n v="339"/>
    <s v="No"/>
    <x v="1"/>
    <x v="2"/>
    <n v="0"/>
  </r>
  <r>
    <n v="15252"/>
    <x v="0"/>
    <n v="2"/>
    <n v="400"/>
    <s v="No"/>
    <x v="0"/>
    <x v="1"/>
    <n v="0"/>
  </r>
  <r>
    <n v="16087"/>
    <x v="0"/>
    <n v="4"/>
    <n v="375"/>
    <s v="No"/>
    <x v="1"/>
    <x v="3"/>
    <n v="0"/>
  </r>
  <r>
    <n v="16258"/>
    <x v="0"/>
    <n v="4"/>
    <n v="231"/>
    <s v="No"/>
    <x v="1"/>
    <x v="0"/>
    <n v="0"/>
  </r>
  <r>
    <n v="18071"/>
    <x v="0"/>
    <n v="3"/>
    <n v="412"/>
    <s v="No"/>
    <x v="0"/>
    <x v="0"/>
    <n v="0"/>
  </r>
  <r>
    <n v="16831"/>
    <x v="1"/>
    <n v="6"/>
    <n v="287"/>
    <s v="No"/>
    <x v="0"/>
    <x v="3"/>
    <n v="0"/>
  </r>
  <r>
    <n v="16021"/>
    <x v="0"/>
    <n v="9"/>
    <n v="76"/>
    <s v="No"/>
    <x v="1"/>
    <x v="2"/>
    <n v="0"/>
  </r>
  <r>
    <n v="15556"/>
    <x v="0"/>
    <n v="4"/>
    <n v="195"/>
    <s v="No"/>
    <x v="1"/>
    <x v="1"/>
    <n v="0"/>
  </r>
  <r>
    <n v="17218"/>
    <x v="0"/>
    <n v="6"/>
    <n v="311"/>
    <s v="No"/>
    <x v="1"/>
    <x v="0"/>
    <n v="0"/>
  </r>
  <r>
    <n v="10550"/>
    <x v="0"/>
    <n v="7"/>
    <n v="390"/>
    <s v="No"/>
    <x v="1"/>
    <x v="0"/>
    <n v="0"/>
  </r>
  <r>
    <n v="10901"/>
    <x v="0"/>
    <n v="3"/>
    <n v="358"/>
    <s v="No"/>
    <x v="0"/>
    <x v="0"/>
    <n v="0"/>
  </r>
  <r>
    <n v="16655"/>
    <x v="1"/>
    <n v="4"/>
    <n v="394"/>
    <s v="No"/>
    <x v="0"/>
    <x v="3"/>
    <n v="0"/>
  </r>
  <r>
    <n v="10240"/>
    <x v="0"/>
    <n v="13"/>
    <n v="417"/>
    <s v="No"/>
    <x v="1"/>
    <x v="2"/>
    <n v="0"/>
  </r>
  <r>
    <n v="12578"/>
    <x v="0"/>
    <n v="2"/>
    <n v="96"/>
    <s v="Yes"/>
    <x v="0"/>
    <x v="1"/>
    <n v="1"/>
  </r>
  <r>
    <n v="18873"/>
    <x v="0"/>
    <n v="8"/>
    <n v="69"/>
    <s v="Yes"/>
    <x v="0"/>
    <x v="2"/>
    <n v="1"/>
  </r>
  <r>
    <n v="11448"/>
    <x v="1"/>
    <n v="9"/>
    <n v="115"/>
    <s v="No"/>
    <x v="0"/>
    <x v="1"/>
    <n v="0"/>
  </r>
  <r>
    <n v="15672"/>
    <x v="0"/>
    <n v="2"/>
    <n v="206"/>
    <s v="Yes"/>
    <x v="1"/>
    <x v="0"/>
    <n v="1"/>
  </r>
  <r>
    <n v="18319"/>
    <x v="0"/>
    <n v="8"/>
    <n v="361"/>
    <s v="No"/>
    <x v="1"/>
    <x v="2"/>
    <n v="0"/>
  </r>
  <r>
    <n v="18124"/>
    <x v="1"/>
    <n v="10"/>
    <n v="306"/>
    <s v="No"/>
    <x v="0"/>
    <x v="1"/>
    <n v="0"/>
  </r>
  <r>
    <n v="16830"/>
    <x v="1"/>
    <n v="2"/>
    <n v="346"/>
    <s v="No"/>
    <x v="1"/>
    <x v="0"/>
    <n v="0"/>
  </r>
  <r>
    <n v="17837"/>
    <x v="1"/>
    <n v="7"/>
    <n v="152"/>
    <s v="No"/>
    <x v="1"/>
    <x v="3"/>
    <n v="0"/>
  </r>
  <r>
    <n v="14816"/>
    <x v="0"/>
    <n v="9"/>
    <n v="288"/>
    <s v="Yes"/>
    <x v="1"/>
    <x v="1"/>
    <n v="1"/>
  </r>
  <r>
    <n v="14004"/>
    <x v="0"/>
    <n v="6"/>
    <n v="361"/>
    <s v="No"/>
    <x v="0"/>
    <x v="3"/>
    <n v="0"/>
  </r>
  <r>
    <n v="12690"/>
    <x v="0"/>
    <n v="3"/>
    <n v="108"/>
    <s v="No"/>
    <x v="0"/>
    <x v="1"/>
    <n v="0"/>
  </r>
  <r>
    <n v="16042"/>
    <x v="0"/>
    <n v="11"/>
    <n v="439"/>
    <s v="No"/>
    <x v="1"/>
    <x v="3"/>
    <n v="0"/>
  </r>
  <r>
    <n v="11735"/>
    <x v="0"/>
    <n v="6"/>
    <n v="88"/>
    <s v="No"/>
    <x v="0"/>
    <x v="1"/>
    <n v="0"/>
  </r>
  <r>
    <n v="15326"/>
    <x v="1"/>
    <n v="1"/>
    <n v="201"/>
    <s v="No"/>
    <x v="0"/>
    <x v="1"/>
    <n v="0"/>
  </r>
  <r>
    <n v="10074"/>
    <x v="1"/>
    <n v="11"/>
    <n v="267"/>
    <s v="Yes"/>
    <x v="1"/>
    <x v="2"/>
    <n v="1"/>
  </r>
  <r>
    <n v="10891"/>
    <x v="0"/>
    <n v="10"/>
    <n v="211"/>
    <s v="No"/>
    <x v="0"/>
    <x v="3"/>
    <n v="0"/>
  </r>
  <r>
    <n v="10993"/>
    <x v="0"/>
    <n v="1"/>
    <n v="289"/>
    <s v="Yes"/>
    <x v="1"/>
    <x v="3"/>
    <n v="1"/>
  </r>
  <r>
    <n v="14801"/>
    <x v="1"/>
    <n v="12"/>
    <n v="413"/>
    <s v="No"/>
    <x v="0"/>
    <x v="3"/>
    <n v="0"/>
  </r>
  <r>
    <n v="12616"/>
    <x v="1"/>
    <n v="2"/>
    <n v="445"/>
    <s v="No"/>
    <x v="1"/>
    <x v="2"/>
    <n v="0"/>
  </r>
  <r>
    <n v="13278"/>
    <x v="1"/>
    <n v="13"/>
    <n v="212"/>
    <s v="No"/>
    <x v="0"/>
    <x v="2"/>
    <n v="0"/>
  </r>
  <r>
    <n v="18251"/>
    <x v="1"/>
    <n v="13"/>
    <n v="439"/>
    <s v="No"/>
    <x v="0"/>
    <x v="1"/>
    <n v="0"/>
  </r>
  <r>
    <n v="13648"/>
    <x v="1"/>
    <n v="12"/>
    <n v="113"/>
    <s v="No"/>
    <x v="0"/>
    <x v="2"/>
    <n v="0"/>
  </r>
  <r>
    <n v="10501"/>
    <x v="0"/>
    <n v="12"/>
    <n v="181"/>
    <s v="No"/>
    <x v="0"/>
    <x v="1"/>
    <n v="0"/>
  </r>
  <r>
    <n v="16218"/>
    <x v="1"/>
    <n v="10"/>
    <n v="76"/>
    <s v="No"/>
    <x v="1"/>
    <x v="3"/>
    <n v="0"/>
  </r>
  <r>
    <n v="14193"/>
    <x v="1"/>
    <n v="12"/>
    <n v="378"/>
    <s v="No"/>
    <x v="1"/>
    <x v="1"/>
    <n v="0"/>
  </r>
  <r>
    <n v="15709"/>
    <x v="1"/>
    <n v="7"/>
    <n v="252"/>
    <s v="No"/>
    <x v="0"/>
    <x v="2"/>
    <n v="0"/>
  </r>
  <r>
    <n v="15273"/>
    <x v="1"/>
    <n v="13"/>
    <n v="159"/>
    <s v="No"/>
    <x v="0"/>
    <x v="3"/>
    <n v="0"/>
  </r>
  <r>
    <n v="19842"/>
    <x v="0"/>
    <n v="9"/>
    <n v="399"/>
    <s v="No"/>
    <x v="0"/>
    <x v="1"/>
    <n v="0"/>
  </r>
  <r>
    <n v="13213"/>
    <x v="0"/>
    <n v="8"/>
    <n v="144"/>
    <s v="No"/>
    <x v="1"/>
    <x v="2"/>
    <n v="0"/>
  </r>
  <r>
    <n v="14699"/>
    <x v="0"/>
    <n v="11"/>
    <n v="336"/>
    <s v="Yes"/>
    <x v="0"/>
    <x v="3"/>
    <n v="1"/>
  </r>
  <r>
    <n v="18242"/>
    <x v="0"/>
    <n v="3"/>
    <n v="216"/>
    <s v="No"/>
    <x v="1"/>
    <x v="3"/>
    <n v="0"/>
  </r>
  <r>
    <n v="10354"/>
    <x v="0"/>
    <n v="8"/>
    <n v="415"/>
    <s v="No"/>
    <x v="0"/>
    <x v="0"/>
    <n v="0"/>
  </r>
  <r>
    <n v="14474"/>
    <x v="1"/>
    <n v="6"/>
    <n v="266"/>
    <s v="No"/>
    <x v="0"/>
    <x v="3"/>
    <n v="0"/>
  </r>
  <r>
    <n v="16886"/>
    <x v="0"/>
    <n v="7"/>
    <n v="346"/>
    <s v="No"/>
    <x v="1"/>
    <x v="1"/>
    <n v="0"/>
  </r>
  <r>
    <n v="13221"/>
    <x v="1"/>
    <n v="4"/>
    <n v="226"/>
    <s v="No"/>
    <x v="0"/>
    <x v="1"/>
    <n v="0"/>
  </r>
  <r>
    <n v="13121"/>
    <x v="0"/>
    <n v="11"/>
    <n v="174"/>
    <s v="No"/>
    <x v="1"/>
    <x v="1"/>
    <n v="0"/>
  </r>
  <r>
    <n v="19689"/>
    <x v="1"/>
    <n v="13"/>
    <n v="417"/>
    <s v="No"/>
    <x v="1"/>
    <x v="2"/>
    <n v="0"/>
  </r>
  <r>
    <n v="16438"/>
    <x v="0"/>
    <n v="2"/>
    <n v="65"/>
    <s v="No"/>
    <x v="1"/>
    <x v="0"/>
    <n v="0"/>
  </r>
  <r>
    <n v="18717"/>
    <x v="1"/>
    <n v="14"/>
    <n v="172"/>
    <s v="No"/>
    <x v="1"/>
    <x v="2"/>
    <n v="0"/>
  </r>
  <r>
    <n v="18036"/>
    <x v="0"/>
    <n v="4"/>
    <n v="354"/>
    <s v="No"/>
    <x v="1"/>
    <x v="2"/>
    <n v="0"/>
  </r>
  <r>
    <n v="13020"/>
    <x v="0"/>
    <n v="8"/>
    <n v="370"/>
    <s v="No"/>
    <x v="1"/>
    <x v="0"/>
    <n v="0"/>
  </r>
  <r>
    <n v="13011"/>
    <x v="1"/>
    <n v="7"/>
    <n v="411"/>
    <s v="No"/>
    <x v="1"/>
    <x v="2"/>
    <n v="0"/>
  </r>
  <r>
    <n v="15863"/>
    <x v="1"/>
    <n v="10"/>
    <n v="63"/>
    <s v="No"/>
    <x v="1"/>
    <x v="2"/>
    <n v="0"/>
  </r>
  <r>
    <n v="12983"/>
    <x v="0"/>
    <n v="3"/>
    <n v="343"/>
    <s v="No"/>
    <x v="1"/>
    <x v="3"/>
    <n v="0"/>
  </r>
  <r>
    <n v="19197"/>
    <x v="1"/>
    <n v="14"/>
    <n v="361"/>
    <s v="No"/>
    <x v="0"/>
    <x v="2"/>
    <n v="0"/>
  </r>
  <r>
    <n v="13477"/>
    <x v="1"/>
    <n v="5"/>
    <n v="80"/>
    <s v="No"/>
    <x v="1"/>
    <x v="3"/>
    <n v="0"/>
  </r>
  <r>
    <n v="13813"/>
    <x v="1"/>
    <n v="7"/>
    <n v="169"/>
    <s v="No"/>
    <x v="0"/>
    <x v="0"/>
    <n v="0"/>
  </r>
  <r>
    <n v="18959"/>
    <x v="0"/>
    <n v="13"/>
    <n v="437"/>
    <s v="No"/>
    <x v="1"/>
    <x v="2"/>
    <n v="0"/>
  </r>
  <r>
    <n v="14370"/>
    <x v="1"/>
    <n v="7"/>
    <n v="131"/>
    <s v="No"/>
    <x v="0"/>
    <x v="2"/>
    <n v="0"/>
  </r>
  <r>
    <n v="10548"/>
    <x v="1"/>
    <n v="8"/>
    <n v="112"/>
    <s v="No"/>
    <x v="0"/>
    <x v="2"/>
    <n v="0"/>
  </r>
  <r>
    <n v="17528"/>
    <x v="0"/>
    <n v="5"/>
    <n v="301"/>
    <s v="Yes"/>
    <x v="1"/>
    <x v="3"/>
    <n v="1"/>
  </r>
  <r>
    <n v="19384"/>
    <x v="0"/>
    <n v="12"/>
    <n v="321"/>
    <s v="Yes"/>
    <x v="0"/>
    <x v="3"/>
    <n v="1"/>
  </r>
  <r>
    <n v="11716"/>
    <x v="1"/>
    <n v="9"/>
    <n v="222"/>
    <s v="No"/>
    <x v="0"/>
    <x v="1"/>
    <n v="0"/>
  </r>
  <r>
    <n v="13412"/>
    <x v="1"/>
    <n v="7"/>
    <n v="104"/>
    <s v="No"/>
    <x v="1"/>
    <x v="1"/>
    <n v="0"/>
  </r>
  <r>
    <n v="16236"/>
    <x v="0"/>
    <n v="14"/>
    <n v="46"/>
    <s v="No"/>
    <x v="1"/>
    <x v="2"/>
    <n v="0"/>
  </r>
  <r>
    <n v="11421"/>
    <x v="1"/>
    <n v="8"/>
    <n v="84"/>
    <s v="No"/>
    <x v="1"/>
    <x v="0"/>
    <n v="0"/>
  </r>
  <r>
    <n v="14060"/>
    <x v="1"/>
    <n v="4"/>
    <n v="119"/>
    <s v="No"/>
    <x v="0"/>
    <x v="0"/>
    <n v="0"/>
  </r>
  <r>
    <n v="14762"/>
    <x v="1"/>
    <n v="5"/>
    <n v="283"/>
    <s v="No"/>
    <x v="0"/>
    <x v="2"/>
    <n v="0"/>
  </r>
  <r>
    <n v="15330"/>
    <x v="0"/>
    <n v="3"/>
    <n v="143"/>
    <s v="No"/>
    <x v="0"/>
    <x v="0"/>
    <n v="0"/>
  </r>
  <r>
    <n v="16610"/>
    <x v="0"/>
    <n v="1"/>
    <n v="127"/>
    <s v="No"/>
    <x v="1"/>
    <x v="1"/>
    <n v="0"/>
  </r>
  <r>
    <n v="11411"/>
    <x v="0"/>
    <n v="6"/>
    <n v="114"/>
    <s v="No"/>
    <x v="0"/>
    <x v="1"/>
    <n v="0"/>
  </r>
  <r>
    <n v="15478"/>
    <x v="1"/>
    <n v="9"/>
    <n v="150"/>
    <s v="No"/>
    <x v="1"/>
    <x v="1"/>
    <n v="0"/>
  </r>
  <r>
    <n v="11351"/>
    <x v="0"/>
    <n v="9"/>
    <n v="94"/>
    <s v="No"/>
    <x v="1"/>
    <x v="0"/>
    <n v="0"/>
  </r>
  <r>
    <n v="18158"/>
    <x v="1"/>
    <n v="13"/>
    <n v="374"/>
    <s v="No"/>
    <x v="0"/>
    <x v="3"/>
    <n v="0"/>
  </r>
  <r>
    <n v="14266"/>
    <x v="0"/>
    <n v="14"/>
    <n v="169"/>
    <s v="Yes"/>
    <x v="1"/>
    <x v="3"/>
    <n v="1"/>
  </r>
  <r>
    <n v="16791"/>
    <x v="0"/>
    <n v="3"/>
    <n v="49"/>
    <s v="Yes"/>
    <x v="0"/>
    <x v="1"/>
    <n v="1"/>
  </r>
  <r>
    <n v="18069"/>
    <x v="0"/>
    <n v="7"/>
    <n v="320"/>
    <s v="No"/>
    <x v="0"/>
    <x v="1"/>
    <n v="0"/>
  </r>
  <r>
    <n v="11836"/>
    <x v="1"/>
    <n v="7"/>
    <n v="184"/>
    <s v="No"/>
    <x v="0"/>
    <x v="2"/>
    <n v="0"/>
  </r>
  <r>
    <n v="14196"/>
    <x v="1"/>
    <n v="13"/>
    <n v="180"/>
    <s v="No"/>
    <x v="0"/>
    <x v="0"/>
    <n v="0"/>
  </r>
  <r>
    <n v="19987"/>
    <x v="1"/>
    <n v="3"/>
    <n v="56"/>
    <s v="No"/>
    <x v="0"/>
    <x v="0"/>
    <n v="0"/>
  </r>
  <r>
    <n v="17795"/>
    <x v="0"/>
    <n v="13"/>
    <n v="432"/>
    <s v="No"/>
    <x v="0"/>
    <x v="0"/>
    <n v="0"/>
  </r>
  <r>
    <n v="12133"/>
    <x v="1"/>
    <n v="3"/>
    <n v="41"/>
    <s v="No"/>
    <x v="1"/>
    <x v="0"/>
    <n v="0"/>
  </r>
  <r>
    <n v="12080"/>
    <x v="1"/>
    <n v="2"/>
    <n v="325"/>
    <s v="No"/>
    <x v="0"/>
    <x v="3"/>
    <n v="0"/>
  </r>
  <r>
    <n v="15327"/>
    <x v="0"/>
    <n v="9"/>
    <n v="370"/>
    <s v="No"/>
    <x v="1"/>
    <x v="2"/>
    <n v="0"/>
  </r>
  <r>
    <n v="13971"/>
    <x v="0"/>
    <n v="12"/>
    <n v="293"/>
    <s v="No"/>
    <x v="0"/>
    <x v="0"/>
    <n v="0"/>
  </r>
  <r>
    <n v="15586"/>
    <x v="1"/>
    <n v="8"/>
    <n v="95"/>
    <s v="No"/>
    <x v="0"/>
    <x v="1"/>
    <n v="0"/>
  </r>
  <r>
    <n v="17707"/>
    <x v="1"/>
    <n v="3"/>
    <n v="199"/>
    <s v="No"/>
    <x v="1"/>
    <x v="1"/>
    <n v="0"/>
  </r>
  <r>
    <n v="19530"/>
    <x v="1"/>
    <n v="8"/>
    <n v="254"/>
    <s v="No"/>
    <x v="0"/>
    <x v="1"/>
    <n v="0"/>
  </r>
  <r>
    <n v="15343"/>
    <x v="1"/>
    <n v="1"/>
    <n v="88"/>
    <s v="No"/>
    <x v="0"/>
    <x v="3"/>
    <n v="0"/>
  </r>
  <r>
    <n v="16875"/>
    <x v="0"/>
    <n v="11"/>
    <n v="346"/>
    <s v="No"/>
    <x v="0"/>
    <x v="2"/>
    <n v="0"/>
  </r>
  <r>
    <n v="17167"/>
    <x v="0"/>
    <n v="5"/>
    <n v="226"/>
    <s v="No"/>
    <x v="1"/>
    <x v="1"/>
    <n v="0"/>
  </r>
  <r>
    <n v="13472"/>
    <x v="0"/>
    <n v="11"/>
    <n v="257"/>
    <s v="No"/>
    <x v="0"/>
    <x v="3"/>
    <n v="0"/>
  </r>
  <r>
    <n v="12488"/>
    <x v="0"/>
    <n v="5"/>
    <n v="83"/>
    <s v="No"/>
    <x v="0"/>
    <x v="0"/>
    <n v="0"/>
  </r>
  <r>
    <n v="18161"/>
    <x v="0"/>
    <n v="12"/>
    <n v="443"/>
    <s v="No"/>
    <x v="0"/>
    <x v="0"/>
    <n v="0"/>
  </r>
  <r>
    <n v="18309"/>
    <x v="0"/>
    <n v="14"/>
    <n v="179"/>
    <s v="No"/>
    <x v="1"/>
    <x v="2"/>
    <n v="0"/>
  </r>
  <r>
    <n v="13902"/>
    <x v="0"/>
    <n v="11"/>
    <n v="110"/>
    <s v="No"/>
    <x v="0"/>
    <x v="1"/>
    <n v="0"/>
  </r>
  <r>
    <n v="10610"/>
    <x v="0"/>
    <n v="10"/>
    <n v="114"/>
    <s v="No"/>
    <x v="1"/>
    <x v="2"/>
    <n v="0"/>
  </r>
  <r>
    <n v="12550"/>
    <x v="0"/>
    <n v="7"/>
    <n v="143"/>
    <s v="Yes"/>
    <x v="1"/>
    <x v="2"/>
    <n v="1"/>
  </r>
  <r>
    <n v="19404"/>
    <x v="0"/>
    <n v="8"/>
    <n v="441"/>
    <s v="No"/>
    <x v="1"/>
    <x v="0"/>
    <n v="0"/>
  </r>
  <r>
    <n v="16169"/>
    <x v="1"/>
    <n v="11"/>
    <n v="144"/>
    <s v="No"/>
    <x v="1"/>
    <x v="3"/>
    <n v="0"/>
  </r>
  <r>
    <n v="13635"/>
    <x v="1"/>
    <n v="12"/>
    <n v="173"/>
    <s v="No"/>
    <x v="0"/>
    <x v="2"/>
    <n v="0"/>
  </r>
  <r>
    <n v="16136"/>
    <x v="0"/>
    <n v="10"/>
    <n v="122"/>
    <s v="No"/>
    <x v="1"/>
    <x v="2"/>
    <n v="0"/>
  </r>
  <r>
    <n v="17411"/>
    <x v="0"/>
    <n v="4"/>
    <n v="147"/>
    <s v="No"/>
    <x v="1"/>
    <x v="0"/>
    <n v="0"/>
  </r>
  <r>
    <n v="13890"/>
    <x v="1"/>
    <n v="13"/>
    <n v="275"/>
    <s v="No"/>
    <x v="1"/>
    <x v="1"/>
    <n v="0"/>
  </r>
  <r>
    <n v="19367"/>
    <x v="0"/>
    <n v="1"/>
    <n v="287"/>
    <s v="No"/>
    <x v="1"/>
    <x v="3"/>
    <n v="0"/>
  </r>
  <r>
    <n v="11257"/>
    <x v="1"/>
    <n v="13"/>
    <n v="164"/>
    <s v="No"/>
    <x v="1"/>
    <x v="1"/>
    <n v="0"/>
  </r>
  <r>
    <n v="10217"/>
    <x v="1"/>
    <n v="2"/>
    <n v="187"/>
    <s v="No"/>
    <x v="0"/>
    <x v="0"/>
    <n v="0"/>
  </r>
  <r>
    <n v="15844"/>
    <x v="0"/>
    <n v="10"/>
    <n v="222"/>
    <s v="Yes"/>
    <x v="1"/>
    <x v="0"/>
    <n v="1"/>
  </r>
  <r>
    <n v="16006"/>
    <x v="0"/>
    <n v="4"/>
    <n v="417"/>
    <s v="No"/>
    <x v="1"/>
    <x v="2"/>
    <n v="0"/>
  </r>
  <r>
    <n v="14888"/>
    <x v="1"/>
    <n v="1"/>
    <n v="260"/>
    <s v="No"/>
    <x v="1"/>
    <x v="2"/>
    <n v="0"/>
  </r>
  <r>
    <n v="16055"/>
    <x v="1"/>
    <n v="10"/>
    <n v="236"/>
    <s v="No"/>
    <x v="0"/>
    <x v="3"/>
    <n v="0"/>
  </r>
  <r>
    <n v="11826"/>
    <x v="0"/>
    <n v="1"/>
    <n v="166"/>
    <s v="No"/>
    <x v="0"/>
    <x v="0"/>
    <n v="0"/>
  </r>
  <r>
    <n v="15181"/>
    <x v="1"/>
    <n v="3"/>
    <n v="391"/>
    <s v="No"/>
    <x v="1"/>
    <x v="0"/>
    <n v="0"/>
  </r>
  <r>
    <n v="13593"/>
    <x v="0"/>
    <n v="14"/>
    <n v="394"/>
    <s v="No"/>
    <x v="0"/>
    <x v="2"/>
    <n v="0"/>
  </r>
  <r>
    <n v="13987"/>
    <x v="1"/>
    <n v="4"/>
    <n v="134"/>
    <s v="No"/>
    <x v="1"/>
    <x v="0"/>
    <n v="0"/>
  </r>
  <r>
    <n v="19874"/>
    <x v="0"/>
    <n v="2"/>
    <n v="447"/>
    <s v="No"/>
    <x v="1"/>
    <x v="3"/>
    <n v="0"/>
  </r>
  <r>
    <n v="17535"/>
    <x v="0"/>
    <n v="3"/>
    <n v="243"/>
    <s v="No"/>
    <x v="0"/>
    <x v="3"/>
    <n v="0"/>
  </r>
  <r>
    <n v="16128"/>
    <x v="1"/>
    <n v="2"/>
    <n v="67"/>
    <s v="No"/>
    <x v="1"/>
    <x v="3"/>
    <n v="0"/>
  </r>
  <r>
    <n v="12309"/>
    <x v="1"/>
    <n v="6"/>
    <n v="211"/>
    <s v="No"/>
    <x v="1"/>
    <x v="0"/>
    <n v="0"/>
  </r>
  <r>
    <n v="11628"/>
    <x v="0"/>
    <n v="12"/>
    <n v="52"/>
    <s v="No"/>
    <x v="0"/>
    <x v="0"/>
    <n v="0"/>
  </r>
  <r>
    <n v="13187"/>
    <x v="1"/>
    <n v="13"/>
    <n v="151"/>
    <s v="No"/>
    <x v="1"/>
    <x v="2"/>
    <n v="0"/>
  </r>
  <r>
    <n v="14807"/>
    <x v="0"/>
    <n v="5"/>
    <n v="445"/>
    <s v="No"/>
    <x v="1"/>
    <x v="3"/>
    <n v="0"/>
  </r>
  <r>
    <n v="15263"/>
    <x v="0"/>
    <n v="2"/>
    <n v="226"/>
    <s v="No"/>
    <x v="1"/>
    <x v="1"/>
    <n v="0"/>
  </r>
  <r>
    <n v="10424"/>
    <x v="0"/>
    <n v="2"/>
    <n v="315"/>
    <s v="No"/>
    <x v="0"/>
    <x v="0"/>
    <n v="0"/>
  </r>
  <r>
    <n v="19745"/>
    <x v="1"/>
    <n v="10"/>
    <n v="177"/>
    <s v="No"/>
    <x v="0"/>
    <x v="0"/>
    <n v="0"/>
  </r>
  <r>
    <n v="12758"/>
    <x v="1"/>
    <n v="1"/>
    <n v="64"/>
    <s v="No"/>
    <x v="0"/>
    <x v="3"/>
    <n v="0"/>
  </r>
  <r>
    <n v="14904"/>
    <x v="0"/>
    <n v="12"/>
    <n v="292"/>
    <s v="No"/>
    <x v="0"/>
    <x v="3"/>
    <n v="0"/>
  </r>
  <r>
    <n v="13164"/>
    <x v="1"/>
    <n v="14"/>
    <n v="152"/>
    <s v="No"/>
    <x v="1"/>
    <x v="0"/>
    <n v="0"/>
  </r>
  <r>
    <n v="14447"/>
    <x v="0"/>
    <n v="6"/>
    <n v="124"/>
    <s v="No"/>
    <x v="0"/>
    <x v="2"/>
    <n v="0"/>
  </r>
  <r>
    <n v="15837"/>
    <x v="1"/>
    <n v="4"/>
    <n v="399"/>
    <s v="No"/>
    <x v="0"/>
    <x v="1"/>
    <n v="0"/>
  </r>
  <r>
    <n v="11565"/>
    <x v="1"/>
    <n v="3"/>
    <n v="62"/>
    <s v="No"/>
    <x v="1"/>
    <x v="1"/>
    <n v="0"/>
  </r>
  <r>
    <n v="14306"/>
    <x v="1"/>
    <n v="4"/>
    <n v="279"/>
    <s v="No"/>
    <x v="0"/>
    <x v="0"/>
    <n v="0"/>
  </r>
  <r>
    <n v="10795"/>
    <x v="1"/>
    <n v="13"/>
    <n v="291"/>
    <s v="No"/>
    <x v="0"/>
    <x v="1"/>
    <n v="0"/>
  </r>
  <r>
    <n v="10429"/>
    <x v="0"/>
    <n v="4"/>
    <n v="112"/>
    <s v="No"/>
    <x v="1"/>
    <x v="2"/>
    <n v="0"/>
  </r>
  <r>
    <n v="13384"/>
    <x v="0"/>
    <n v="14"/>
    <n v="354"/>
    <s v="No"/>
    <x v="0"/>
    <x v="0"/>
    <n v="0"/>
  </r>
  <r>
    <n v="13381"/>
    <x v="0"/>
    <n v="12"/>
    <n v="186"/>
    <s v="No"/>
    <x v="1"/>
    <x v="1"/>
    <n v="0"/>
  </r>
  <r>
    <n v="16386"/>
    <x v="1"/>
    <n v="10"/>
    <n v="318"/>
    <s v="No"/>
    <x v="0"/>
    <x v="3"/>
    <n v="0"/>
  </r>
  <r>
    <n v="16627"/>
    <x v="0"/>
    <n v="6"/>
    <n v="85"/>
    <s v="Yes"/>
    <x v="1"/>
    <x v="0"/>
    <n v="1"/>
  </r>
  <r>
    <n v="18775"/>
    <x v="1"/>
    <n v="8"/>
    <n v="368"/>
    <s v="No"/>
    <x v="0"/>
    <x v="0"/>
    <n v="0"/>
  </r>
  <r>
    <n v="10698"/>
    <x v="1"/>
    <n v="5"/>
    <n v="254"/>
    <s v="No"/>
    <x v="0"/>
    <x v="1"/>
    <n v="0"/>
  </r>
  <r>
    <n v="12339"/>
    <x v="0"/>
    <n v="2"/>
    <n v="164"/>
    <s v="No"/>
    <x v="1"/>
    <x v="1"/>
    <n v="0"/>
  </r>
  <r>
    <n v="13661"/>
    <x v="0"/>
    <n v="6"/>
    <n v="448"/>
    <s v="No"/>
    <x v="0"/>
    <x v="2"/>
    <n v="0"/>
  </r>
  <r>
    <n v="19408"/>
    <x v="1"/>
    <n v="11"/>
    <n v="206"/>
    <s v="No"/>
    <x v="1"/>
    <x v="2"/>
    <n v="0"/>
  </r>
  <r>
    <n v="10476"/>
    <x v="1"/>
    <n v="6"/>
    <n v="233"/>
    <s v="No"/>
    <x v="1"/>
    <x v="0"/>
    <n v="0"/>
  </r>
  <r>
    <n v="14168"/>
    <x v="1"/>
    <n v="12"/>
    <n v="62"/>
    <s v="No"/>
    <x v="1"/>
    <x v="2"/>
    <n v="0"/>
  </r>
  <r>
    <n v="16154"/>
    <x v="0"/>
    <n v="9"/>
    <n v="393"/>
    <s v="No"/>
    <x v="1"/>
    <x v="0"/>
    <n v="0"/>
  </r>
  <r>
    <n v="12748"/>
    <x v="0"/>
    <n v="8"/>
    <n v="414"/>
    <s v="No"/>
    <x v="1"/>
    <x v="3"/>
    <n v="0"/>
  </r>
  <r>
    <n v="13162"/>
    <x v="1"/>
    <n v="7"/>
    <n v="350"/>
    <s v="No"/>
    <x v="1"/>
    <x v="0"/>
    <n v="0"/>
  </r>
  <r>
    <n v="12411"/>
    <x v="0"/>
    <n v="1"/>
    <n v="150"/>
    <s v="Yes"/>
    <x v="1"/>
    <x v="3"/>
    <n v="1"/>
  </r>
  <r>
    <n v="13425"/>
    <x v="0"/>
    <n v="14"/>
    <n v="398"/>
    <s v="No"/>
    <x v="1"/>
    <x v="1"/>
    <n v="0"/>
  </r>
  <r>
    <n v="10310"/>
    <x v="0"/>
    <n v="3"/>
    <n v="166"/>
    <s v="No"/>
    <x v="0"/>
    <x v="3"/>
    <n v="0"/>
  </r>
  <r>
    <n v="12624"/>
    <x v="1"/>
    <n v="13"/>
    <n v="361"/>
    <s v="No"/>
    <x v="0"/>
    <x v="0"/>
    <n v="0"/>
  </r>
  <r>
    <n v="13993"/>
    <x v="0"/>
    <n v="8"/>
    <n v="317"/>
    <s v="No"/>
    <x v="1"/>
    <x v="3"/>
    <n v="0"/>
  </r>
  <r>
    <n v="18572"/>
    <x v="0"/>
    <n v="12"/>
    <n v="90"/>
    <s v="Yes"/>
    <x v="1"/>
    <x v="0"/>
    <n v="1"/>
  </r>
  <r>
    <n v="12586"/>
    <x v="0"/>
    <n v="12"/>
    <n v="114"/>
    <s v="No"/>
    <x v="0"/>
    <x v="2"/>
    <n v="0"/>
  </r>
  <r>
    <n v="10938"/>
    <x v="0"/>
    <n v="14"/>
    <n v="380"/>
    <s v="No"/>
    <x v="0"/>
    <x v="3"/>
    <n v="0"/>
  </r>
  <r>
    <n v="17575"/>
    <x v="0"/>
    <n v="5"/>
    <n v="331"/>
    <s v="Yes"/>
    <x v="0"/>
    <x v="2"/>
    <n v="1"/>
  </r>
  <r>
    <n v="14521"/>
    <x v="1"/>
    <n v="1"/>
    <n v="92"/>
    <s v="No"/>
    <x v="1"/>
    <x v="0"/>
    <n v="0"/>
  </r>
  <r>
    <n v="13307"/>
    <x v="0"/>
    <n v="5"/>
    <n v="127"/>
    <s v="No"/>
    <x v="0"/>
    <x v="3"/>
    <n v="0"/>
  </r>
  <r>
    <n v="15418"/>
    <x v="0"/>
    <n v="4"/>
    <n v="256"/>
    <s v="No"/>
    <x v="1"/>
    <x v="3"/>
    <n v="0"/>
  </r>
  <r>
    <n v="11780"/>
    <x v="1"/>
    <n v="10"/>
    <n v="356"/>
    <s v="No"/>
    <x v="1"/>
    <x v="1"/>
    <n v="0"/>
  </r>
  <r>
    <n v="13123"/>
    <x v="0"/>
    <n v="3"/>
    <n v="252"/>
    <s v="No"/>
    <x v="0"/>
    <x v="0"/>
    <n v="0"/>
  </r>
  <r>
    <n v="15039"/>
    <x v="1"/>
    <n v="3"/>
    <n v="301"/>
    <s v="No"/>
    <x v="0"/>
    <x v="1"/>
    <n v="0"/>
  </r>
  <r>
    <n v="11355"/>
    <x v="1"/>
    <n v="9"/>
    <n v="374"/>
    <s v="No"/>
    <x v="1"/>
    <x v="0"/>
    <n v="0"/>
  </r>
  <r>
    <n v="11740"/>
    <x v="1"/>
    <n v="14"/>
    <n v="137"/>
    <s v="No"/>
    <x v="1"/>
    <x v="1"/>
    <n v="0"/>
  </r>
  <r>
    <n v="17232"/>
    <x v="1"/>
    <n v="10"/>
    <n v="388"/>
    <s v="No"/>
    <x v="1"/>
    <x v="3"/>
    <n v="0"/>
  </r>
  <r>
    <n v="11527"/>
    <x v="0"/>
    <n v="7"/>
    <n v="368"/>
    <s v="No"/>
    <x v="0"/>
    <x v="3"/>
    <n v="0"/>
  </r>
  <r>
    <n v="10771"/>
    <x v="1"/>
    <n v="6"/>
    <n v="217"/>
    <s v="No"/>
    <x v="0"/>
    <x v="2"/>
    <n v="0"/>
  </r>
  <r>
    <n v="14253"/>
    <x v="1"/>
    <n v="11"/>
    <n v="393"/>
    <s v="No"/>
    <x v="1"/>
    <x v="1"/>
    <n v="0"/>
  </r>
  <r>
    <n v="11919"/>
    <x v="0"/>
    <n v="1"/>
    <n v="264"/>
    <s v="No"/>
    <x v="1"/>
    <x v="2"/>
    <n v="0"/>
  </r>
  <r>
    <n v="16599"/>
    <x v="1"/>
    <n v="7"/>
    <n v="382"/>
    <s v="No"/>
    <x v="0"/>
    <x v="2"/>
    <n v="0"/>
  </r>
  <r>
    <n v="14595"/>
    <x v="0"/>
    <n v="7"/>
    <n v="108"/>
    <s v="No"/>
    <x v="0"/>
    <x v="1"/>
    <n v="0"/>
  </r>
  <r>
    <n v="19513"/>
    <x v="1"/>
    <n v="2"/>
    <n v="366"/>
    <s v="Yes"/>
    <x v="1"/>
    <x v="0"/>
    <n v="1"/>
  </r>
  <r>
    <n v="12655"/>
    <x v="1"/>
    <n v="9"/>
    <n v="347"/>
    <s v="No"/>
    <x v="0"/>
    <x v="0"/>
    <n v="0"/>
  </r>
  <r>
    <n v="12399"/>
    <x v="0"/>
    <n v="2"/>
    <n v="204"/>
    <s v="No"/>
    <x v="1"/>
    <x v="0"/>
    <n v="0"/>
  </r>
  <r>
    <n v="10433"/>
    <x v="1"/>
    <n v="1"/>
    <n v="243"/>
    <s v="No"/>
    <x v="0"/>
    <x v="2"/>
    <n v="0"/>
  </r>
  <r>
    <n v="13794"/>
    <x v="1"/>
    <n v="8"/>
    <n v="60"/>
    <s v="No"/>
    <x v="1"/>
    <x v="2"/>
    <n v="0"/>
  </r>
  <r>
    <n v="14725"/>
    <x v="1"/>
    <n v="10"/>
    <n v="243"/>
    <s v="No"/>
    <x v="1"/>
    <x v="3"/>
    <n v="0"/>
  </r>
  <r>
    <n v="14107"/>
    <x v="0"/>
    <n v="13"/>
    <n v="127"/>
    <s v="No"/>
    <x v="0"/>
    <x v="2"/>
    <n v="0"/>
  </r>
  <r>
    <n v="14665"/>
    <x v="0"/>
    <n v="9"/>
    <n v="245"/>
    <s v="No"/>
    <x v="0"/>
    <x v="1"/>
    <n v="0"/>
  </r>
  <r>
    <n v="15830"/>
    <x v="1"/>
    <n v="11"/>
    <n v="347"/>
    <s v="No"/>
    <x v="0"/>
    <x v="1"/>
    <n v="0"/>
  </r>
  <r>
    <n v="18181"/>
    <x v="0"/>
    <n v="3"/>
    <n v="351"/>
    <s v="Yes"/>
    <x v="0"/>
    <x v="2"/>
    <n v="1"/>
  </r>
  <r>
    <n v="19402"/>
    <x v="0"/>
    <n v="14"/>
    <n v="190"/>
    <s v="No"/>
    <x v="0"/>
    <x v="0"/>
    <n v="0"/>
  </r>
  <r>
    <n v="19216"/>
    <x v="0"/>
    <n v="14"/>
    <n v="301"/>
    <s v="Yes"/>
    <x v="0"/>
    <x v="0"/>
    <n v="1"/>
  </r>
  <r>
    <n v="15899"/>
    <x v="0"/>
    <n v="1"/>
    <n v="335"/>
    <s v="Yes"/>
    <x v="0"/>
    <x v="1"/>
    <n v="1"/>
  </r>
  <r>
    <n v="12940"/>
    <x v="1"/>
    <n v="1"/>
    <n v="439"/>
    <s v="No"/>
    <x v="1"/>
    <x v="1"/>
    <n v="0"/>
  </r>
  <r>
    <n v="13605"/>
    <x v="0"/>
    <n v="8"/>
    <n v="347"/>
    <s v="Yes"/>
    <x v="1"/>
    <x v="3"/>
    <n v="1"/>
  </r>
  <r>
    <n v="15150"/>
    <x v="1"/>
    <n v="10"/>
    <n v="404"/>
    <s v="No"/>
    <x v="1"/>
    <x v="2"/>
    <n v="0"/>
  </r>
  <r>
    <n v="18876"/>
    <x v="0"/>
    <n v="11"/>
    <n v="66"/>
    <s v="No"/>
    <x v="0"/>
    <x v="1"/>
    <n v="0"/>
  </r>
  <r>
    <n v="18274"/>
    <x v="0"/>
    <n v="13"/>
    <n v="81"/>
    <s v="No"/>
    <x v="0"/>
    <x v="3"/>
    <n v="0"/>
  </r>
  <r>
    <n v="15642"/>
    <x v="1"/>
    <n v="13"/>
    <n v="186"/>
    <s v="No"/>
    <x v="1"/>
    <x v="2"/>
    <n v="0"/>
  </r>
  <r>
    <n v="18290"/>
    <x v="1"/>
    <n v="10"/>
    <n v="84"/>
    <s v="No"/>
    <x v="1"/>
    <x v="1"/>
    <n v="0"/>
  </r>
  <r>
    <n v="15070"/>
    <x v="0"/>
    <n v="10"/>
    <n v="63"/>
    <s v="No"/>
    <x v="1"/>
    <x v="1"/>
    <n v="0"/>
  </r>
  <r>
    <n v="19031"/>
    <x v="0"/>
    <n v="5"/>
    <n v="217"/>
    <s v="No"/>
    <x v="0"/>
    <x v="1"/>
    <n v="0"/>
  </r>
  <r>
    <n v="13095"/>
    <x v="1"/>
    <n v="2"/>
    <n v="398"/>
    <s v="No"/>
    <x v="1"/>
    <x v="2"/>
    <n v="0"/>
  </r>
  <r>
    <n v="15781"/>
    <x v="0"/>
    <n v="11"/>
    <n v="261"/>
    <s v="No"/>
    <x v="0"/>
    <x v="0"/>
    <n v="0"/>
  </r>
  <r>
    <n v="19456"/>
    <x v="1"/>
    <n v="4"/>
    <n v="223"/>
    <s v="No"/>
    <x v="0"/>
    <x v="0"/>
    <n v="0"/>
  </r>
  <r>
    <n v="15054"/>
    <x v="0"/>
    <n v="2"/>
    <n v="81"/>
    <s v="No"/>
    <x v="0"/>
    <x v="1"/>
    <n v="0"/>
  </r>
  <r>
    <n v="17757"/>
    <x v="1"/>
    <n v="4"/>
    <n v="354"/>
    <s v="Yes"/>
    <x v="0"/>
    <x v="3"/>
    <n v="1"/>
  </r>
  <r>
    <n v="11691"/>
    <x v="1"/>
    <n v="12"/>
    <n v="160"/>
    <s v="No"/>
    <x v="1"/>
    <x v="2"/>
    <n v="0"/>
  </r>
  <r>
    <n v="17454"/>
    <x v="0"/>
    <n v="9"/>
    <n v="369"/>
    <s v="Yes"/>
    <x v="1"/>
    <x v="1"/>
    <n v="1"/>
  </r>
  <r>
    <n v="11068"/>
    <x v="0"/>
    <n v="2"/>
    <n v="93"/>
    <s v="No"/>
    <x v="1"/>
    <x v="0"/>
    <n v="0"/>
  </r>
  <r>
    <n v="17394"/>
    <x v="1"/>
    <n v="8"/>
    <n v="439"/>
    <s v="No"/>
    <x v="1"/>
    <x v="2"/>
    <n v="0"/>
  </r>
  <r>
    <n v="16941"/>
    <x v="1"/>
    <n v="4"/>
    <n v="222"/>
    <s v="No"/>
    <x v="1"/>
    <x v="0"/>
    <n v="0"/>
  </r>
  <r>
    <n v="12891"/>
    <x v="0"/>
    <n v="14"/>
    <n v="111"/>
    <s v="No"/>
    <x v="1"/>
    <x v="1"/>
    <n v="0"/>
  </r>
  <r>
    <n v="18170"/>
    <x v="1"/>
    <n v="4"/>
    <n v="308"/>
    <s v="No"/>
    <x v="0"/>
    <x v="1"/>
    <n v="0"/>
  </r>
  <r>
    <n v="11033"/>
    <x v="0"/>
    <n v="4"/>
    <n v="317"/>
    <s v="No"/>
    <x v="1"/>
    <x v="2"/>
    <n v="0"/>
  </r>
  <r>
    <n v="12963"/>
    <x v="0"/>
    <n v="3"/>
    <n v="395"/>
    <s v="No"/>
    <x v="0"/>
    <x v="3"/>
    <n v="0"/>
  </r>
  <r>
    <n v="13824"/>
    <x v="0"/>
    <n v="12"/>
    <n v="327"/>
    <s v="No"/>
    <x v="1"/>
    <x v="3"/>
    <n v="0"/>
  </r>
  <r>
    <n v="16173"/>
    <x v="0"/>
    <n v="11"/>
    <n v="320"/>
    <s v="No"/>
    <x v="1"/>
    <x v="1"/>
    <n v="0"/>
  </r>
  <r>
    <n v="19048"/>
    <x v="1"/>
    <n v="5"/>
    <n v="95"/>
    <s v="No"/>
    <x v="0"/>
    <x v="0"/>
    <n v="0"/>
  </r>
  <r>
    <n v="15462"/>
    <x v="1"/>
    <n v="7"/>
    <n v="304"/>
    <s v="No"/>
    <x v="0"/>
    <x v="3"/>
    <n v="0"/>
  </r>
  <r>
    <n v="15815"/>
    <x v="1"/>
    <n v="12"/>
    <n v="380"/>
    <s v="No"/>
    <x v="1"/>
    <x v="3"/>
    <n v="0"/>
  </r>
  <r>
    <n v="17684"/>
    <x v="1"/>
    <n v="9"/>
    <n v="72"/>
    <s v="No"/>
    <x v="1"/>
    <x v="3"/>
    <n v="0"/>
  </r>
  <r>
    <n v="16315"/>
    <x v="1"/>
    <n v="7"/>
    <n v="230"/>
    <s v="No"/>
    <x v="0"/>
    <x v="3"/>
    <n v="0"/>
  </r>
  <r>
    <n v="10371"/>
    <x v="0"/>
    <n v="10"/>
    <n v="91"/>
    <s v="No"/>
    <x v="1"/>
    <x v="0"/>
    <n v="0"/>
  </r>
  <r>
    <n v="14946"/>
    <x v="1"/>
    <n v="3"/>
    <n v="193"/>
    <s v="No"/>
    <x v="1"/>
    <x v="0"/>
    <n v="0"/>
  </r>
  <r>
    <n v="17112"/>
    <x v="0"/>
    <n v="12"/>
    <n v="300"/>
    <s v="No"/>
    <x v="1"/>
    <x v="3"/>
    <n v="0"/>
  </r>
  <r>
    <n v="13287"/>
    <x v="0"/>
    <n v="11"/>
    <n v="336"/>
    <s v="No"/>
    <x v="1"/>
    <x v="3"/>
    <n v="0"/>
  </r>
  <r>
    <n v="18792"/>
    <x v="0"/>
    <n v="9"/>
    <n v="275"/>
    <s v="No"/>
    <x v="1"/>
    <x v="2"/>
    <n v="0"/>
  </r>
  <r>
    <n v="18552"/>
    <x v="1"/>
    <n v="4"/>
    <n v="263"/>
    <s v="No"/>
    <x v="1"/>
    <x v="3"/>
    <n v="0"/>
  </r>
  <r>
    <n v="10441"/>
    <x v="1"/>
    <n v="7"/>
    <n v="325"/>
    <s v="No"/>
    <x v="1"/>
    <x v="0"/>
    <n v="0"/>
  </r>
  <r>
    <n v="11971"/>
    <x v="1"/>
    <n v="11"/>
    <n v="341"/>
    <s v="No"/>
    <x v="1"/>
    <x v="1"/>
    <n v="0"/>
  </r>
  <r>
    <n v="18013"/>
    <x v="1"/>
    <n v="6"/>
    <n v="88"/>
    <s v="No"/>
    <x v="0"/>
    <x v="2"/>
    <n v="0"/>
  </r>
  <r>
    <n v="14692"/>
    <x v="0"/>
    <n v="14"/>
    <n v="139"/>
    <s v="No"/>
    <x v="1"/>
    <x v="1"/>
    <n v="0"/>
  </r>
  <r>
    <n v="19640"/>
    <x v="0"/>
    <n v="9"/>
    <n v="259"/>
    <s v="Yes"/>
    <x v="0"/>
    <x v="0"/>
    <n v="1"/>
  </r>
  <r>
    <n v="18459"/>
    <x v="1"/>
    <n v="3"/>
    <n v="173"/>
    <s v="No"/>
    <x v="1"/>
    <x v="1"/>
    <n v="0"/>
  </r>
  <r>
    <n v="14551"/>
    <x v="1"/>
    <n v="12"/>
    <n v="81"/>
    <s v="No"/>
    <x v="0"/>
    <x v="1"/>
    <n v="0"/>
  </r>
  <r>
    <n v="16460"/>
    <x v="1"/>
    <n v="6"/>
    <n v="153"/>
    <s v="Yes"/>
    <x v="0"/>
    <x v="3"/>
    <n v="1"/>
  </r>
  <r>
    <n v="10592"/>
    <x v="0"/>
    <n v="10"/>
    <n v="165"/>
    <s v="No"/>
    <x v="1"/>
    <x v="1"/>
    <n v="0"/>
  </r>
  <r>
    <n v="13101"/>
    <x v="0"/>
    <n v="10"/>
    <n v="87"/>
    <s v="No"/>
    <x v="0"/>
    <x v="0"/>
    <n v="0"/>
  </r>
  <r>
    <n v="15179"/>
    <x v="1"/>
    <n v="3"/>
    <n v="441"/>
    <s v="Yes"/>
    <x v="1"/>
    <x v="2"/>
    <n v="1"/>
  </r>
  <r>
    <n v="19421"/>
    <x v="0"/>
    <n v="8"/>
    <n v="92"/>
    <s v="No"/>
    <x v="1"/>
    <x v="1"/>
    <n v="0"/>
  </r>
  <r>
    <n v="16228"/>
    <x v="1"/>
    <n v="9"/>
    <n v="102"/>
    <s v="No"/>
    <x v="1"/>
    <x v="3"/>
    <n v="0"/>
  </r>
  <r>
    <n v="17758"/>
    <x v="1"/>
    <n v="14"/>
    <n v="195"/>
    <s v="No"/>
    <x v="0"/>
    <x v="3"/>
    <n v="0"/>
  </r>
  <r>
    <n v="10084"/>
    <x v="0"/>
    <n v="8"/>
    <n v="150"/>
    <s v="No"/>
    <x v="1"/>
    <x v="2"/>
    <n v="0"/>
  </r>
  <r>
    <n v="19955"/>
    <x v="1"/>
    <n v="14"/>
    <n v="118"/>
    <s v="No"/>
    <x v="0"/>
    <x v="1"/>
    <n v="0"/>
  </r>
  <r>
    <n v="18664"/>
    <x v="0"/>
    <n v="5"/>
    <n v="237"/>
    <s v="No"/>
    <x v="1"/>
    <x v="3"/>
    <n v="0"/>
  </r>
  <r>
    <n v="16259"/>
    <x v="1"/>
    <n v="7"/>
    <n v="275"/>
    <s v="No"/>
    <x v="1"/>
    <x v="0"/>
    <n v="0"/>
  </r>
  <r>
    <n v="10579"/>
    <x v="0"/>
    <n v="6"/>
    <n v="125"/>
    <s v="No"/>
    <x v="1"/>
    <x v="0"/>
    <n v="0"/>
  </r>
  <r>
    <n v="11235"/>
    <x v="1"/>
    <n v="12"/>
    <n v="147"/>
    <s v="No"/>
    <x v="0"/>
    <x v="3"/>
    <n v="0"/>
  </r>
  <r>
    <n v="10402"/>
    <x v="1"/>
    <n v="1"/>
    <n v="269"/>
    <s v="No"/>
    <x v="1"/>
    <x v="0"/>
    <n v="0"/>
  </r>
  <r>
    <n v="16802"/>
    <x v="1"/>
    <n v="7"/>
    <n v="394"/>
    <s v="No"/>
    <x v="0"/>
    <x v="1"/>
    <n v="0"/>
  </r>
  <r>
    <n v="11918"/>
    <x v="0"/>
    <n v="6"/>
    <n v="325"/>
    <s v="No"/>
    <x v="0"/>
    <x v="3"/>
    <n v="0"/>
  </r>
  <r>
    <n v="17087"/>
    <x v="1"/>
    <n v="14"/>
    <n v="233"/>
    <s v="No"/>
    <x v="0"/>
    <x v="3"/>
    <n v="0"/>
  </r>
  <r>
    <n v="17821"/>
    <x v="1"/>
    <n v="11"/>
    <n v="273"/>
    <s v="No"/>
    <x v="1"/>
    <x v="3"/>
    <n v="0"/>
  </r>
  <r>
    <n v="16842"/>
    <x v="0"/>
    <n v="8"/>
    <n v="209"/>
    <s v="No"/>
    <x v="0"/>
    <x v="2"/>
    <n v="0"/>
  </r>
  <r>
    <n v="15855"/>
    <x v="1"/>
    <n v="5"/>
    <n v="230"/>
    <s v="No"/>
    <x v="1"/>
    <x v="1"/>
    <n v="0"/>
  </r>
  <r>
    <n v="10682"/>
    <x v="0"/>
    <n v="7"/>
    <n v="215"/>
    <s v="No"/>
    <x v="0"/>
    <x v="1"/>
    <n v="0"/>
  </r>
  <r>
    <n v="11911"/>
    <x v="0"/>
    <n v="11"/>
    <n v="107"/>
    <s v="No"/>
    <x v="0"/>
    <x v="2"/>
    <n v="0"/>
  </r>
  <r>
    <n v="13007"/>
    <x v="1"/>
    <n v="7"/>
    <n v="425"/>
    <s v="No"/>
    <x v="0"/>
    <x v="3"/>
    <n v="0"/>
  </r>
  <r>
    <n v="12224"/>
    <x v="0"/>
    <n v="14"/>
    <n v="102"/>
    <s v="No"/>
    <x v="1"/>
    <x v="1"/>
    <n v="0"/>
  </r>
  <r>
    <n v="18678"/>
    <x v="0"/>
    <n v="4"/>
    <n v="50"/>
    <s v="No"/>
    <x v="0"/>
    <x v="3"/>
    <n v="0"/>
  </r>
  <r>
    <n v="15022"/>
    <x v="0"/>
    <n v="4"/>
    <n v="316"/>
    <s v="No"/>
    <x v="1"/>
    <x v="1"/>
    <n v="0"/>
  </r>
  <r>
    <n v="16547"/>
    <x v="1"/>
    <n v="11"/>
    <n v="251"/>
    <s v="No"/>
    <x v="0"/>
    <x v="1"/>
    <n v="0"/>
  </r>
  <r>
    <n v="13068"/>
    <x v="1"/>
    <n v="4"/>
    <n v="280"/>
    <s v="No"/>
    <x v="0"/>
    <x v="0"/>
    <n v="0"/>
  </r>
  <r>
    <n v="12357"/>
    <x v="1"/>
    <n v="2"/>
    <n v="225"/>
    <s v="Yes"/>
    <x v="0"/>
    <x v="2"/>
    <n v="1"/>
  </r>
  <r>
    <n v="14390"/>
    <x v="0"/>
    <n v="9"/>
    <n v="45"/>
    <s v="No"/>
    <x v="1"/>
    <x v="3"/>
    <n v="0"/>
  </r>
  <r>
    <n v="10708"/>
    <x v="0"/>
    <n v="10"/>
    <n v="202"/>
    <s v="No"/>
    <x v="1"/>
    <x v="2"/>
    <n v="0"/>
  </r>
  <r>
    <n v="19433"/>
    <x v="1"/>
    <n v="10"/>
    <n v="330"/>
    <s v="Yes"/>
    <x v="0"/>
    <x v="3"/>
    <n v="1"/>
  </r>
  <r>
    <n v="16740"/>
    <x v="0"/>
    <n v="2"/>
    <n v="95"/>
    <s v="No"/>
    <x v="1"/>
    <x v="3"/>
    <n v="0"/>
  </r>
  <r>
    <n v="13484"/>
    <x v="0"/>
    <n v="13"/>
    <n v="81"/>
    <s v="No"/>
    <x v="0"/>
    <x v="3"/>
    <n v="0"/>
  </r>
  <r>
    <n v="17390"/>
    <x v="0"/>
    <n v="2"/>
    <n v="302"/>
    <s v="No"/>
    <x v="0"/>
    <x v="3"/>
    <n v="0"/>
  </r>
  <r>
    <n v="14265"/>
    <x v="1"/>
    <n v="6"/>
    <n v="210"/>
    <s v="No"/>
    <x v="1"/>
    <x v="1"/>
    <n v="0"/>
  </r>
  <r>
    <n v="18899"/>
    <x v="0"/>
    <n v="13"/>
    <n v="340"/>
    <s v="No"/>
    <x v="1"/>
    <x v="0"/>
    <n v="0"/>
  </r>
  <r>
    <n v="19268"/>
    <x v="1"/>
    <n v="9"/>
    <n v="246"/>
    <s v="No"/>
    <x v="1"/>
    <x v="2"/>
    <n v="0"/>
  </r>
  <r>
    <n v="13218"/>
    <x v="0"/>
    <n v="8"/>
    <n v="323"/>
    <s v="Yes"/>
    <x v="0"/>
    <x v="1"/>
    <n v="1"/>
  </r>
  <r>
    <n v="14246"/>
    <x v="1"/>
    <n v="1"/>
    <n v="263"/>
    <s v="No"/>
    <x v="1"/>
    <x v="2"/>
    <n v="0"/>
  </r>
  <r>
    <n v="19240"/>
    <x v="0"/>
    <n v="8"/>
    <n v="49"/>
    <s v="No"/>
    <x v="0"/>
    <x v="1"/>
    <n v="0"/>
  </r>
  <r>
    <n v="10821"/>
    <x v="0"/>
    <n v="3"/>
    <n v="164"/>
    <s v="No"/>
    <x v="1"/>
    <x v="1"/>
    <n v="0"/>
  </r>
  <r>
    <n v="11057"/>
    <x v="1"/>
    <n v="1"/>
    <n v="75"/>
    <s v="No"/>
    <x v="1"/>
    <x v="3"/>
    <n v="0"/>
  </r>
  <r>
    <n v="15857"/>
    <x v="1"/>
    <n v="11"/>
    <n v="418"/>
    <s v="No"/>
    <x v="1"/>
    <x v="2"/>
    <n v="0"/>
  </r>
  <r>
    <n v="19254"/>
    <x v="0"/>
    <n v="14"/>
    <n v="216"/>
    <s v="Yes"/>
    <x v="1"/>
    <x v="3"/>
    <n v="1"/>
  </r>
  <r>
    <n v="14070"/>
    <x v="0"/>
    <n v="5"/>
    <n v="375"/>
    <s v="No"/>
    <x v="0"/>
    <x v="2"/>
    <n v="0"/>
  </r>
  <r>
    <n v="11975"/>
    <x v="0"/>
    <n v="5"/>
    <n v="43"/>
    <s v="No"/>
    <x v="1"/>
    <x v="2"/>
    <n v="0"/>
  </r>
  <r>
    <n v="18080"/>
    <x v="1"/>
    <n v="7"/>
    <n v="317"/>
    <s v="No"/>
    <x v="0"/>
    <x v="0"/>
    <n v="0"/>
  </r>
  <r>
    <n v="16672"/>
    <x v="1"/>
    <n v="6"/>
    <n v="213"/>
    <s v="Yes"/>
    <x v="1"/>
    <x v="1"/>
    <n v="1"/>
  </r>
  <r>
    <n v="12632"/>
    <x v="1"/>
    <n v="10"/>
    <n v="293"/>
    <s v="No"/>
    <x v="0"/>
    <x v="1"/>
    <n v="0"/>
  </r>
  <r>
    <n v="12810"/>
    <x v="1"/>
    <n v="9"/>
    <n v="179"/>
    <s v="No"/>
    <x v="0"/>
    <x v="3"/>
    <n v="0"/>
  </r>
  <r>
    <n v="13787"/>
    <x v="0"/>
    <n v="6"/>
    <n v="96"/>
    <s v="No"/>
    <x v="1"/>
    <x v="0"/>
    <n v="0"/>
  </r>
  <r>
    <n v="18237"/>
    <x v="0"/>
    <n v="1"/>
    <n v="242"/>
    <s v="Yes"/>
    <x v="1"/>
    <x v="1"/>
    <n v="1"/>
  </r>
  <r>
    <n v="15416"/>
    <x v="0"/>
    <n v="8"/>
    <n v="195"/>
    <s v="No"/>
    <x v="0"/>
    <x v="0"/>
    <n v="0"/>
  </r>
  <r>
    <n v="14237"/>
    <x v="0"/>
    <n v="2"/>
    <n v="185"/>
    <s v="No"/>
    <x v="1"/>
    <x v="1"/>
    <n v="0"/>
  </r>
  <r>
    <n v="17024"/>
    <x v="1"/>
    <n v="14"/>
    <n v="276"/>
    <s v="No"/>
    <x v="1"/>
    <x v="2"/>
    <n v="0"/>
  </r>
  <r>
    <n v="19025"/>
    <x v="0"/>
    <n v="10"/>
    <n v="89"/>
    <s v="No"/>
    <x v="0"/>
    <x v="0"/>
    <n v="0"/>
  </r>
  <r>
    <n v="11528"/>
    <x v="0"/>
    <n v="7"/>
    <n v="131"/>
    <s v="Yes"/>
    <x v="1"/>
    <x v="3"/>
    <n v="1"/>
  </r>
  <r>
    <n v="15072"/>
    <x v="0"/>
    <n v="8"/>
    <n v="128"/>
    <s v="No"/>
    <x v="1"/>
    <x v="3"/>
    <n v="0"/>
  </r>
  <r>
    <n v="19912"/>
    <x v="1"/>
    <n v="12"/>
    <n v="422"/>
    <s v="No"/>
    <x v="1"/>
    <x v="2"/>
    <n v="0"/>
  </r>
  <r>
    <n v="17548"/>
    <x v="1"/>
    <n v="11"/>
    <n v="416"/>
    <s v="No"/>
    <x v="1"/>
    <x v="3"/>
    <n v="0"/>
  </r>
  <r>
    <n v="11348"/>
    <x v="1"/>
    <n v="4"/>
    <n v="238"/>
    <s v="No"/>
    <x v="0"/>
    <x v="3"/>
    <n v="0"/>
  </r>
  <r>
    <n v="16418"/>
    <x v="1"/>
    <n v="5"/>
    <n v="337"/>
    <s v="No"/>
    <x v="1"/>
    <x v="2"/>
    <n v="0"/>
  </r>
  <r>
    <n v="15719"/>
    <x v="1"/>
    <n v="3"/>
    <n v="129"/>
    <s v="No"/>
    <x v="0"/>
    <x v="3"/>
    <n v="0"/>
  </r>
  <r>
    <n v="15972"/>
    <x v="0"/>
    <n v="11"/>
    <n v="314"/>
    <s v="No"/>
    <x v="1"/>
    <x v="3"/>
    <n v="0"/>
  </r>
  <r>
    <n v="18023"/>
    <x v="1"/>
    <n v="2"/>
    <n v="429"/>
    <s v="No"/>
    <x v="1"/>
    <x v="0"/>
    <n v="0"/>
  </r>
  <r>
    <n v="17245"/>
    <x v="1"/>
    <n v="9"/>
    <n v="286"/>
    <s v="Yes"/>
    <x v="1"/>
    <x v="2"/>
    <n v="1"/>
  </r>
  <r>
    <n v="12659"/>
    <x v="1"/>
    <n v="9"/>
    <n v="87"/>
    <s v="No"/>
    <x v="0"/>
    <x v="2"/>
    <n v="0"/>
  </r>
  <r>
    <n v="12787"/>
    <x v="0"/>
    <n v="8"/>
    <n v="342"/>
    <s v="No"/>
    <x v="1"/>
    <x v="1"/>
    <n v="0"/>
  </r>
  <r>
    <n v="17682"/>
    <x v="0"/>
    <n v="11"/>
    <n v="51"/>
    <s v="No"/>
    <x v="1"/>
    <x v="3"/>
    <n v="0"/>
  </r>
  <r>
    <n v="12327"/>
    <x v="0"/>
    <n v="10"/>
    <n v="133"/>
    <s v="No"/>
    <x v="0"/>
    <x v="3"/>
    <n v="0"/>
  </r>
  <r>
    <n v="12784"/>
    <x v="1"/>
    <n v="6"/>
    <n v="244"/>
    <s v="No"/>
    <x v="1"/>
    <x v="0"/>
    <n v="0"/>
  </r>
  <r>
    <n v="10146"/>
    <x v="0"/>
    <n v="4"/>
    <n v="61"/>
    <s v="No"/>
    <x v="0"/>
    <x v="1"/>
    <n v="0"/>
  </r>
  <r>
    <n v="10192"/>
    <x v="1"/>
    <n v="8"/>
    <n v="54"/>
    <s v="No"/>
    <x v="0"/>
    <x v="2"/>
    <n v="0"/>
  </r>
  <r>
    <n v="12243"/>
    <x v="1"/>
    <n v="14"/>
    <n v="364"/>
    <s v="No"/>
    <x v="0"/>
    <x v="0"/>
    <n v="0"/>
  </r>
  <r>
    <n v="11269"/>
    <x v="0"/>
    <n v="12"/>
    <n v="105"/>
    <s v="No"/>
    <x v="1"/>
    <x v="2"/>
    <n v="0"/>
  </r>
  <r>
    <n v="18714"/>
    <x v="0"/>
    <n v="9"/>
    <n v="220"/>
    <s v="No"/>
    <x v="0"/>
    <x v="1"/>
    <n v="0"/>
  </r>
  <r>
    <n v="12161"/>
    <x v="0"/>
    <n v="14"/>
    <n v="321"/>
    <s v="No"/>
    <x v="0"/>
    <x v="3"/>
    <n v="0"/>
  </r>
  <r>
    <n v="13575"/>
    <x v="1"/>
    <n v="9"/>
    <n v="88"/>
    <s v="No"/>
    <x v="1"/>
    <x v="2"/>
    <n v="0"/>
  </r>
  <r>
    <n v="10575"/>
    <x v="1"/>
    <n v="13"/>
    <n v="83"/>
    <s v="No"/>
    <x v="1"/>
    <x v="1"/>
    <n v="0"/>
  </r>
  <r>
    <n v="13421"/>
    <x v="0"/>
    <n v="8"/>
    <n v="220"/>
    <s v="No"/>
    <x v="0"/>
    <x v="2"/>
    <n v="0"/>
  </r>
  <r>
    <n v="18260"/>
    <x v="1"/>
    <n v="10"/>
    <n v="375"/>
    <s v="No"/>
    <x v="1"/>
    <x v="0"/>
    <n v="0"/>
  </r>
  <r>
    <n v="15119"/>
    <x v="1"/>
    <n v="14"/>
    <n v="296"/>
    <s v="No"/>
    <x v="0"/>
    <x v="1"/>
    <n v="0"/>
  </r>
  <r>
    <n v="10793"/>
    <x v="0"/>
    <n v="5"/>
    <n v="342"/>
    <s v="No"/>
    <x v="1"/>
    <x v="1"/>
    <n v="0"/>
  </r>
  <r>
    <n v="19620"/>
    <x v="1"/>
    <n v="1"/>
    <n v="238"/>
    <s v="No"/>
    <x v="1"/>
    <x v="0"/>
    <n v="0"/>
  </r>
  <r>
    <n v="18977"/>
    <x v="0"/>
    <n v="10"/>
    <n v="427"/>
    <s v="No"/>
    <x v="1"/>
    <x v="2"/>
    <n v="0"/>
  </r>
  <r>
    <n v="13606"/>
    <x v="1"/>
    <n v="3"/>
    <n v="143"/>
    <s v="No"/>
    <x v="0"/>
    <x v="1"/>
    <n v="0"/>
  </r>
  <r>
    <n v="19669"/>
    <x v="1"/>
    <n v="6"/>
    <n v="336"/>
    <s v="No"/>
    <x v="0"/>
    <x v="0"/>
    <n v="0"/>
  </r>
  <r>
    <n v="18955"/>
    <x v="1"/>
    <n v="1"/>
    <n v="46"/>
    <s v="No"/>
    <x v="0"/>
    <x v="3"/>
    <n v="0"/>
  </r>
  <r>
    <n v="14146"/>
    <x v="0"/>
    <n v="5"/>
    <n v="97"/>
    <s v="No"/>
    <x v="0"/>
    <x v="0"/>
    <n v="0"/>
  </r>
  <r>
    <n v="16911"/>
    <x v="1"/>
    <n v="11"/>
    <n v="111"/>
    <s v="No"/>
    <x v="1"/>
    <x v="1"/>
    <n v="0"/>
  </r>
  <r>
    <n v="14040"/>
    <x v="0"/>
    <n v="1"/>
    <n v="41"/>
    <s v="Yes"/>
    <x v="1"/>
    <x v="1"/>
    <n v="1"/>
  </r>
  <r>
    <n v="12241"/>
    <x v="0"/>
    <n v="12"/>
    <n v="124"/>
    <s v="No"/>
    <x v="1"/>
    <x v="3"/>
    <n v="0"/>
  </r>
  <r>
    <n v="12713"/>
    <x v="1"/>
    <n v="4"/>
    <n v="410"/>
    <s v="No"/>
    <x v="0"/>
    <x v="1"/>
    <n v="0"/>
  </r>
  <r>
    <n v="11936"/>
    <x v="0"/>
    <n v="14"/>
    <n v="214"/>
    <s v="Yes"/>
    <x v="0"/>
    <x v="0"/>
    <n v="1"/>
  </r>
  <r>
    <n v="17968"/>
    <x v="0"/>
    <n v="8"/>
    <n v="82"/>
    <s v="No"/>
    <x v="1"/>
    <x v="1"/>
    <n v="0"/>
  </r>
  <r>
    <n v="12684"/>
    <x v="0"/>
    <n v="8"/>
    <n v="347"/>
    <s v="No"/>
    <x v="0"/>
    <x v="3"/>
    <n v="0"/>
  </r>
  <r>
    <n v="12246"/>
    <x v="0"/>
    <n v="5"/>
    <n v="448"/>
    <s v="No"/>
    <x v="0"/>
    <x v="0"/>
    <n v="0"/>
  </r>
  <r>
    <n v="16990"/>
    <x v="1"/>
    <n v="8"/>
    <n v="292"/>
    <s v="No"/>
    <x v="1"/>
    <x v="0"/>
    <n v="0"/>
  </r>
  <r>
    <n v="12770"/>
    <x v="1"/>
    <n v="1"/>
    <n v="359"/>
    <s v="No"/>
    <x v="0"/>
    <x v="3"/>
    <n v="0"/>
  </r>
  <r>
    <n v="16506"/>
    <x v="1"/>
    <n v="9"/>
    <n v="167"/>
    <s v="No"/>
    <x v="1"/>
    <x v="1"/>
    <n v="0"/>
  </r>
  <r>
    <n v="13548"/>
    <x v="0"/>
    <n v="13"/>
    <n v="132"/>
    <s v="No"/>
    <x v="0"/>
    <x v="3"/>
    <n v="0"/>
  </r>
  <r>
    <n v="16484"/>
    <x v="0"/>
    <n v="5"/>
    <n v="171"/>
    <s v="Yes"/>
    <x v="0"/>
    <x v="2"/>
    <n v="1"/>
  </r>
  <r>
    <n v="15673"/>
    <x v="1"/>
    <n v="5"/>
    <n v="258"/>
    <s v="No"/>
    <x v="1"/>
    <x v="1"/>
    <n v="0"/>
  </r>
  <r>
    <n v="12889"/>
    <x v="1"/>
    <n v="2"/>
    <n v="327"/>
    <s v="No"/>
    <x v="0"/>
    <x v="0"/>
    <n v="0"/>
  </r>
  <r>
    <n v="19382"/>
    <x v="0"/>
    <n v="2"/>
    <n v="371"/>
    <s v="No"/>
    <x v="1"/>
    <x v="3"/>
    <n v="0"/>
  </r>
  <r>
    <n v="17918"/>
    <x v="0"/>
    <n v="1"/>
    <n v="326"/>
    <s v="Yes"/>
    <x v="0"/>
    <x v="0"/>
    <n v="1"/>
  </r>
  <r>
    <n v="16295"/>
    <x v="0"/>
    <n v="7"/>
    <n v="322"/>
    <s v="No"/>
    <x v="1"/>
    <x v="1"/>
    <n v="0"/>
  </r>
  <r>
    <n v="11207"/>
    <x v="1"/>
    <n v="8"/>
    <n v="416"/>
    <s v="No"/>
    <x v="1"/>
    <x v="3"/>
    <n v="0"/>
  </r>
  <r>
    <n v="10092"/>
    <x v="1"/>
    <n v="4"/>
    <n v="378"/>
    <s v="No"/>
    <x v="0"/>
    <x v="1"/>
    <n v="0"/>
  </r>
  <r>
    <n v="15587"/>
    <x v="1"/>
    <n v="7"/>
    <n v="386"/>
    <s v="No"/>
    <x v="0"/>
    <x v="3"/>
    <n v="0"/>
  </r>
  <r>
    <n v="11899"/>
    <x v="1"/>
    <n v="13"/>
    <n v="350"/>
    <s v="No"/>
    <x v="0"/>
    <x v="2"/>
    <n v="0"/>
  </r>
  <r>
    <n v="14381"/>
    <x v="0"/>
    <n v="8"/>
    <n v="154"/>
    <s v="No"/>
    <x v="1"/>
    <x v="1"/>
    <n v="0"/>
  </r>
  <r>
    <n v="12480"/>
    <x v="1"/>
    <n v="11"/>
    <n v="142"/>
    <s v="No"/>
    <x v="0"/>
    <x v="3"/>
    <n v="0"/>
  </r>
  <r>
    <n v="11241"/>
    <x v="0"/>
    <n v="9"/>
    <n v="118"/>
    <s v="No"/>
    <x v="1"/>
    <x v="1"/>
    <n v="0"/>
  </r>
  <r>
    <n v="18558"/>
    <x v="0"/>
    <n v="1"/>
    <n v="394"/>
    <s v="No"/>
    <x v="1"/>
    <x v="1"/>
    <n v="0"/>
  </r>
  <r>
    <n v="13428"/>
    <x v="1"/>
    <n v="14"/>
    <n v="318"/>
    <s v="No"/>
    <x v="0"/>
    <x v="2"/>
    <n v="0"/>
  </r>
  <r>
    <n v="14067"/>
    <x v="1"/>
    <n v="2"/>
    <n v="183"/>
    <s v="No"/>
    <x v="1"/>
    <x v="2"/>
    <n v="0"/>
  </r>
  <r>
    <n v="11323"/>
    <x v="1"/>
    <n v="7"/>
    <n v="381"/>
    <s v="No"/>
    <x v="0"/>
    <x v="3"/>
    <n v="0"/>
  </r>
  <r>
    <n v="11054"/>
    <x v="0"/>
    <n v="10"/>
    <n v="375"/>
    <s v="No"/>
    <x v="0"/>
    <x v="2"/>
    <n v="0"/>
  </r>
  <r>
    <n v="10962"/>
    <x v="1"/>
    <n v="6"/>
    <n v="62"/>
    <s v="No"/>
    <x v="0"/>
    <x v="2"/>
    <n v="0"/>
  </r>
  <r>
    <n v="11881"/>
    <x v="0"/>
    <n v="12"/>
    <n v="413"/>
    <s v="No"/>
    <x v="0"/>
    <x v="2"/>
    <n v="0"/>
  </r>
  <r>
    <n v="17995"/>
    <x v="0"/>
    <n v="6"/>
    <n v="81"/>
    <s v="No"/>
    <x v="0"/>
    <x v="2"/>
    <n v="0"/>
  </r>
  <r>
    <n v="16768"/>
    <x v="0"/>
    <n v="14"/>
    <n v="314"/>
    <s v="No"/>
    <x v="0"/>
    <x v="0"/>
    <n v="0"/>
  </r>
  <r>
    <n v="18191"/>
    <x v="1"/>
    <n v="14"/>
    <n v="198"/>
    <s v="No"/>
    <x v="1"/>
    <x v="3"/>
    <n v="0"/>
  </r>
  <r>
    <n v="18086"/>
    <x v="0"/>
    <n v="12"/>
    <n v="122"/>
    <s v="No"/>
    <x v="1"/>
    <x v="3"/>
    <n v="0"/>
  </r>
  <r>
    <n v="14589"/>
    <x v="0"/>
    <n v="11"/>
    <n v="266"/>
    <s v="No"/>
    <x v="0"/>
    <x v="0"/>
    <n v="0"/>
  </r>
  <r>
    <n v="17013"/>
    <x v="1"/>
    <n v="8"/>
    <n v="411"/>
    <s v="No"/>
    <x v="1"/>
    <x v="1"/>
    <n v="0"/>
  </r>
  <r>
    <n v="10913"/>
    <x v="1"/>
    <n v="12"/>
    <n v="41"/>
    <s v="No"/>
    <x v="0"/>
    <x v="2"/>
    <n v="0"/>
  </r>
  <r>
    <n v="13991"/>
    <x v="0"/>
    <n v="1"/>
    <n v="257"/>
    <s v="No"/>
    <x v="1"/>
    <x v="1"/>
    <n v="0"/>
  </r>
  <r>
    <n v="17829"/>
    <x v="0"/>
    <n v="4"/>
    <n v="106"/>
    <s v="No"/>
    <x v="1"/>
    <x v="3"/>
    <n v="0"/>
  </r>
  <r>
    <n v="13232"/>
    <x v="0"/>
    <n v="14"/>
    <n v="142"/>
    <s v="No"/>
    <x v="1"/>
    <x v="0"/>
    <n v="0"/>
  </r>
  <r>
    <n v="14996"/>
    <x v="1"/>
    <n v="12"/>
    <n v="397"/>
    <s v="No"/>
    <x v="1"/>
    <x v="3"/>
    <n v="0"/>
  </r>
  <r>
    <n v="15407"/>
    <x v="1"/>
    <n v="2"/>
    <n v="235"/>
    <s v="Yes"/>
    <x v="1"/>
    <x v="2"/>
    <n v="1"/>
  </r>
  <r>
    <n v="12514"/>
    <x v="1"/>
    <n v="14"/>
    <n v="181"/>
    <s v="No"/>
    <x v="0"/>
    <x v="1"/>
    <n v="0"/>
  </r>
  <r>
    <n v="18303"/>
    <x v="1"/>
    <n v="9"/>
    <n v="217"/>
    <s v="No"/>
    <x v="0"/>
    <x v="2"/>
    <n v="0"/>
  </r>
  <r>
    <n v="19954"/>
    <x v="1"/>
    <n v="4"/>
    <n v="254"/>
    <s v="No"/>
    <x v="0"/>
    <x v="3"/>
    <n v="0"/>
  </r>
  <r>
    <n v="15929"/>
    <x v="1"/>
    <n v="8"/>
    <n v="52"/>
    <s v="No"/>
    <x v="1"/>
    <x v="3"/>
    <n v="0"/>
  </r>
  <r>
    <n v="11454"/>
    <x v="0"/>
    <n v="13"/>
    <n v="222"/>
    <s v="No"/>
    <x v="1"/>
    <x v="3"/>
    <n v="0"/>
  </r>
  <r>
    <n v="17299"/>
    <x v="1"/>
    <n v="5"/>
    <n v="315"/>
    <s v="No"/>
    <x v="1"/>
    <x v="0"/>
    <n v="0"/>
  </r>
  <r>
    <n v="17422"/>
    <x v="1"/>
    <n v="6"/>
    <n v="99"/>
    <s v="No"/>
    <x v="0"/>
    <x v="3"/>
    <n v="0"/>
  </r>
  <r>
    <n v="13369"/>
    <x v="0"/>
    <n v="13"/>
    <n v="49"/>
    <s v="No"/>
    <x v="0"/>
    <x v="2"/>
    <n v="0"/>
  </r>
  <r>
    <n v="15117"/>
    <x v="1"/>
    <n v="14"/>
    <n v="131"/>
    <s v="No"/>
    <x v="1"/>
    <x v="2"/>
    <n v="0"/>
  </r>
  <r>
    <n v="16691"/>
    <x v="1"/>
    <n v="4"/>
    <n v="255"/>
    <s v="Yes"/>
    <x v="1"/>
    <x v="0"/>
    <n v="1"/>
  </r>
  <r>
    <n v="19002"/>
    <x v="0"/>
    <n v="1"/>
    <n v="193"/>
    <s v="No"/>
    <x v="1"/>
    <x v="1"/>
    <n v="0"/>
  </r>
  <r>
    <n v="17697"/>
    <x v="0"/>
    <n v="13"/>
    <n v="81"/>
    <s v="No"/>
    <x v="0"/>
    <x v="2"/>
    <n v="0"/>
  </r>
  <r>
    <n v="10537"/>
    <x v="0"/>
    <n v="12"/>
    <n v="438"/>
    <s v="No"/>
    <x v="1"/>
    <x v="2"/>
    <n v="0"/>
  </r>
  <r>
    <n v="11364"/>
    <x v="0"/>
    <n v="3"/>
    <n v="209"/>
    <s v="No"/>
    <x v="1"/>
    <x v="1"/>
    <n v="0"/>
  </r>
  <r>
    <n v="13370"/>
    <x v="0"/>
    <n v="12"/>
    <n v="213"/>
    <s v="No"/>
    <x v="0"/>
    <x v="3"/>
    <n v="0"/>
  </r>
  <r>
    <n v="18410"/>
    <x v="1"/>
    <n v="4"/>
    <n v="355"/>
    <s v="No"/>
    <x v="0"/>
    <x v="0"/>
    <n v="0"/>
  </r>
  <r>
    <n v="16923"/>
    <x v="1"/>
    <n v="7"/>
    <n v="49"/>
    <s v="No"/>
    <x v="1"/>
    <x v="0"/>
    <n v="0"/>
  </r>
  <r>
    <n v="19441"/>
    <x v="1"/>
    <n v="2"/>
    <n v="98"/>
    <s v="No"/>
    <x v="0"/>
    <x v="2"/>
    <n v="0"/>
  </r>
  <r>
    <n v="13660"/>
    <x v="1"/>
    <n v="4"/>
    <n v="124"/>
    <s v="No"/>
    <x v="1"/>
    <x v="1"/>
    <n v="0"/>
  </r>
  <r>
    <n v="14284"/>
    <x v="1"/>
    <n v="11"/>
    <n v="399"/>
    <s v="No"/>
    <x v="0"/>
    <x v="1"/>
    <n v="0"/>
  </r>
  <r>
    <n v="12680"/>
    <x v="1"/>
    <n v="12"/>
    <n v="232"/>
    <s v="No"/>
    <x v="1"/>
    <x v="3"/>
    <n v="0"/>
  </r>
  <r>
    <n v="12113"/>
    <x v="0"/>
    <n v="2"/>
    <n v="412"/>
    <s v="No"/>
    <x v="1"/>
    <x v="1"/>
    <n v="0"/>
  </r>
  <r>
    <n v="13656"/>
    <x v="0"/>
    <n v="1"/>
    <n v="304"/>
    <s v="No"/>
    <x v="1"/>
    <x v="0"/>
    <n v="0"/>
  </r>
  <r>
    <n v="12534"/>
    <x v="0"/>
    <n v="11"/>
    <n v="336"/>
    <s v="No"/>
    <x v="1"/>
    <x v="0"/>
    <n v="0"/>
  </r>
  <r>
    <n v="13646"/>
    <x v="1"/>
    <n v="5"/>
    <n v="106"/>
    <s v="No"/>
    <x v="1"/>
    <x v="2"/>
    <n v="0"/>
  </r>
  <r>
    <n v="12266"/>
    <x v="1"/>
    <n v="5"/>
    <n v="223"/>
    <s v="No"/>
    <x v="0"/>
    <x v="2"/>
    <n v="0"/>
  </r>
  <r>
    <n v="19766"/>
    <x v="0"/>
    <n v="6"/>
    <n v="364"/>
    <s v="No"/>
    <x v="1"/>
    <x v="2"/>
    <n v="0"/>
  </r>
  <r>
    <n v="15251"/>
    <x v="0"/>
    <n v="11"/>
    <n v="59"/>
    <s v="No"/>
    <x v="0"/>
    <x v="2"/>
    <n v="0"/>
  </r>
  <r>
    <n v="11976"/>
    <x v="0"/>
    <n v="13"/>
    <n v="214"/>
    <s v="No"/>
    <x v="1"/>
    <x v="0"/>
    <n v="0"/>
  </r>
  <r>
    <n v="16183"/>
    <x v="0"/>
    <n v="5"/>
    <n v="46"/>
    <s v="No"/>
    <x v="0"/>
    <x v="1"/>
    <n v="0"/>
  </r>
  <r>
    <n v="12916"/>
    <x v="1"/>
    <n v="9"/>
    <n v="87"/>
    <s v="No"/>
    <x v="1"/>
    <x v="2"/>
    <n v="0"/>
  </r>
  <r>
    <n v="19171"/>
    <x v="1"/>
    <n v="2"/>
    <n v="348"/>
    <s v="Yes"/>
    <x v="1"/>
    <x v="1"/>
    <n v="1"/>
  </r>
  <r>
    <n v="12262"/>
    <x v="1"/>
    <n v="9"/>
    <n v="302"/>
    <s v="No"/>
    <x v="0"/>
    <x v="3"/>
    <n v="0"/>
  </r>
  <r>
    <n v="14446"/>
    <x v="1"/>
    <n v="8"/>
    <n v="227"/>
    <s v="No"/>
    <x v="0"/>
    <x v="2"/>
    <n v="0"/>
  </r>
  <r>
    <n v="11224"/>
    <x v="0"/>
    <n v="6"/>
    <n v="93"/>
    <s v="No"/>
    <x v="1"/>
    <x v="0"/>
    <n v="0"/>
  </r>
  <r>
    <n v="19653"/>
    <x v="1"/>
    <n v="7"/>
    <n v="51"/>
    <s v="No"/>
    <x v="0"/>
    <x v="3"/>
    <n v="0"/>
  </r>
  <r>
    <n v="12582"/>
    <x v="0"/>
    <n v="5"/>
    <n v="279"/>
    <s v="No"/>
    <x v="0"/>
    <x v="1"/>
    <n v="0"/>
  </r>
  <r>
    <n v="12989"/>
    <x v="1"/>
    <n v="3"/>
    <n v="358"/>
    <s v="Yes"/>
    <x v="1"/>
    <x v="2"/>
    <n v="1"/>
  </r>
  <r>
    <n v="13279"/>
    <x v="1"/>
    <n v="1"/>
    <n v="380"/>
    <s v="No"/>
    <x v="1"/>
    <x v="2"/>
    <n v="0"/>
  </r>
  <r>
    <n v="12505"/>
    <x v="0"/>
    <n v="11"/>
    <n v="265"/>
    <s v="No"/>
    <x v="1"/>
    <x v="1"/>
    <n v="0"/>
  </r>
  <r>
    <n v="18282"/>
    <x v="1"/>
    <n v="11"/>
    <n v="373"/>
    <s v="No"/>
    <x v="0"/>
    <x v="2"/>
    <n v="0"/>
  </r>
  <r>
    <n v="18272"/>
    <x v="0"/>
    <n v="3"/>
    <n v="200"/>
    <s v="No"/>
    <x v="0"/>
    <x v="0"/>
    <n v="0"/>
  </r>
  <r>
    <n v="19621"/>
    <x v="1"/>
    <n v="8"/>
    <n v="435"/>
    <s v="No"/>
    <x v="1"/>
    <x v="1"/>
    <n v="0"/>
  </r>
  <r>
    <n v="19627"/>
    <x v="0"/>
    <n v="7"/>
    <n v="169"/>
    <s v="No"/>
    <x v="0"/>
    <x v="0"/>
    <n v="0"/>
  </r>
  <r>
    <n v="11139"/>
    <x v="1"/>
    <n v="14"/>
    <n v="338"/>
    <s v="No"/>
    <x v="1"/>
    <x v="0"/>
    <n v="0"/>
  </r>
  <r>
    <n v="15380"/>
    <x v="0"/>
    <n v="7"/>
    <n v="282"/>
    <s v="No"/>
    <x v="0"/>
    <x v="2"/>
    <n v="0"/>
  </r>
  <r>
    <n v="18825"/>
    <x v="0"/>
    <n v="5"/>
    <n v="438"/>
    <s v="No"/>
    <x v="1"/>
    <x v="2"/>
    <n v="0"/>
  </r>
  <r>
    <n v="10065"/>
    <x v="1"/>
    <n v="3"/>
    <n v="225"/>
    <s v="No"/>
    <x v="0"/>
    <x v="1"/>
    <n v="0"/>
  </r>
  <r>
    <n v="17105"/>
    <x v="0"/>
    <n v="4"/>
    <n v="326"/>
    <s v="Yes"/>
    <x v="0"/>
    <x v="2"/>
    <n v="1"/>
  </r>
  <r>
    <n v="11133"/>
    <x v="0"/>
    <n v="6"/>
    <n v="202"/>
    <s v="No"/>
    <x v="1"/>
    <x v="3"/>
    <n v="0"/>
  </r>
  <r>
    <n v="13245"/>
    <x v="0"/>
    <n v="12"/>
    <n v="213"/>
    <s v="No"/>
    <x v="1"/>
    <x v="0"/>
    <n v="0"/>
  </r>
  <r>
    <n v="19317"/>
    <x v="0"/>
    <n v="4"/>
    <n v="419"/>
    <s v="No"/>
    <x v="0"/>
    <x v="2"/>
    <n v="0"/>
  </r>
  <r>
    <n v="17816"/>
    <x v="0"/>
    <n v="4"/>
    <n v="363"/>
    <s v="Yes"/>
    <x v="1"/>
    <x v="2"/>
    <n v="1"/>
  </r>
  <r>
    <n v="13952"/>
    <x v="0"/>
    <n v="1"/>
    <n v="265"/>
    <s v="No"/>
    <x v="1"/>
    <x v="0"/>
    <n v="0"/>
  </r>
  <r>
    <n v="15032"/>
    <x v="1"/>
    <n v="3"/>
    <n v="214"/>
    <s v="No"/>
    <x v="0"/>
    <x v="3"/>
    <n v="0"/>
  </r>
  <r>
    <n v="17799"/>
    <x v="0"/>
    <n v="8"/>
    <n v="429"/>
    <s v="No"/>
    <x v="0"/>
    <x v="0"/>
    <n v="0"/>
  </r>
  <r>
    <n v="18569"/>
    <x v="0"/>
    <n v="13"/>
    <n v="360"/>
    <s v="No"/>
    <x v="0"/>
    <x v="0"/>
    <n v="0"/>
  </r>
  <r>
    <n v="19821"/>
    <x v="0"/>
    <n v="6"/>
    <n v="395"/>
    <s v="No"/>
    <x v="1"/>
    <x v="1"/>
    <n v="0"/>
  </r>
  <r>
    <n v="12716"/>
    <x v="1"/>
    <n v="13"/>
    <n v="371"/>
    <s v="No"/>
    <x v="1"/>
    <x v="1"/>
    <n v="0"/>
  </r>
  <r>
    <n v="13502"/>
    <x v="1"/>
    <n v="5"/>
    <n v="392"/>
    <s v="No"/>
    <x v="0"/>
    <x v="1"/>
    <n v="0"/>
  </r>
  <r>
    <n v="17391"/>
    <x v="1"/>
    <n v="9"/>
    <n v="368"/>
    <s v="No"/>
    <x v="0"/>
    <x v="3"/>
    <n v="0"/>
  </r>
  <r>
    <n v="15211"/>
    <x v="0"/>
    <n v="10"/>
    <n v="324"/>
    <s v="No"/>
    <x v="0"/>
    <x v="3"/>
    <n v="0"/>
  </r>
  <r>
    <n v="17163"/>
    <x v="1"/>
    <n v="10"/>
    <n v="190"/>
    <s v="No"/>
    <x v="1"/>
    <x v="0"/>
    <n v="0"/>
  </r>
  <r>
    <n v="10732"/>
    <x v="0"/>
    <n v="8"/>
    <n v="83"/>
    <s v="No"/>
    <x v="0"/>
    <x v="2"/>
    <n v="0"/>
  </r>
  <r>
    <n v="12175"/>
    <x v="0"/>
    <n v="10"/>
    <n v="67"/>
    <s v="No"/>
    <x v="0"/>
    <x v="3"/>
    <n v="0"/>
  </r>
  <r>
    <n v="10765"/>
    <x v="0"/>
    <n v="6"/>
    <n v="61"/>
    <s v="No"/>
    <x v="0"/>
    <x v="3"/>
    <n v="0"/>
  </r>
  <r>
    <n v="16548"/>
    <x v="1"/>
    <n v="10"/>
    <n v="119"/>
    <s v="No"/>
    <x v="1"/>
    <x v="2"/>
    <n v="0"/>
  </r>
  <r>
    <n v="12201"/>
    <x v="1"/>
    <n v="11"/>
    <n v="303"/>
    <s v="No"/>
    <x v="1"/>
    <x v="1"/>
    <n v="0"/>
  </r>
  <r>
    <n v="11495"/>
    <x v="1"/>
    <n v="12"/>
    <n v="97"/>
    <s v="No"/>
    <x v="1"/>
    <x v="2"/>
    <n v="0"/>
  </r>
  <r>
    <n v="10077"/>
    <x v="0"/>
    <n v="11"/>
    <n v="263"/>
    <s v="No"/>
    <x v="1"/>
    <x v="1"/>
    <n v="0"/>
  </r>
  <r>
    <n v="15245"/>
    <x v="1"/>
    <n v="7"/>
    <n v="173"/>
    <s v="No"/>
    <x v="0"/>
    <x v="1"/>
    <n v="0"/>
  </r>
  <r>
    <n v="10179"/>
    <x v="0"/>
    <n v="7"/>
    <n v="74"/>
    <s v="No"/>
    <x v="1"/>
    <x v="0"/>
    <n v="0"/>
  </r>
  <r>
    <n v="18217"/>
    <x v="1"/>
    <n v="8"/>
    <n v="135"/>
    <s v="No"/>
    <x v="1"/>
    <x v="3"/>
    <n v="0"/>
  </r>
  <r>
    <n v="12297"/>
    <x v="0"/>
    <n v="4"/>
    <n v="145"/>
    <s v="No"/>
    <x v="0"/>
    <x v="2"/>
    <n v="0"/>
  </r>
  <r>
    <n v="16322"/>
    <x v="0"/>
    <n v="2"/>
    <n v="93"/>
    <s v="No"/>
    <x v="0"/>
    <x v="0"/>
    <n v="0"/>
  </r>
  <r>
    <n v="11619"/>
    <x v="0"/>
    <n v="7"/>
    <n v="378"/>
    <s v="No"/>
    <x v="0"/>
    <x v="2"/>
    <n v="0"/>
  </r>
  <r>
    <n v="10186"/>
    <x v="1"/>
    <n v="5"/>
    <n v="380"/>
    <s v="No"/>
    <x v="1"/>
    <x v="0"/>
    <n v="0"/>
  </r>
  <r>
    <n v="19286"/>
    <x v="1"/>
    <n v="10"/>
    <n v="260"/>
    <s v="No"/>
    <x v="1"/>
    <x v="1"/>
    <n v="0"/>
  </r>
  <r>
    <n v="12300"/>
    <x v="1"/>
    <n v="3"/>
    <n v="262"/>
    <s v="No"/>
    <x v="1"/>
    <x v="3"/>
    <n v="0"/>
  </r>
  <r>
    <n v="17883"/>
    <x v="0"/>
    <n v="5"/>
    <n v="214"/>
    <s v="No"/>
    <x v="0"/>
    <x v="0"/>
    <n v="0"/>
  </r>
  <r>
    <n v="11767"/>
    <x v="0"/>
    <n v="6"/>
    <n v="199"/>
    <s v="No"/>
    <x v="0"/>
    <x v="0"/>
    <n v="0"/>
  </r>
  <r>
    <n v="16833"/>
    <x v="1"/>
    <n v="8"/>
    <n v="83"/>
    <s v="No"/>
    <x v="1"/>
    <x v="0"/>
    <n v="0"/>
  </r>
  <r>
    <n v="10095"/>
    <x v="0"/>
    <n v="6"/>
    <n v="105"/>
    <s v="No"/>
    <x v="1"/>
    <x v="0"/>
    <n v="0"/>
  </r>
  <r>
    <n v="15812"/>
    <x v="1"/>
    <n v="5"/>
    <n v="118"/>
    <s v="Yes"/>
    <x v="1"/>
    <x v="0"/>
    <n v="1"/>
  </r>
  <r>
    <n v="16558"/>
    <x v="0"/>
    <n v="10"/>
    <n v="70"/>
    <s v="No"/>
    <x v="0"/>
    <x v="2"/>
    <n v="0"/>
  </r>
  <r>
    <n v="10928"/>
    <x v="0"/>
    <n v="13"/>
    <n v="43"/>
    <s v="No"/>
    <x v="1"/>
    <x v="2"/>
    <n v="0"/>
  </r>
  <r>
    <n v="18505"/>
    <x v="0"/>
    <n v="13"/>
    <n v="82"/>
    <s v="No"/>
    <x v="1"/>
    <x v="2"/>
    <n v="0"/>
  </r>
  <r>
    <n v="17392"/>
    <x v="1"/>
    <n v="7"/>
    <n v="312"/>
    <s v="No"/>
    <x v="0"/>
    <x v="2"/>
    <n v="0"/>
  </r>
  <r>
    <n v="12291"/>
    <x v="1"/>
    <n v="7"/>
    <n v="96"/>
    <s v="No"/>
    <x v="1"/>
    <x v="2"/>
    <n v="0"/>
  </r>
  <r>
    <n v="18624"/>
    <x v="0"/>
    <n v="9"/>
    <n v="386"/>
    <s v="No"/>
    <x v="1"/>
    <x v="1"/>
    <n v="0"/>
  </r>
  <r>
    <n v="14631"/>
    <x v="0"/>
    <n v="13"/>
    <n v="378"/>
    <s v="No"/>
    <x v="1"/>
    <x v="1"/>
    <n v="0"/>
  </r>
  <r>
    <n v="19003"/>
    <x v="1"/>
    <n v="14"/>
    <n v="405"/>
    <s v="No"/>
    <x v="0"/>
    <x v="3"/>
    <n v="0"/>
  </r>
  <r>
    <n v="16358"/>
    <x v="0"/>
    <n v="2"/>
    <n v="239"/>
    <s v="No"/>
    <x v="1"/>
    <x v="0"/>
    <n v="0"/>
  </r>
  <r>
    <n v="18305"/>
    <x v="1"/>
    <n v="2"/>
    <n v="391"/>
    <s v="No"/>
    <x v="1"/>
    <x v="0"/>
    <n v="0"/>
  </r>
  <r>
    <n v="17819"/>
    <x v="1"/>
    <n v="1"/>
    <n v="58"/>
    <s v="No"/>
    <x v="1"/>
    <x v="0"/>
    <n v="0"/>
  </r>
  <r>
    <n v="19531"/>
    <x v="0"/>
    <n v="10"/>
    <n v="265"/>
    <s v="No"/>
    <x v="0"/>
    <x v="3"/>
    <n v="0"/>
  </r>
  <r>
    <n v="13456"/>
    <x v="1"/>
    <n v="2"/>
    <n v="84"/>
    <s v="No"/>
    <x v="0"/>
    <x v="3"/>
    <n v="0"/>
  </r>
  <r>
    <n v="15295"/>
    <x v="1"/>
    <n v="14"/>
    <n v="110"/>
    <s v="No"/>
    <x v="1"/>
    <x v="0"/>
    <n v="0"/>
  </r>
  <r>
    <n v="12824"/>
    <x v="1"/>
    <n v="11"/>
    <n v="122"/>
    <s v="No"/>
    <x v="1"/>
    <x v="0"/>
    <n v="0"/>
  </r>
  <r>
    <n v="13670"/>
    <x v="0"/>
    <n v="13"/>
    <n v="186"/>
    <s v="No"/>
    <x v="1"/>
    <x v="2"/>
    <n v="0"/>
  </r>
  <r>
    <n v="13704"/>
    <x v="0"/>
    <n v="10"/>
    <n v="130"/>
    <s v="Yes"/>
    <x v="0"/>
    <x v="3"/>
    <n v="1"/>
  </r>
  <r>
    <n v="11633"/>
    <x v="0"/>
    <n v="13"/>
    <n v="42"/>
    <s v="No"/>
    <x v="1"/>
    <x v="3"/>
    <n v="0"/>
  </r>
  <r>
    <n v="14133"/>
    <x v="1"/>
    <n v="9"/>
    <n v="413"/>
    <s v="No"/>
    <x v="1"/>
    <x v="0"/>
    <n v="0"/>
  </r>
  <r>
    <n v="13922"/>
    <x v="1"/>
    <n v="12"/>
    <n v="151"/>
    <s v="No"/>
    <x v="0"/>
    <x v="2"/>
    <n v="0"/>
  </r>
  <r>
    <n v="12975"/>
    <x v="1"/>
    <n v="14"/>
    <n v="70"/>
    <s v="No"/>
    <x v="1"/>
    <x v="0"/>
    <n v="0"/>
  </r>
  <r>
    <n v="10245"/>
    <x v="1"/>
    <n v="9"/>
    <n v="438"/>
    <s v="No"/>
    <x v="0"/>
    <x v="1"/>
    <n v="0"/>
  </r>
  <r>
    <n v="13138"/>
    <x v="1"/>
    <n v="9"/>
    <n v="262"/>
    <s v="No"/>
    <x v="1"/>
    <x v="1"/>
    <n v="0"/>
  </r>
  <r>
    <n v="15654"/>
    <x v="1"/>
    <n v="7"/>
    <n v="321"/>
    <s v="No"/>
    <x v="0"/>
    <x v="2"/>
    <n v="0"/>
  </r>
  <r>
    <n v="16729"/>
    <x v="1"/>
    <n v="2"/>
    <n v="243"/>
    <s v="No"/>
    <x v="0"/>
    <x v="2"/>
    <n v="0"/>
  </r>
  <r>
    <n v="15513"/>
    <x v="1"/>
    <n v="1"/>
    <n v="439"/>
    <s v="No"/>
    <x v="0"/>
    <x v="3"/>
    <n v="0"/>
  </r>
  <r>
    <n v="12559"/>
    <x v="1"/>
    <n v="2"/>
    <n v="72"/>
    <s v="No"/>
    <x v="1"/>
    <x v="2"/>
    <n v="0"/>
  </r>
  <r>
    <n v="14524"/>
    <x v="1"/>
    <n v="14"/>
    <n v="284"/>
    <s v="No"/>
    <x v="0"/>
    <x v="2"/>
    <n v="0"/>
  </r>
  <r>
    <n v="15461"/>
    <x v="1"/>
    <n v="12"/>
    <n v="199"/>
    <s v="No"/>
    <x v="1"/>
    <x v="0"/>
    <n v="0"/>
  </r>
  <r>
    <n v="17763"/>
    <x v="1"/>
    <n v="3"/>
    <n v="194"/>
    <s v="No"/>
    <x v="0"/>
    <x v="2"/>
    <n v="0"/>
  </r>
  <r>
    <n v="12870"/>
    <x v="1"/>
    <n v="5"/>
    <n v="250"/>
    <s v="No"/>
    <x v="0"/>
    <x v="2"/>
    <n v="0"/>
  </r>
  <r>
    <n v="17131"/>
    <x v="1"/>
    <n v="13"/>
    <n v="174"/>
    <s v="No"/>
    <x v="1"/>
    <x v="0"/>
    <n v="0"/>
  </r>
  <r>
    <n v="14962"/>
    <x v="1"/>
    <n v="4"/>
    <n v="371"/>
    <s v="No"/>
    <x v="1"/>
    <x v="0"/>
    <n v="0"/>
  </r>
  <r>
    <n v="17282"/>
    <x v="0"/>
    <n v="7"/>
    <n v="104"/>
    <s v="No"/>
    <x v="0"/>
    <x v="1"/>
    <n v="0"/>
  </r>
  <r>
    <n v="15424"/>
    <x v="1"/>
    <n v="13"/>
    <n v="78"/>
    <s v="No"/>
    <x v="1"/>
    <x v="3"/>
    <n v="0"/>
  </r>
  <r>
    <n v="16694"/>
    <x v="1"/>
    <n v="11"/>
    <n v="317"/>
    <s v="No"/>
    <x v="0"/>
    <x v="1"/>
    <n v="0"/>
  </r>
  <r>
    <n v="18636"/>
    <x v="1"/>
    <n v="9"/>
    <n v="231"/>
    <s v="No"/>
    <x v="0"/>
    <x v="0"/>
    <n v="0"/>
  </r>
  <r>
    <n v="15956"/>
    <x v="0"/>
    <n v="3"/>
    <n v="251"/>
    <s v="No"/>
    <x v="0"/>
    <x v="2"/>
    <n v="0"/>
  </r>
  <r>
    <n v="12106"/>
    <x v="0"/>
    <n v="3"/>
    <n v="320"/>
    <s v="No"/>
    <x v="0"/>
    <x v="0"/>
    <n v="0"/>
  </r>
  <r>
    <n v="10700"/>
    <x v="1"/>
    <n v="12"/>
    <n v="270"/>
    <s v="No"/>
    <x v="0"/>
    <x v="3"/>
    <n v="0"/>
  </r>
  <r>
    <n v="10654"/>
    <x v="0"/>
    <n v="4"/>
    <n v="172"/>
    <s v="No"/>
    <x v="0"/>
    <x v="3"/>
    <n v="0"/>
  </r>
  <r>
    <n v="14332"/>
    <x v="0"/>
    <n v="2"/>
    <n v="104"/>
    <s v="No"/>
    <x v="1"/>
    <x v="0"/>
    <n v="0"/>
  </r>
  <r>
    <n v="14187"/>
    <x v="1"/>
    <n v="4"/>
    <n v="88"/>
    <s v="No"/>
    <x v="1"/>
    <x v="3"/>
    <n v="0"/>
  </r>
  <r>
    <n v="15387"/>
    <x v="0"/>
    <n v="11"/>
    <n v="366"/>
    <s v="No"/>
    <x v="1"/>
    <x v="0"/>
    <n v="0"/>
  </r>
  <r>
    <n v="15438"/>
    <x v="1"/>
    <n v="12"/>
    <n v="251"/>
    <s v="No"/>
    <x v="0"/>
    <x v="0"/>
    <n v="0"/>
  </r>
  <r>
    <n v="12813"/>
    <x v="0"/>
    <n v="4"/>
    <n v="191"/>
    <s v="No"/>
    <x v="0"/>
    <x v="0"/>
    <n v="0"/>
  </r>
  <r>
    <n v="10401"/>
    <x v="1"/>
    <n v="6"/>
    <n v="370"/>
    <s v="No"/>
    <x v="0"/>
    <x v="3"/>
    <n v="0"/>
  </r>
  <r>
    <n v="14144"/>
    <x v="0"/>
    <n v="13"/>
    <n v="431"/>
    <s v="No"/>
    <x v="0"/>
    <x v="3"/>
    <n v="0"/>
  </r>
  <r>
    <n v="12306"/>
    <x v="0"/>
    <n v="9"/>
    <n v="133"/>
    <s v="No"/>
    <x v="0"/>
    <x v="2"/>
    <n v="0"/>
  </r>
  <r>
    <n v="16732"/>
    <x v="0"/>
    <n v="7"/>
    <n v="442"/>
    <s v="No"/>
    <x v="0"/>
    <x v="2"/>
    <n v="0"/>
  </r>
  <r>
    <n v="15773"/>
    <x v="1"/>
    <n v="13"/>
    <n v="406"/>
    <s v="No"/>
    <x v="0"/>
    <x v="1"/>
    <n v="0"/>
  </r>
  <r>
    <n v="11268"/>
    <x v="0"/>
    <n v="4"/>
    <n v="211"/>
    <s v="No"/>
    <x v="0"/>
    <x v="0"/>
    <n v="0"/>
  </r>
  <r>
    <n v="16165"/>
    <x v="0"/>
    <n v="10"/>
    <n v="173"/>
    <s v="No"/>
    <x v="1"/>
    <x v="3"/>
    <n v="0"/>
  </r>
  <r>
    <n v="13617"/>
    <x v="0"/>
    <n v="13"/>
    <n v="398"/>
    <s v="No"/>
    <x v="0"/>
    <x v="3"/>
    <n v="0"/>
  </r>
  <r>
    <n v="13223"/>
    <x v="1"/>
    <n v="14"/>
    <n v="295"/>
    <s v="No"/>
    <x v="1"/>
    <x v="3"/>
    <n v="0"/>
  </r>
  <r>
    <n v="13319"/>
    <x v="1"/>
    <n v="3"/>
    <n v="399"/>
    <s v="Yes"/>
    <x v="0"/>
    <x v="0"/>
    <n v="1"/>
  </r>
  <r>
    <n v="15138"/>
    <x v="1"/>
    <n v="1"/>
    <n v="378"/>
    <s v="No"/>
    <x v="0"/>
    <x v="2"/>
    <n v="0"/>
  </r>
  <r>
    <n v="13452"/>
    <x v="1"/>
    <n v="9"/>
    <n v="341"/>
    <s v="No"/>
    <x v="1"/>
    <x v="3"/>
    <n v="0"/>
  </r>
  <r>
    <n v="17467"/>
    <x v="1"/>
    <n v="6"/>
    <n v="97"/>
    <s v="No"/>
    <x v="1"/>
    <x v="1"/>
    <n v="0"/>
  </r>
  <r>
    <n v="19794"/>
    <x v="1"/>
    <n v="3"/>
    <n v="154"/>
    <s v="No"/>
    <x v="0"/>
    <x v="0"/>
    <n v="0"/>
  </r>
  <r>
    <n v="19004"/>
    <x v="0"/>
    <n v="2"/>
    <n v="290"/>
    <s v="No"/>
    <x v="1"/>
    <x v="0"/>
    <n v="0"/>
  </r>
  <r>
    <n v="15500"/>
    <x v="1"/>
    <n v="8"/>
    <n v="267"/>
    <s v="No"/>
    <x v="1"/>
    <x v="3"/>
    <n v="0"/>
  </r>
  <r>
    <n v="17075"/>
    <x v="1"/>
    <n v="14"/>
    <n v="344"/>
    <s v="No"/>
    <x v="1"/>
    <x v="2"/>
    <n v="0"/>
  </r>
  <r>
    <n v="11800"/>
    <x v="1"/>
    <n v="12"/>
    <n v="82"/>
    <s v="No"/>
    <x v="1"/>
    <x v="0"/>
    <n v="0"/>
  </r>
  <r>
    <n v="13876"/>
    <x v="1"/>
    <n v="9"/>
    <n v="304"/>
    <s v="No"/>
    <x v="0"/>
    <x v="2"/>
    <n v="0"/>
  </r>
  <r>
    <n v="12367"/>
    <x v="0"/>
    <n v="7"/>
    <n v="132"/>
    <s v="Yes"/>
    <x v="1"/>
    <x v="3"/>
    <n v="1"/>
  </r>
  <r>
    <n v="17587"/>
    <x v="0"/>
    <n v="2"/>
    <n v="61"/>
    <s v="Yes"/>
    <x v="0"/>
    <x v="2"/>
    <n v="1"/>
  </r>
  <r>
    <n v="14135"/>
    <x v="0"/>
    <n v="10"/>
    <n v="200"/>
    <s v="No"/>
    <x v="0"/>
    <x v="0"/>
    <n v="0"/>
  </r>
  <r>
    <n v="10239"/>
    <x v="0"/>
    <n v="9"/>
    <n v="336"/>
    <s v="No"/>
    <x v="1"/>
    <x v="3"/>
    <n v="0"/>
  </r>
  <r>
    <n v="19581"/>
    <x v="0"/>
    <n v="10"/>
    <n v="156"/>
    <s v="No"/>
    <x v="0"/>
    <x v="3"/>
    <n v="0"/>
  </r>
  <r>
    <n v="10545"/>
    <x v="0"/>
    <n v="5"/>
    <n v="372"/>
    <s v="Yes"/>
    <x v="1"/>
    <x v="2"/>
    <n v="1"/>
  </r>
  <r>
    <n v="17970"/>
    <x v="1"/>
    <n v="9"/>
    <n v="227"/>
    <s v="No"/>
    <x v="1"/>
    <x v="3"/>
    <n v="0"/>
  </r>
  <r>
    <n v="14698"/>
    <x v="1"/>
    <n v="8"/>
    <n v="349"/>
    <s v="No"/>
    <x v="1"/>
    <x v="1"/>
    <n v="0"/>
  </r>
  <r>
    <n v="14942"/>
    <x v="0"/>
    <n v="9"/>
    <n v="107"/>
    <s v="No"/>
    <x v="1"/>
    <x v="1"/>
    <n v="0"/>
  </r>
  <r>
    <n v="19082"/>
    <x v="0"/>
    <n v="8"/>
    <n v="177"/>
    <s v="No"/>
    <x v="1"/>
    <x v="3"/>
    <n v="0"/>
  </r>
  <r>
    <n v="19697"/>
    <x v="1"/>
    <n v="6"/>
    <n v="208"/>
    <s v="No"/>
    <x v="0"/>
    <x v="1"/>
    <n v="0"/>
  </r>
  <r>
    <n v="17698"/>
    <x v="1"/>
    <n v="3"/>
    <n v="226"/>
    <s v="No"/>
    <x v="1"/>
    <x v="2"/>
    <n v="0"/>
  </r>
  <r>
    <n v="16181"/>
    <x v="1"/>
    <n v="4"/>
    <n v="147"/>
    <s v="No"/>
    <x v="1"/>
    <x v="0"/>
    <n v="0"/>
  </r>
  <r>
    <n v="11189"/>
    <x v="0"/>
    <n v="14"/>
    <n v="333"/>
    <s v="No"/>
    <x v="1"/>
    <x v="0"/>
    <n v="0"/>
  </r>
  <r>
    <n v="12296"/>
    <x v="1"/>
    <n v="10"/>
    <n v="362"/>
    <s v="Yes"/>
    <x v="1"/>
    <x v="0"/>
    <n v="1"/>
  </r>
  <r>
    <n v="13450"/>
    <x v="1"/>
    <n v="14"/>
    <n v="71"/>
    <s v="No"/>
    <x v="1"/>
    <x v="1"/>
    <n v="0"/>
  </r>
  <r>
    <n v="12381"/>
    <x v="0"/>
    <n v="8"/>
    <n v="165"/>
    <s v="No"/>
    <x v="1"/>
    <x v="1"/>
    <n v="0"/>
  </r>
  <r>
    <n v="17658"/>
    <x v="0"/>
    <n v="7"/>
    <n v="61"/>
    <s v="Yes"/>
    <x v="1"/>
    <x v="3"/>
    <n v="1"/>
  </r>
  <r>
    <n v="17120"/>
    <x v="1"/>
    <n v="11"/>
    <n v="389"/>
    <s v="No"/>
    <x v="1"/>
    <x v="0"/>
    <n v="0"/>
  </r>
  <r>
    <n v="15431"/>
    <x v="1"/>
    <n v="14"/>
    <n v="427"/>
    <s v="No"/>
    <x v="1"/>
    <x v="1"/>
    <n v="0"/>
  </r>
  <r>
    <n v="11635"/>
    <x v="1"/>
    <n v="12"/>
    <n v="117"/>
    <s v="No"/>
    <x v="1"/>
    <x v="0"/>
    <n v="0"/>
  </r>
  <r>
    <n v="18409"/>
    <x v="0"/>
    <n v="13"/>
    <n v="382"/>
    <s v="No"/>
    <x v="0"/>
    <x v="1"/>
    <n v="0"/>
  </r>
  <r>
    <n v="16227"/>
    <x v="1"/>
    <n v="8"/>
    <n v="262"/>
    <s v="No"/>
    <x v="1"/>
    <x v="3"/>
    <n v="0"/>
  </r>
  <r>
    <n v="11632"/>
    <x v="1"/>
    <n v="13"/>
    <n v="187"/>
    <s v="No"/>
    <x v="0"/>
    <x v="3"/>
    <n v="0"/>
  </r>
  <r>
    <n v="18205"/>
    <x v="1"/>
    <n v="3"/>
    <n v="373"/>
    <s v="No"/>
    <x v="0"/>
    <x v="1"/>
    <n v="0"/>
  </r>
  <r>
    <n v="14618"/>
    <x v="1"/>
    <n v="14"/>
    <n v="141"/>
    <s v="No"/>
    <x v="0"/>
    <x v="0"/>
    <n v="0"/>
  </r>
  <r>
    <n v="19682"/>
    <x v="0"/>
    <n v="8"/>
    <n v="50"/>
    <s v="No"/>
    <x v="1"/>
    <x v="3"/>
    <n v="0"/>
  </r>
  <r>
    <n v="19461"/>
    <x v="0"/>
    <n v="10"/>
    <n v="398"/>
    <s v="Yes"/>
    <x v="0"/>
    <x v="1"/>
    <n v="1"/>
  </r>
  <r>
    <n v="15147"/>
    <x v="1"/>
    <n v="1"/>
    <n v="382"/>
    <s v="No"/>
    <x v="1"/>
    <x v="3"/>
    <n v="0"/>
  </r>
  <r>
    <n v="18067"/>
    <x v="1"/>
    <n v="10"/>
    <n v="355"/>
    <s v="No"/>
    <x v="1"/>
    <x v="3"/>
    <n v="0"/>
  </r>
  <r>
    <n v="16065"/>
    <x v="1"/>
    <n v="8"/>
    <n v="286"/>
    <s v="No"/>
    <x v="0"/>
    <x v="0"/>
    <n v="0"/>
  </r>
  <r>
    <n v="16938"/>
    <x v="1"/>
    <n v="2"/>
    <n v="287"/>
    <s v="No"/>
    <x v="1"/>
    <x v="1"/>
    <n v="0"/>
  </r>
  <r>
    <n v="16809"/>
    <x v="0"/>
    <n v="14"/>
    <n v="417"/>
    <s v="No"/>
    <x v="0"/>
    <x v="2"/>
    <n v="0"/>
  </r>
  <r>
    <n v="17729"/>
    <x v="1"/>
    <n v="11"/>
    <n v="201"/>
    <s v="No"/>
    <x v="0"/>
    <x v="1"/>
    <n v="0"/>
  </r>
  <r>
    <n v="10996"/>
    <x v="0"/>
    <n v="4"/>
    <n v="178"/>
    <s v="No"/>
    <x v="1"/>
    <x v="1"/>
    <n v="0"/>
  </r>
  <r>
    <n v="19012"/>
    <x v="0"/>
    <n v="4"/>
    <n v="60"/>
    <s v="No"/>
    <x v="1"/>
    <x v="0"/>
    <n v="0"/>
  </r>
  <r>
    <n v="16031"/>
    <x v="0"/>
    <n v="12"/>
    <n v="177"/>
    <s v="No"/>
    <x v="1"/>
    <x v="3"/>
    <n v="0"/>
  </r>
  <r>
    <n v="19315"/>
    <x v="1"/>
    <n v="6"/>
    <n v="182"/>
    <s v="No"/>
    <x v="1"/>
    <x v="3"/>
    <n v="0"/>
  </r>
  <r>
    <n v="10087"/>
    <x v="1"/>
    <n v="12"/>
    <n v="124"/>
    <s v="No"/>
    <x v="0"/>
    <x v="3"/>
    <n v="0"/>
  </r>
  <r>
    <n v="11778"/>
    <x v="1"/>
    <n v="6"/>
    <n v="401"/>
    <s v="No"/>
    <x v="1"/>
    <x v="1"/>
    <n v="0"/>
  </r>
  <r>
    <n v="11573"/>
    <x v="1"/>
    <n v="4"/>
    <n v="101"/>
    <s v="No"/>
    <x v="0"/>
    <x v="2"/>
    <n v="0"/>
  </r>
  <r>
    <n v="11436"/>
    <x v="1"/>
    <n v="11"/>
    <n v="265"/>
    <s v="No"/>
    <x v="1"/>
    <x v="1"/>
    <n v="0"/>
  </r>
  <r>
    <n v="12516"/>
    <x v="1"/>
    <n v="5"/>
    <n v="154"/>
    <s v="No"/>
    <x v="0"/>
    <x v="3"/>
    <n v="0"/>
  </r>
  <r>
    <n v="16812"/>
    <x v="0"/>
    <n v="11"/>
    <n v="313"/>
    <s v="No"/>
    <x v="0"/>
    <x v="3"/>
    <n v="0"/>
  </r>
  <r>
    <n v="19320"/>
    <x v="1"/>
    <n v="2"/>
    <n v="283"/>
    <s v="No"/>
    <x v="1"/>
    <x v="2"/>
    <n v="0"/>
  </r>
  <r>
    <n v="18444"/>
    <x v="1"/>
    <n v="14"/>
    <n v="428"/>
    <s v="No"/>
    <x v="1"/>
    <x v="0"/>
    <n v="0"/>
  </r>
  <r>
    <n v="15683"/>
    <x v="0"/>
    <n v="5"/>
    <n v="318"/>
    <s v="No"/>
    <x v="0"/>
    <x v="3"/>
    <n v="0"/>
  </r>
  <r>
    <n v="15977"/>
    <x v="0"/>
    <n v="10"/>
    <n v="355"/>
    <s v="No"/>
    <x v="0"/>
    <x v="3"/>
    <n v="0"/>
  </r>
  <r>
    <n v="16498"/>
    <x v="0"/>
    <n v="1"/>
    <n v="157"/>
    <s v="No"/>
    <x v="0"/>
    <x v="3"/>
    <n v="0"/>
  </r>
  <r>
    <n v="13519"/>
    <x v="1"/>
    <n v="5"/>
    <n v="54"/>
    <s v="No"/>
    <x v="1"/>
    <x v="1"/>
    <n v="0"/>
  </r>
  <r>
    <n v="10474"/>
    <x v="1"/>
    <n v="1"/>
    <n v="342"/>
    <s v="No"/>
    <x v="1"/>
    <x v="1"/>
    <n v="0"/>
  </r>
  <r>
    <n v="11621"/>
    <x v="0"/>
    <n v="1"/>
    <n v="146"/>
    <s v="No"/>
    <x v="0"/>
    <x v="0"/>
    <n v="0"/>
  </r>
  <r>
    <n v="12541"/>
    <x v="1"/>
    <n v="7"/>
    <n v="151"/>
    <s v="No"/>
    <x v="1"/>
    <x v="0"/>
    <n v="0"/>
  </r>
  <r>
    <n v="18384"/>
    <x v="0"/>
    <n v="6"/>
    <n v="103"/>
    <s v="No"/>
    <x v="0"/>
    <x v="1"/>
    <n v="0"/>
  </r>
  <r>
    <n v="16276"/>
    <x v="1"/>
    <n v="8"/>
    <n v="414"/>
    <s v="No"/>
    <x v="0"/>
    <x v="1"/>
    <n v="0"/>
  </r>
  <r>
    <n v="14934"/>
    <x v="1"/>
    <n v="14"/>
    <n v="239"/>
    <s v="No"/>
    <x v="1"/>
    <x v="2"/>
    <n v="0"/>
  </r>
  <r>
    <n v="11285"/>
    <x v="1"/>
    <n v="13"/>
    <n v="173"/>
    <s v="No"/>
    <x v="0"/>
    <x v="0"/>
    <n v="0"/>
  </r>
  <r>
    <n v="10479"/>
    <x v="1"/>
    <n v="13"/>
    <n v="224"/>
    <s v="No"/>
    <x v="1"/>
    <x v="0"/>
    <n v="0"/>
  </r>
  <r>
    <n v="15038"/>
    <x v="0"/>
    <n v="5"/>
    <n v="313"/>
    <s v="No"/>
    <x v="0"/>
    <x v="0"/>
    <n v="0"/>
  </r>
  <r>
    <n v="10937"/>
    <x v="1"/>
    <n v="8"/>
    <n v="417"/>
    <s v="Yes"/>
    <x v="1"/>
    <x v="2"/>
    <n v="1"/>
  </r>
  <r>
    <n v="15991"/>
    <x v="0"/>
    <n v="14"/>
    <n v="395"/>
    <s v="No"/>
    <x v="0"/>
    <x v="1"/>
    <n v="0"/>
  </r>
  <r>
    <n v="12437"/>
    <x v="1"/>
    <n v="10"/>
    <n v="340"/>
    <s v="No"/>
    <x v="1"/>
    <x v="1"/>
    <n v="0"/>
  </r>
  <r>
    <n v="15329"/>
    <x v="1"/>
    <n v="5"/>
    <n v="432"/>
    <s v="Yes"/>
    <x v="1"/>
    <x v="0"/>
    <n v="1"/>
  </r>
  <r>
    <n v="10971"/>
    <x v="1"/>
    <n v="5"/>
    <n v="399"/>
    <s v="No"/>
    <x v="1"/>
    <x v="2"/>
    <n v="0"/>
  </r>
  <r>
    <n v="12691"/>
    <x v="0"/>
    <n v="3"/>
    <n v="160"/>
    <s v="Yes"/>
    <x v="0"/>
    <x v="1"/>
    <n v="1"/>
  </r>
  <r>
    <n v="15795"/>
    <x v="0"/>
    <n v="11"/>
    <n v="435"/>
    <s v="No"/>
    <x v="0"/>
    <x v="0"/>
    <n v="0"/>
  </r>
  <r>
    <n v="19131"/>
    <x v="1"/>
    <n v="4"/>
    <n v="137"/>
    <s v="No"/>
    <x v="1"/>
    <x v="0"/>
    <n v="0"/>
  </r>
  <r>
    <n v="18184"/>
    <x v="1"/>
    <n v="3"/>
    <n v="248"/>
    <s v="No"/>
    <x v="1"/>
    <x v="1"/>
    <n v="0"/>
  </r>
  <r>
    <n v="11725"/>
    <x v="0"/>
    <n v="14"/>
    <n v="90"/>
    <s v="No"/>
    <x v="0"/>
    <x v="1"/>
    <n v="0"/>
  </r>
  <r>
    <n v="12147"/>
    <x v="0"/>
    <n v="14"/>
    <n v="438"/>
    <s v="Yes"/>
    <x v="1"/>
    <x v="2"/>
    <n v="1"/>
  </r>
  <r>
    <n v="11819"/>
    <x v="1"/>
    <n v="11"/>
    <n v="226"/>
    <s v="Yes"/>
    <x v="0"/>
    <x v="1"/>
    <n v="1"/>
  </r>
  <r>
    <n v="19950"/>
    <x v="1"/>
    <n v="11"/>
    <n v="46"/>
    <s v="No"/>
    <x v="1"/>
    <x v="3"/>
    <n v="0"/>
  </r>
  <r>
    <n v="13665"/>
    <x v="1"/>
    <n v="11"/>
    <n v="359"/>
    <s v="No"/>
    <x v="0"/>
    <x v="3"/>
    <n v="0"/>
  </r>
  <r>
    <n v="14206"/>
    <x v="1"/>
    <n v="6"/>
    <n v="346"/>
    <s v="No"/>
    <x v="0"/>
    <x v="3"/>
    <n v="0"/>
  </r>
  <r>
    <n v="18186"/>
    <x v="0"/>
    <n v="9"/>
    <n v="68"/>
    <s v="No"/>
    <x v="0"/>
    <x v="1"/>
    <n v="0"/>
  </r>
  <r>
    <n v="10170"/>
    <x v="1"/>
    <n v="14"/>
    <n v="56"/>
    <s v="No"/>
    <x v="0"/>
    <x v="2"/>
    <n v="0"/>
  </r>
  <r>
    <n v="12608"/>
    <x v="0"/>
    <n v="14"/>
    <n v="351"/>
    <s v="No"/>
    <x v="1"/>
    <x v="3"/>
    <n v="0"/>
  </r>
  <r>
    <n v="12789"/>
    <x v="1"/>
    <n v="2"/>
    <n v="191"/>
    <s v="No"/>
    <x v="1"/>
    <x v="3"/>
    <n v="0"/>
  </r>
  <r>
    <n v="19688"/>
    <x v="1"/>
    <n v="14"/>
    <n v="218"/>
    <s v="No"/>
    <x v="0"/>
    <x v="1"/>
    <n v="0"/>
  </r>
  <r>
    <n v="17059"/>
    <x v="0"/>
    <n v="11"/>
    <n v="303"/>
    <s v="No"/>
    <x v="0"/>
    <x v="2"/>
    <n v="0"/>
  </r>
  <r>
    <n v="14401"/>
    <x v="1"/>
    <n v="14"/>
    <n v="354"/>
    <s v="No"/>
    <x v="1"/>
    <x v="1"/>
    <n v="0"/>
  </r>
  <r>
    <n v="15949"/>
    <x v="0"/>
    <n v="5"/>
    <n v="154"/>
    <s v="Yes"/>
    <x v="0"/>
    <x v="1"/>
    <n v="1"/>
  </r>
  <r>
    <n v="19299"/>
    <x v="1"/>
    <n v="6"/>
    <n v="448"/>
    <s v="No"/>
    <x v="1"/>
    <x v="0"/>
    <n v="0"/>
  </r>
  <r>
    <n v="14813"/>
    <x v="1"/>
    <n v="1"/>
    <n v="237"/>
    <s v="No"/>
    <x v="1"/>
    <x v="3"/>
    <n v="0"/>
  </r>
  <r>
    <n v="18131"/>
    <x v="1"/>
    <n v="5"/>
    <n v="91"/>
    <s v="No"/>
    <x v="1"/>
    <x v="1"/>
    <n v="0"/>
  </r>
  <r>
    <n v="12279"/>
    <x v="0"/>
    <n v="8"/>
    <n v="227"/>
    <s v="No"/>
    <x v="1"/>
    <x v="3"/>
    <n v="0"/>
  </r>
  <r>
    <n v="17683"/>
    <x v="1"/>
    <n v="4"/>
    <n v="283"/>
    <s v="No"/>
    <x v="0"/>
    <x v="0"/>
    <n v="0"/>
  </r>
  <r>
    <n v="19440"/>
    <x v="0"/>
    <n v="12"/>
    <n v="352"/>
    <s v="Yes"/>
    <x v="1"/>
    <x v="1"/>
    <n v="1"/>
  </r>
  <r>
    <n v="16283"/>
    <x v="1"/>
    <n v="3"/>
    <n v="121"/>
    <s v="No"/>
    <x v="0"/>
    <x v="2"/>
    <n v="0"/>
  </r>
  <r>
    <n v="10645"/>
    <x v="1"/>
    <n v="14"/>
    <n v="217"/>
    <s v="Yes"/>
    <x v="0"/>
    <x v="1"/>
    <n v="1"/>
  </r>
  <r>
    <n v="12078"/>
    <x v="1"/>
    <n v="3"/>
    <n v="189"/>
    <s v="No"/>
    <x v="0"/>
    <x v="2"/>
    <n v="0"/>
  </r>
  <r>
    <n v="16037"/>
    <x v="1"/>
    <n v="5"/>
    <n v="121"/>
    <s v="No"/>
    <x v="1"/>
    <x v="1"/>
    <n v="0"/>
  </r>
  <r>
    <n v="17374"/>
    <x v="0"/>
    <n v="2"/>
    <n v="193"/>
    <s v="No"/>
    <x v="0"/>
    <x v="2"/>
    <n v="0"/>
  </r>
  <r>
    <n v="13621"/>
    <x v="0"/>
    <n v="5"/>
    <n v="132"/>
    <s v="No"/>
    <x v="0"/>
    <x v="0"/>
    <n v="0"/>
  </r>
  <r>
    <n v="12929"/>
    <x v="0"/>
    <n v="5"/>
    <n v="229"/>
    <s v="No"/>
    <x v="0"/>
    <x v="0"/>
    <n v="0"/>
  </r>
  <r>
    <n v="18166"/>
    <x v="1"/>
    <n v="12"/>
    <n v="274"/>
    <s v="No"/>
    <x v="0"/>
    <x v="3"/>
    <n v="0"/>
  </r>
  <r>
    <n v="12379"/>
    <x v="1"/>
    <n v="12"/>
    <n v="146"/>
    <s v="No"/>
    <x v="1"/>
    <x v="3"/>
    <n v="0"/>
  </r>
  <r>
    <n v="17073"/>
    <x v="1"/>
    <n v="5"/>
    <n v="221"/>
    <s v="No"/>
    <x v="0"/>
    <x v="0"/>
    <n v="0"/>
  </r>
  <r>
    <n v="15385"/>
    <x v="0"/>
    <n v="1"/>
    <n v="330"/>
    <s v="No"/>
    <x v="1"/>
    <x v="0"/>
    <n v="0"/>
  </r>
  <r>
    <n v="19121"/>
    <x v="1"/>
    <n v="4"/>
    <n v="350"/>
    <s v="No"/>
    <x v="0"/>
    <x v="1"/>
    <n v="0"/>
  </r>
  <r>
    <n v="13495"/>
    <x v="1"/>
    <n v="9"/>
    <n v="444"/>
    <s v="No"/>
    <x v="1"/>
    <x v="3"/>
    <n v="0"/>
  </r>
  <r>
    <n v="15931"/>
    <x v="1"/>
    <n v="9"/>
    <n v="223"/>
    <s v="No"/>
    <x v="1"/>
    <x v="0"/>
    <n v="0"/>
  </r>
  <r>
    <n v="11210"/>
    <x v="0"/>
    <n v="2"/>
    <n v="85"/>
    <s v="No"/>
    <x v="0"/>
    <x v="2"/>
    <n v="0"/>
  </r>
  <r>
    <n v="17541"/>
    <x v="0"/>
    <n v="11"/>
    <n v="331"/>
    <s v="No"/>
    <x v="0"/>
    <x v="1"/>
    <n v="0"/>
  </r>
  <r>
    <n v="11113"/>
    <x v="0"/>
    <n v="9"/>
    <n v="317"/>
    <s v="No"/>
    <x v="1"/>
    <x v="1"/>
    <n v="0"/>
  </r>
  <r>
    <n v="18538"/>
    <x v="0"/>
    <n v="1"/>
    <n v="388"/>
    <s v="No"/>
    <x v="1"/>
    <x v="2"/>
    <n v="0"/>
  </r>
  <r>
    <n v="17961"/>
    <x v="0"/>
    <n v="14"/>
    <n v="285"/>
    <s v="No"/>
    <x v="0"/>
    <x v="1"/>
    <n v="0"/>
  </r>
  <r>
    <n v="12997"/>
    <x v="1"/>
    <n v="3"/>
    <n v="234"/>
    <s v="No"/>
    <x v="0"/>
    <x v="0"/>
    <n v="0"/>
  </r>
  <r>
    <n v="10644"/>
    <x v="1"/>
    <n v="3"/>
    <n v="281"/>
    <s v="Yes"/>
    <x v="1"/>
    <x v="1"/>
    <n v="1"/>
  </r>
  <r>
    <n v="13043"/>
    <x v="1"/>
    <n v="7"/>
    <n v="283"/>
    <s v="No"/>
    <x v="0"/>
    <x v="3"/>
    <n v="0"/>
  </r>
  <r>
    <n v="10578"/>
    <x v="1"/>
    <n v="11"/>
    <n v="397"/>
    <s v="No"/>
    <x v="1"/>
    <x v="0"/>
    <n v="0"/>
  </r>
  <r>
    <n v="13059"/>
    <x v="1"/>
    <n v="6"/>
    <n v="171"/>
    <s v="No"/>
    <x v="0"/>
    <x v="3"/>
    <n v="0"/>
  </r>
  <r>
    <n v="18229"/>
    <x v="0"/>
    <n v="4"/>
    <n v="363"/>
    <s v="No"/>
    <x v="1"/>
    <x v="1"/>
    <n v="0"/>
  </r>
  <r>
    <n v="14511"/>
    <x v="1"/>
    <n v="11"/>
    <n v="380"/>
    <s v="No"/>
    <x v="0"/>
    <x v="3"/>
    <n v="0"/>
  </r>
  <r>
    <n v="17210"/>
    <x v="1"/>
    <n v="11"/>
    <n v="144"/>
    <s v="No"/>
    <x v="0"/>
    <x v="1"/>
    <n v="0"/>
  </r>
  <r>
    <n v="15627"/>
    <x v="1"/>
    <n v="10"/>
    <n v="353"/>
    <s v="No"/>
    <x v="0"/>
    <x v="2"/>
    <n v="0"/>
  </r>
  <r>
    <n v="10004"/>
    <x v="1"/>
    <n v="12"/>
    <n v="113"/>
    <s v="No"/>
    <x v="1"/>
    <x v="3"/>
    <n v="0"/>
  </r>
  <r>
    <n v="12572"/>
    <x v="0"/>
    <n v="7"/>
    <n v="162"/>
    <s v="Yes"/>
    <x v="1"/>
    <x v="2"/>
    <n v="1"/>
  </r>
  <r>
    <n v="10731"/>
    <x v="0"/>
    <n v="9"/>
    <n v="68"/>
    <s v="No"/>
    <x v="0"/>
    <x v="0"/>
    <n v="0"/>
  </r>
  <r>
    <n v="16289"/>
    <x v="0"/>
    <n v="9"/>
    <n v="200"/>
    <s v="No"/>
    <x v="0"/>
    <x v="2"/>
    <n v="0"/>
  </r>
  <r>
    <n v="19260"/>
    <x v="1"/>
    <n v="7"/>
    <n v="203"/>
    <s v="No"/>
    <x v="0"/>
    <x v="1"/>
    <n v="0"/>
  </r>
  <r>
    <n v="12095"/>
    <x v="1"/>
    <n v="2"/>
    <n v="343"/>
    <s v="No"/>
    <x v="1"/>
    <x v="2"/>
    <n v="0"/>
  </r>
  <r>
    <n v="16043"/>
    <x v="0"/>
    <n v="11"/>
    <n v="79"/>
    <s v="No"/>
    <x v="0"/>
    <x v="1"/>
    <n v="0"/>
  </r>
  <r>
    <n v="12261"/>
    <x v="1"/>
    <n v="11"/>
    <n v="119"/>
    <s v="No"/>
    <x v="1"/>
    <x v="1"/>
    <n v="0"/>
  </r>
  <r>
    <n v="17904"/>
    <x v="1"/>
    <n v="3"/>
    <n v="46"/>
    <s v="Yes"/>
    <x v="1"/>
    <x v="1"/>
    <n v="1"/>
  </r>
  <r>
    <n v="18424"/>
    <x v="1"/>
    <n v="8"/>
    <n v="385"/>
    <s v="No"/>
    <x v="0"/>
    <x v="1"/>
    <n v="0"/>
  </r>
  <r>
    <n v="10412"/>
    <x v="0"/>
    <n v="6"/>
    <n v="381"/>
    <s v="No"/>
    <x v="1"/>
    <x v="1"/>
    <n v="0"/>
  </r>
  <r>
    <n v="18378"/>
    <x v="0"/>
    <n v="9"/>
    <n v="59"/>
    <s v="No"/>
    <x v="1"/>
    <x v="1"/>
    <n v="0"/>
  </r>
  <r>
    <n v="19586"/>
    <x v="0"/>
    <n v="7"/>
    <n v="69"/>
    <s v="No"/>
    <x v="1"/>
    <x v="3"/>
    <n v="0"/>
  </r>
  <r>
    <n v="14685"/>
    <x v="0"/>
    <n v="2"/>
    <n v="236"/>
    <s v="No"/>
    <x v="0"/>
    <x v="0"/>
    <n v="0"/>
  </r>
  <r>
    <n v="10291"/>
    <x v="1"/>
    <n v="6"/>
    <n v="442"/>
    <s v="No"/>
    <x v="1"/>
    <x v="3"/>
    <n v="0"/>
  </r>
  <r>
    <n v="19066"/>
    <x v="1"/>
    <n v="14"/>
    <n v="324"/>
    <s v="No"/>
    <x v="1"/>
    <x v="3"/>
    <n v="0"/>
  </r>
  <r>
    <n v="17901"/>
    <x v="0"/>
    <n v="9"/>
    <n v="406"/>
    <s v="No"/>
    <x v="0"/>
    <x v="3"/>
    <n v="0"/>
  </r>
  <r>
    <n v="11040"/>
    <x v="1"/>
    <n v="6"/>
    <n v="212"/>
    <s v="No"/>
    <x v="1"/>
    <x v="2"/>
    <n v="0"/>
  </r>
  <r>
    <n v="13492"/>
    <x v="1"/>
    <n v="1"/>
    <n v="308"/>
    <s v="No"/>
    <x v="1"/>
    <x v="2"/>
    <n v="0"/>
  </r>
  <r>
    <n v="17382"/>
    <x v="1"/>
    <n v="2"/>
    <n v="277"/>
    <s v="No"/>
    <x v="0"/>
    <x v="3"/>
    <n v="0"/>
  </r>
  <r>
    <n v="11403"/>
    <x v="1"/>
    <n v="4"/>
    <n v="272"/>
    <s v="No"/>
    <x v="1"/>
    <x v="1"/>
    <n v="0"/>
  </r>
  <r>
    <n v="17113"/>
    <x v="0"/>
    <n v="14"/>
    <n v="106"/>
    <s v="No"/>
    <x v="0"/>
    <x v="2"/>
    <n v="0"/>
  </r>
  <r>
    <n v="11363"/>
    <x v="0"/>
    <n v="14"/>
    <n v="320"/>
    <s v="No"/>
    <x v="1"/>
    <x v="0"/>
    <n v="0"/>
  </r>
  <r>
    <n v="19259"/>
    <x v="0"/>
    <n v="8"/>
    <n v="429"/>
    <s v="No"/>
    <x v="1"/>
    <x v="2"/>
    <n v="0"/>
  </r>
  <r>
    <n v="12418"/>
    <x v="1"/>
    <n v="2"/>
    <n v="356"/>
    <s v="Yes"/>
    <x v="1"/>
    <x v="3"/>
    <n v="1"/>
  </r>
  <r>
    <n v="14680"/>
    <x v="1"/>
    <n v="6"/>
    <n v="151"/>
    <s v="No"/>
    <x v="1"/>
    <x v="3"/>
    <n v="0"/>
  </r>
  <r>
    <n v="11643"/>
    <x v="0"/>
    <n v="9"/>
    <n v="379"/>
    <s v="No"/>
    <x v="1"/>
    <x v="0"/>
    <n v="0"/>
  </r>
  <r>
    <n v="18661"/>
    <x v="0"/>
    <n v="12"/>
    <n v="107"/>
    <s v="No"/>
    <x v="0"/>
    <x v="0"/>
    <n v="0"/>
  </r>
  <r>
    <n v="11804"/>
    <x v="1"/>
    <n v="12"/>
    <n v="52"/>
    <s v="No"/>
    <x v="0"/>
    <x v="2"/>
    <n v="0"/>
  </r>
  <r>
    <n v="16012"/>
    <x v="1"/>
    <n v="12"/>
    <n v="149"/>
    <s v="No"/>
    <x v="0"/>
    <x v="1"/>
    <n v="0"/>
  </r>
  <r>
    <n v="13863"/>
    <x v="1"/>
    <n v="5"/>
    <n v="394"/>
    <s v="No"/>
    <x v="1"/>
    <x v="0"/>
    <n v="0"/>
  </r>
  <r>
    <n v="17171"/>
    <x v="1"/>
    <n v="8"/>
    <n v="153"/>
    <s v="Yes"/>
    <x v="1"/>
    <x v="2"/>
    <n v="1"/>
  </r>
  <r>
    <n v="11461"/>
    <x v="1"/>
    <n v="5"/>
    <n v="78"/>
    <s v="No"/>
    <x v="1"/>
    <x v="2"/>
    <n v="0"/>
  </r>
  <r>
    <n v="12394"/>
    <x v="1"/>
    <n v="5"/>
    <n v="423"/>
    <s v="No"/>
    <x v="1"/>
    <x v="1"/>
    <n v="0"/>
  </r>
  <r>
    <n v="12254"/>
    <x v="1"/>
    <n v="13"/>
    <n v="199"/>
    <s v="No"/>
    <x v="0"/>
    <x v="2"/>
    <n v="0"/>
  </r>
  <r>
    <n v="12807"/>
    <x v="0"/>
    <n v="2"/>
    <n v="396"/>
    <s v="No"/>
    <x v="0"/>
    <x v="2"/>
    <n v="0"/>
  </r>
  <r>
    <n v="14834"/>
    <x v="0"/>
    <n v="8"/>
    <n v="388"/>
    <s v="No"/>
    <x v="1"/>
    <x v="3"/>
    <n v="0"/>
  </r>
  <r>
    <n v="18333"/>
    <x v="1"/>
    <n v="1"/>
    <n v="106"/>
    <s v="No"/>
    <x v="0"/>
    <x v="3"/>
    <n v="0"/>
  </r>
  <r>
    <n v="17115"/>
    <x v="0"/>
    <n v="3"/>
    <n v="254"/>
    <s v="No"/>
    <x v="0"/>
    <x v="2"/>
    <n v="0"/>
  </r>
  <r>
    <n v="14032"/>
    <x v="0"/>
    <n v="7"/>
    <n v="107"/>
    <s v="No"/>
    <x v="1"/>
    <x v="3"/>
    <n v="0"/>
  </r>
  <r>
    <n v="16880"/>
    <x v="0"/>
    <n v="12"/>
    <n v="233"/>
    <s v="No"/>
    <x v="1"/>
    <x v="0"/>
    <n v="0"/>
  </r>
  <r>
    <n v="19359"/>
    <x v="1"/>
    <n v="5"/>
    <n v="165"/>
    <s v="No"/>
    <x v="0"/>
    <x v="3"/>
    <n v="0"/>
  </r>
  <r>
    <n v="13950"/>
    <x v="0"/>
    <n v="11"/>
    <n v="56"/>
    <s v="No"/>
    <x v="0"/>
    <x v="1"/>
    <n v="0"/>
  </r>
  <r>
    <n v="16602"/>
    <x v="1"/>
    <n v="8"/>
    <n v="419"/>
    <s v="No"/>
    <x v="1"/>
    <x v="0"/>
    <n v="0"/>
  </r>
  <r>
    <n v="11066"/>
    <x v="1"/>
    <n v="9"/>
    <n v="324"/>
    <s v="No"/>
    <x v="1"/>
    <x v="2"/>
    <n v="0"/>
  </r>
  <r>
    <n v="14858"/>
    <x v="0"/>
    <n v="9"/>
    <n v="129"/>
    <s v="No"/>
    <x v="0"/>
    <x v="0"/>
    <n v="0"/>
  </r>
  <r>
    <n v="17275"/>
    <x v="1"/>
    <n v="12"/>
    <n v="375"/>
    <s v="No"/>
    <x v="0"/>
    <x v="0"/>
    <n v="0"/>
  </r>
  <r>
    <n v="17203"/>
    <x v="0"/>
    <n v="13"/>
    <n v="419"/>
    <s v="No"/>
    <x v="0"/>
    <x v="1"/>
    <n v="0"/>
  </r>
  <r>
    <n v="14462"/>
    <x v="0"/>
    <n v="3"/>
    <n v="68"/>
    <s v="Yes"/>
    <x v="1"/>
    <x v="2"/>
    <n v="1"/>
  </r>
  <r>
    <n v="14958"/>
    <x v="0"/>
    <n v="6"/>
    <n v="375"/>
    <s v="No"/>
    <x v="1"/>
    <x v="0"/>
    <n v="0"/>
  </r>
  <r>
    <n v="11986"/>
    <x v="1"/>
    <n v="9"/>
    <n v="226"/>
    <s v="No"/>
    <x v="0"/>
    <x v="1"/>
    <n v="0"/>
  </r>
  <r>
    <n v="17898"/>
    <x v="0"/>
    <n v="4"/>
    <n v="308"/>
    <s v="No"/>
    <x v="0"/>
    <x v="0"/>
    <n v="0"/>
  </r>
  <r>
    <n v="17428"/>
    <x v="0"/>
    <n v="5"/>
    <n v="326"/>
    <s v="No"/>
    <x v="1"/>
    <x v="2"/>
    <n v="0"/>
  </r>
  <r>
    <n v="19992"/>
    <x v="1"/>
    <n v="4"/>
    <n v="334"/>
    <s v="No"/>
    <x v="0"/>
    <x v="0"/>
    <n v="0"/>
  </r>
  <r>
    <n v="19391"/>
    <x v="0"/>
    <n v="10"/>
    <n v="395"/>
    <s v="No"/>
    <x v="1"/>
    <x v="3"/>
    <n v="0"/>
  </r>
  <r>
    <n v="12143"/>
    <x v="0"/>
    <n v="1"/>
    <n v="318"/>
    <s v="No"/>
    <x v="1"/>
    <x v="0"/>
    <n v="0"/>
  </r>
  <r>
    <n v="14086"/>
    <x v="0"/>
    <n v="14"/>
    <n v="413"/>
    <s v="No"/>
    <x v="0"/>
    <x v="3"/>
    <n v="0"/>
  </r>
  <r>
    <n v="11814"/>
    <x v="1"/>
    <n v="3"/>
    <n v="124"/>
    <s v="No"/>
    <x v="1"/>
    <x v="0"/>
    <n v="0"/>
  </r>
  <r>
    <n v="11287"/>
    <x v="0"/>
    <n v="10"/>
    <n v="97"/>
    <s v="No"/>
    <x v="1"/>
    <x v="2"/>
    <n v="0"/>
  </r>
  <r>
    <n v="15959"/>
    <x v="0"/>
    <n v="2"/>
    <n v="375"/>
    <s v="No"/>
    <x v="1"/>
    <x v="2"/>
    <n v="0"/>
  </r>
  <r>
    <n v="14192"/>
    <x v="1"/>
    <n v="11"/>
    <n v="299"/>
    <s v="No"/>
    <x v="0"/>
    <x v="2"/>
    <n v="0"/>
  </r>
  <r>
    <n v="13402"/>
    <x v="1"/>
    <n v="7"/>
    <n v="66"/>
    <s v="No"/>
    <x v="1"/>
    <x v="1"/>
    <n v="0"/>
  </r>
  <r>
    <n v="16105"/>
    <x v="1"/>
    <n v="4"/>
    <n v="234"/>
    <s v="No"/>
    <x v="0"/>
    <x v="3"/>
    <n v="0"/>
  </r>
  <r>
    <n v="17567"/>
    <x v="1"/>
    <n v="10"/>
    <n v="128"/>
    <s v="No"/>
    <x v="1"/>
    <x v="1"/>
    <n v="0"/>
  </r>
  <r>
    <n v="16048"/>
    <x v="1"/>
    <n v="11"/>
    <n v="366"/>
    <s v="No"/>
    <x v="0"/>
    <x v="2"/>
    <n v="0"/>
  </r>
  <r>
    <n v="18556"/>
    <x v="0"/>
    <n v="4"/>
    <n v="316"/>
    <s v="No"/>
    <x v="0"/>
    <x v="2"/>
    <n v="0"/>
  </r>
  <r>
    <n v="13914"/>
    <x v="0"/>
    <n v="14"/>
    <n v="123"/>
    <s v="No"/>
    <x v="0"/>
    <x v="0"/>
    <n v="0"/>
  </r>
  <r>
    <n v="19609"/>
    <x v="1"/>
    <n v="7"/>
    <n v="101"/>
    <s v="No"/>
    <x v="1"/>
    <x v="0"/>
    <n v="0"/>
  </r>
  <r>
    <n v="16189"/>
    <x v="1"/>
    <n v="8"/>
    <n v="199"/>
    <s v="No"/>
    <x v="0"/>
    <x v="0"/>
    <n v="0"/>
  </r>
  <r>
    <n v="13442"/>
    <x v="0"/>
    <n v="2"/>
    <n v="382"/>
    <s v="No"/>
    <x v="1"/>
    <x v="2"/>
    <n v="0"/>
  </r>
  <r>
    <n v="14432"/>
    <x v="1"/>
    <n v="10"/>
    <n v="217"/>
    <s v="No"/>
    <x v="1"/>
    <x v="1"/>
    <n v="0"/>
  </r>
  <r>
    <n v="18860"/>
    <x v="0"/>
    <n v="13"/>
    <n v="285"/>
    <s v="No"/>
    <x v="1"/>
    <x v="2"/>
    <n v="0"/>
  </r>
  <r>
    <n v="15681"/>
    <x v="1"/>
    <n v="4"/>
    <n v="72"/>
    <s v="No"/>
    <x v="0"/>
    <x v="2"/>
    <n v="0"/>
  </r>
  <r>
    <n v="16028"/>
    <x v="1"/>
    <n v="12"/>
    <n v="327"/>
    <s v="No"/>
    <x v="0"/>
    <x v="2"/>
    <n v="0"/>
  </r>
  <r>
    <n v="11382"/>
    <x v="0"/>
    <n v="2"/>
    <n v="322"/>
    <s v="No"/>
    <x v="0"/>
    <x v="3"/>
    <n v="0"/>
  </r>
  <r>
    <n v="13850"/>
    <x v="1"/>
    <n v="7"/>
    <n v="369"/>
    <s v="No"/>
    <x v="1"/>
    <x v="1"/>
    <n v="0"/>
  </r>
  <r>
    <n v="12777"/>
    <x v="1"/>
    <n v="12"/>
    <n v="385"/>
    <s v="No"/>
    <x v="0"/>
    <x v="3"/>
    <n v="0"/>
  </r>
  <r>
    <n v="17174"/>
    <x v="1"/>
    <n v="1"/>
    <n v="295"/>
    <s v="No"/>
    <x v="1"/>
    <x v="3"/>
    <n v="0"/>
  </r>
  <r>
    <n v="16714"/>
    <x v="0"/>
    <n v="10"/>
    <n v="77"/>
    <s v="No"/>
    <x v="1"/>
    <x v="2"/>
    <n v="0"/>
  </r>
  <r>
    <n v="13333"/>
    <x v="1"/>
    <n v="7"/>
    <n v="248"/>
    <s v="No"/>
    <x v="0"/>
    <x v="3"/>
    <n v="0"/>
  </r>
  <r>
    <n v="17752"/>
    <x v="1"/>
    <n v="8"/>
    <n v="214"/>
    <s v="No"/>
    <x v="0"/>
    <x v="1"/>
    <n v="0"/>
  </r>
  <r>
    <n v="19224"/>
    <x v="1"/>
    <n v="13"/>
    <n v="291"/>
    <s v="No"/>
    <x v="0"/>
    <x v="3"/>
    <n v="0"/>
  </r>
  <r>
    <n v="13185"/>
    <x v="0"/>
    <n v="7"/>
    <n v="197"/>
    <s v="No"/>
    <x v="0"/>
    <x v="0"/>
    <n v="0"/>
  </r>
  <r>
    <n v="12083"/>
    <x v="0"/>
    <n v="2"/>
    <n v="274"/>
    <s v="No"/>
    <x v="0"/>
    <x v="2"/>
    <n v="0"/>
  </r>
  <r>
    <n v="10527"/>
    <x v="0"/>
    <n v="1"/>
    <n v="88"/>
    <s v="No"/>
    <x v="1"/>
    <x v="3"/>
    <n v="0"/>
  </r>
  <r>
    <n v="11451"/>
    <x v="0"/>
    <n v="11"/>
    <n v="396"/>
    <s v="Yes"/>
    <x v="1"/>
    <x v="1"/>
    <n v="1"/>
  </r>
  <r>
    <n v="16256"/>
    <x v="0"/>
    <n v="8"/>
    <n v="108"/>
    <s v="No"/>
    <x v="0"/>
    <x v="1"/>
    <n v="0"/>
  </r>
  <r>
    <n v="14147"/>
    <x v="1"/>
    <n v="14"/>
    <n v="384"/>
    <s v="No"/>
    <x v="0"/>
    <x v="2"/>
    <n v="0"/>
  </r>
  <r>
    <n v="11564"/>
    <x v="0"/>
    <n v="5"/>
    <n v="358"/>
    <s v="No"/>
    <x v="0"/>
    <x v="2"/>
    <n v="0"/>
  </r>
  <r>
    <n v="17711"/>
    <x v="0"/>
    <n v="7"/>
    <n v="392"/>
    <s v="No"/>
    <x v="0"/>
    <x v="2"/>
    <n v="0"/>
  </r>
  <r>
    <n v="14602"/>
    <x v="0"/>
    <n v="2"/>
    <n v="125"/>
    <s v="No"/>
    <x v="1"/>
    <x v="3"/>
    <n v="0"/>
  </r>
  <r>
    <n v="12481"/>
    <x v="0"/>
    <n v="13"/>
    <n v="70"/>
    <s v="No"/>
    <x v="0"/>
    <x v="0"/>
    <n v="0"/>
  </r>
  <r>
    <n v="13682"/>
    <x v="1"/>
    <n v="8"/>
    <n v="113"/>
    <s v="No"/>
    <x v="0"/>
    <x v="1"/>
    <n v="0"/>
  </r>
  <r>
    <n v="16838"/>
    <x v="1"/>
    <n v="7"/>
    <n v="282"/>
    <s v="No"/>
    <x v="1"/>
    <x v="0"/>
    <n v="0"/>
  </r>
  <r>
    <n v="18802"/>
    <x v="1"/>
    <n v="14"/>
    <n v="322"/>
    <s v="No"/>
    <x v="0"/>
    <x v="1"/>
    <n v="0"/>
  </r>
  <r>
    <n v="11258"/>
    <x v="0"/>
    <n v="11"/>
    <n v="127"/>
    <s v="No"/>
    <x v="0"/>
    <x v="0"/>
    <n v="0"/>
  </r>
  <r>
    <n v="13098"/>
    <x v="1"/>
    <n v="10"/>
    <n v="45"/>
    <s v="No"/>
    <x v="1"/>
    <x v="1"/>
    <n v="0"/>
  </r>
  <r>
    <n v="15927"/>
    <x v="0"/>
    <n v="12"/>
    <n v="383"/>
    <s v="No"/>
    <x v="0"/>
    <x v="1"/>
    <n v="0"/>
  </r>
  <r>
    <n v="13560"/>
    <x v="0"/>
    <n v="4"/>
    <n v="439"/>
    <s v="No"/>
    <x v="0"/>
    <x v="0"/>
    <n v="0"/>
  </r>
  <r>
    <n v="19543"/>
    <x v="0"/>
    <n v="9"/>
    <n v="351"/>
    <s v="No"/>
    <x v="1"/>
    <x v="3"/>
    <n v="0"/>
  </r>
  <r>
    <n v="17101"/>
    <x v="1"/>
    <n v="8"/>
    <n v="166"/>
    <s v="No"/>
    <x v="0"/>
    <x v="3"/>
    <n v="0"/>
  </r>
  <r>
    <n v="11455"/>
    <x v="1"/>
    <n v="1"/>
    <n v="348"/>
    <s v="No"/>
    <x v="1"/>
    <x v="3"/>
    <n v="0"/>
  </r>
  <r>
    <n v="18689"/>
    <x v="1"/>
    <n v="12"/>
    <n v="57"/>
    <s v="No"/>
    <x v="0"/>
    <x v="1"/>
    <n v="0"/>
  </r>
  <r>
    <n v="13559"/>
    <x v="0"/>
    <n v="12"/>
    <n v="224"/>
    <s v="No"/>
    <x v="1"/>
    <x v="1"/>
    <n v="0"/>
  </r>
  <r>
    <n v="12915"/>
    <x v="0"/>
    <n v="12"/>
    <n v="338"/>
    <s v="No"/>
    <x v="0"/>
    <x v="3"/>
    <n v="0"/>
  </r>
  <r>
    <n v="19134"/>
    <x v="0"/>
    <n v="9"/>
    <n v="97"/>
    <s v="No"/>
    <x v="1"/>
    <x v="3"/>
    <n v="0"/>
  </r>
  <r>
    <n v="13544"/>
    <x v="0"/>
    <n v="11"/>
    <n v="115"/>
    <s v="No"/>
    <x v="0"/>
    <x v="2"/>
    <n v="0"/>
  </r>
  <r>
    <n v="10027"/>
    <x v="1"/>
    <n v="4"/>
    <n v="211"/>
    <s v="No"/>
    <x v="1"/>
    <x v="2"/>
    <n v="0"/>
  </r>
  <r>
    <n v="12607"/>
    <x v="1"/>
    <n v="3"/>
    <n v="259"/>
    <s v="No"/>
    <x v="0"/>
    <x v="3"/>
    <n v="0"/>
  </r>
  <r>
    <n v="14971"/>
    <x v="1"/>
    <n v="8"/>
    <n v="375"/>
    <s v="No"/>
    <x v="0"/>
    <x v="1"/>
    <n v="0"/>
  </r>
  <r>
    <n v="14676"/>
    <x v="0"/>
    <n v="5"/>
    <n v="191"/>
    <s v="No"/>
    <x v="0"/>
    <x v="3"/>
    <n v="0"/>
  </r>
  <r>
    <n v="10991"/>
    <x v="1"/>
    <n v="3"/>
    <n v="308"/>
    <s v="No"/>
    <x v="0"/>
    <x v="2"/>
    <n v="0"/>
  </r>
  <r>
    <n v="12494"/>
    <x v="1"/>
    <n v="9"/>
    <n v="281"/>
    <s v="No"/>
    <x v="0"/>
    <x v="0"/>
    <n v="0"/>
  </r>
  <r>
    <n v="10140"/>
    <x v="0"/>
    <n v="3"/>
    <n v="308"/>
    <s v="No"/>
    <x v="0"/>
    <x v="2"/>
    <n v="0"/>
  </r>
  <r>
    <n v="15957"/>
    <x v="0"/>
    <n v="7"/>
    <n v="83"/>
    <s v="No"/>
    <x v="1"/>
    <x v="0"/>
    <n v="0"/>
  </r>
  <r>
    <n v="19462"/>
    <x v="1"/>
    <n v="6"/>
    <n v="187"/>
    <s v="No"/>
    <x v="0"/>
    <x v="1"/>
    <n v="0"/>
  </r>
  <r>
    <n v="13936"/>
    <x v="1"/>
    <n v="4"/>
    <n v="362"/>
    <s v="No"/>
    <x v="1"/>
    <x v="1"/>
    <n v="0"/>
  </r>
  <r>
    <n v="10571"/>
    <x v="0"/>
    <n v="9"/>
    <n v="270"/>
    <s v="No"/>
    <x v="0"/>
    <x v="0"/>
    <n v="0"/>
  </r>
  <r>
    <n v="18306"/>
    <x v="0"/>
    <n v="11"/>
    <n v="228"/>
    <s v="No"/>
    <x v="0"/>
    <x v="2"/>
    <n v="0"/>
  </r>
  <r>
    <n v="16150"/>
    <x v="1"/>
    <n v="3"/>
    <n v="333"/>
    <s v="No"/>
    <x v="1"/>
    <x v="3"/>
    <n v="0"/>
  </r>
  <r>
    <n v="11590"/>
    <x v="0"/>
    <n v="8"/>
    <n v="400"/>
    <s v="No"/>
    <x v="0"/>
    <x v="0"/>
    <n v="0"/>
  </r>
  <r>
    <n v="18732"/>
    <x v="1"/>
    <n v="4"/>
    <n v="263"/>
    <s v="No"/>
    <x v="1"/>
    <x v="1"/>
    <n v="0"/>
  </r>
  <r>
    <n v="18201"/>
    <x v="1"/>
    <n v="5"/>
    <n v="76"/>
    <s v="No"/>
    <x v="0"/>
    <x v="3"/>
    <n v="0"/>
  </r>
  <r>
    <n v="16058"/>
    <x v="1"/>
    <n v="4"/>
    <n v="259"/>
    <s v="No"/>
    <x v="1"/>
    <x v="3"/>
    <n v="0"/>
  </r>
  <r>
    <n v="16020"/>
    <x v="1"/>
    <n v="9"/>
    <n v="146"/>
    <s v="No"/>
    <x v="1"/>
    <x v="0"/>
    <n v="0"/>
  </r>
  <r>
    <n v="13692"/>
    <x v="1"/>
    <n v="4"/>
    <n v="348"/>
    <s v="No"/>
    <x v="1"/>
    <x v="0"/>
    <n v="0"/>
  </r>
  <r>
    <n v="14606"/>
    <x v="0"/>
    <n v="11"/>
    <n v="383"/>
    <s v="No"/>
    <x v="1"/>
    <x v="3"/>
    <n v="0"/>
  </r>
  <r>
    <n v="13789"/>
    <x v="0"/>
    <n v="12"/>
    <n v="280"/>
    <s v="No"/>
    <x v="1"/>
    <x v="2"/>
    <n v="0"/>
  </r>
  <r>
    <n v="18002"/>
    <x v="0"/>
    <n v="11"/>
    <n v="56"/>
    <s v="Yes"/>
    <x v="1"/>
    <x v="0"/>
    <n v="1"/>
  </r>
  <r>
    <n v="17859"/>
    <x v="0"/>
    <n v="7"/>
    <n v="214"/>
    <s v="No"/>
    <x v="0"/>
    <x v="0"/>
    <n v="0"/>
  </r>
  <r>
    <n v="14344"/>
    <x v="0"/>
    <n v="7"/>
    <n v="174"/>
    <s v="Yes"/>
    <x v="1"/>
    <x v="1"/>
    <n v="1"/>
  </r>
  <r>
    <n v="13063"/>
    <x v="1"/>
    <n v="13"/>
    <n v="122"/>
    <s v="No"/>
    <x v="0"/>
    <x v="2"/>
    <n v="0"/>
  </r>
  <r>
    <n v="13761"/>
    <x v="0"/>
    <n v="2"/>
    <n v="194"/>
    <s v="No"/>
    <x v="1"/>
    <x v="0"/>
    <n v="0"/>
  </r>
  <r>
    <n v="13078"/>
    <x v="0"/>
    <n v="10"/>
    <n v="43"/>
    <s v="No"/>
    <x v="0"/>
    <x v="0"/>
    <n v="0"/>
  </r>
  <r>
    <n v="11159"/>
    <x v="1"/>
    <n v="8"/>
    <n v="234"/>
    <s v="No"/>
    <x v="1"/>
    <x v="2"/>
    <n v="0"/>
  </r>
  <r>
    <n v="12978"/>
    <x v="1"/>
    <n v="3"/>
    <n v="259"/>
    <s v="No"/>
    <x v="0"/>
    <x v="2"/>
    <n v="0"/>
  </r>
  <r>
    <n v="11567"/>
    <x v="1"/>
    <n v="7"/>
    <n v="283"/>
    <s v="No"/>
    <x v="1"/>
    <x v="0"/>
    <n v="0"/>
  </r>
  <r>
    <n v="18837"/>
    <x v="1"/>
    <n v="5"/>
    <n v="158"/>
    <s v="No"/>
    <x v="1"/>
    <x v="0"/>
    <n v="0"/>
  </r>
  <r>
    <n v="19141"/>
    <x v="0"/>
    <n v="4"/>
    <n v="218"/>
    <s v="No"/>
    <x v="1"/>
    <x v="2"/>
    <n v="0"/>
  </r>
  <r>
    <n v="18232"/>
    <x v="0"/>
    <n v="10"/>
    <n v="246"/>
    <s v="No"/>
    <x v="0"/>
    <x v="0"/>
    <n v="0"/>
  </r>
  <r>
    <n v="12715"/>
    <x v="1"/>
    <n v="12"/>
    <n v="220"/>
    <s v="No"/>
    <x v="0"/>
    <x v="2"/>
    <n v="0"/>
  </r>
  <r>
    <n v="13951"/>
    <x v="1"/>
    <n v="9"/>
    <n v="125"/>
    <s v="No"/>
    <x v="0"/>
    <x v="1"/>
    <n v="0"/>
  </r>
  <r>
    <n v="10411"/>
    <x v="1"/>
    <n v="13"/>
    <n v="322"/>
    <s v="No"/>
    <x v="1"/>
    <x v="2"/>
    <n v="0"/>
  </r>
  <r>
    <n v="10114"/>
    <x v="0"/>
    <n v="12"/>
    <n v="211"/>
    <s v="No"/>
    <x v="0"/>
    <x v="2"/>
    <n v="0"/>
  </r>
  <r>
    <n v="14922"/>
    <x v="0"/>
    <n v="7"/>
    <n v="320"/>
    <s v="No"/>
    <x v="1"/>
    <x v="2"/>
    <n v="0"/>
  </r>
  <r>
    <n v="17104"/>
    <x v="1"/>
    <n v="13"/>
    <n v="41"/>
    <s v="No"/>
    <x v="1"/>
    <x v="2"/>
    <n v="0"/>
  </r>
  <r>
    <n v="18530"/>
    <x v="1"/>
    <n v="13"/>
    <n v="118"/>
    <s v="No"/>
    <x v="1"/>
    <x v="2"/>
    <n v="0"/>
  </r>
  <r>
    <n v="15386"/>
    <x v="0"/>
    <n v="10"/>
    <n v="297"/>
    <s v="No"/>
    <x v="0"/>
    <x v="0"/>
    <n v="0"/>
  </r>
  <r>
    <n v="11130"/>
    <x v="1"/>
    <n v="8"/>
    <n v="136"/>
    <s v="No"/>
    <x v="0"/>
    <x v="1"/>
    <n v="0"/>
  </r>
  <r>
    <n v="12299"/>
    <x v="1"/>
    <n v="1"/>
    <n v="354"/>
    <s v="No"/>
    <x v="1"/>
    <x v="0"/>
    <n v="0"/>
  </r>
  <r>
    <n v="18984"/>
    <x v="0"/>
    <n v="13"/>
    <n v="198"/>
    <s v="No"/>
    <x v="1"/>
    <x v="3"/>
    <n v="0"/>
  </r>
  <r>
    <n v="10499"/>
    <x v="0"/>
    <n v="4"/>
    <n v="372"/>
    <s v="No"/>
    <x v="1"/>
    <x v="3"/>
    <n v="0"/>
  </r>
  <r>
    <n v="13718"/>
    <x v="1"/>
    <n v="11"/>
    <n v="332"/>
    <s v="No"/>
    <x v="0"/>
    <x v="0"/>
    <n v="0"/>
  </r>
  <r>
    <n v="16133"/>
    <x v="1"/>
    <n v="9"/>
    <n v="304"/>
    <s v="No"/>
    <x v="0"/>
    <x v="3"/>
    <n v="0"/>
  </r>
  <r>
    <n v="12116"/>
    <x v="0"/>
    <n v="9"/>
    <n v="63"/>
    <s v="No"/>
    <x v="1"/>
    <x v="1"/>
    <n v="0"/>
  </r>
  <r>
    <n v="15287"/>
    <x v="1"/>
    <n v="5"/>
    <n v="328"/>
    <s v="No"/>
    <x v="0"/>
    <x v="1"/>
    <n v="0"/>
  </r>
  <r>
    <n v="15858"/>
    <x v="1"/>
    <n v="14"/>
    <n v="298"/>
    <s v="No"/>
    <x v="1"/>
    <x v="2"/>
    <n v="0"/>
  </r>
  <r>
    <n v="14846"/>
    <x v="1"/>
    <n v="1"/>
    <n v="263"/>
    <s v="No"/>
    <x v="0"/>
    <x v="0"/>
    <n v="0"/>
  </r>
  <r>
    <n v="18783"/>
    <x v="1"/>
    <n v="5"/>
    <n v="316"/>
    <s v="No"/>
    <x v="1"/>
    <x v="2"/>
    <n v="0"/>
  </r>
  <r>
    <n v="17099"/>
    <x v="0"/>
    <n v="1"/>
    <n v="351"/>
    <s v="No"/>
    <x v="0"/>
    <x v="0"/>
    <n v="0"/>
  </r>
  <r>
    <n v="18507"/>
    <x v="1"/>
    <n v="11"/>
    <n v="152"/>
    <s v="No"/>
    <x v="1"/>
    <x v="2"/>
    <n v="0"/>
  </r>
  <r>
    <n v="11522"/>
    <x v="1"/>
    <n v="6"/>
    <n v="347"/>
    <s v="No"/>
    <x v="0"/>
    <x v="1"/>
    <n v="0"/>
  </r>
  <r>
    <n v="14572"/>
    <x v="1"/>
    <n v="10"/>
    <n v="117"/>
    <s v="No"/>
    <x v="0"/>
    <x v="1"/>
    <n v="0"/>
  </r>
  <r>
    <n v="16496"/>
    <x v="0"/>
    <n v="6"/>
    <n v="290"/>
    <s v="No"/>
    <x v="0"/>
    <x v="1"/>
    <n v="0"/>
  </r>
  <r>
    <n v="14293"/>
    <x v="0"/>
    <n v="2"/>
    <n v="353"/>
    <s v="No"/>
    <x v="1"/>
    <x v="0"/>
    <n v="0"/>
  </r>
  <r>
    <n v="10253"/>
    <x v="1"/>
    <n v="14"/>
    <n v="344"/>
    <s v="No"/>
    <x v="1"/>
    <x v="1"/>
    <n v="0"/>
  </r>
  <r>
    <n v="16078"/>
    <x v="0"/>
    <n v="6"/>
    <n v="211"/>
    <s v="No"/>
    <x v="0"/>
    <x v="1"/>
    <n v="0"/>
  </r>
  <r>
    <n v="19995"/>
    <x v="1"/>
    <n v="4"/>
    <n v="73"/>
    <s v="No"/>
    <x v="1"/>
    <x v="1"/>
    <n v="0"/>
  </r>
  <r>
    <n v="10213"/>
    <x v="0"/>
    <n v="10"/>
    <n v="369"/>
    <s v="No"/>
    <x v="1"/>
    <x v="2"/>
    <n v="0"/>
  </r>
  <r>
    <n v="14664"/>
    <x v="0"/>
    <n v="7"/>
    <n v="192"/>
    <s v="No"/>
    <x v="1"/>
    <x v="0"/>
    <n v="0"/>
  </r>
  <r>
    <n v="12094"/>
    <x v="1"/>
    <n v="10"/>
    <n v="166"/>
    <s v="No"/>
    <x v="0"/>
    <x v="3"/>
    <n v="0"/>
  </r>
  <r>
    <n v="16472"/>
    <x v="1"/>
    <n v="14"/>
    <n v="220"/>
    <s v="No"/>
    <x v="0"/>
    <x v="2"/>
    <n v="0"/>
  </r>
  <r>
    <n v="18908"/>
    <x v="0"/>
    <n v="8"/>
    <n v="171"/>
    <s v="No"/>
    <x v="1"/>
    <x v="0"/>
    <n v="0"/>
  </r>
  <r>
    <n v="10622"/>
    <x v="1"/>
    <n v="11"/>
    <n v="137"/>
    <s v="No"/>
    <x v="0"/>
    <x v="0"/>
    <n v="0"/>
  </r>
  <r>
    <n v="12329"/>
    <x v="1"/>
    <n v="14"/>
    <n v="379"/>
    <s v="No"/>
    <x v="1"/>
    <x v="3"/>
    <n v="0"/>
  </r>
  <r>
    <n v="14471"/>
    <x v="0"/>
    <n v="13"/>
    <n v="104"/>
    <s v="No"/>
    <x v="1"/>
    <x v="0"/>
    <n v="0"/>
  </r>
  <r>
    <n v="11118"/>
    <x v="0"/>
    <n v="12"/>
    <n v="86"/>
    <s v="No"/>
    <x v="0"/>
    <x v="1"/>
    <n v="0"/>
  </r>
  <r>
    <n v="11371"/>
    <x v="1"/>
    <n v="14"/>
    <n v="446"/>
    <s v="No"/>
    <x v="1"/>
    <x v="0"/>
    <n v="0"/>
  </r>
  <r>
    <n v="13365"/>
    <x v="0"/>
    <n v="4"/>
    <n v="55"/>
    <s v="No"/>
    <x v="0"/>
    <x v="1"/>
    <n v="0"/>
  </r>
  <r>
    <n v="19410"/>
    <x v="0"/>
    <n v="2"/>
    <n v="162"/>
    <s v="No"/>
    <x v="1"/>
    <x v="2"/>
    <n v="0"/>
  </r>
  <r>
    <n v="15873"/>
    <x v="0"/>
    <n v="3"/>
    <n v="378"/>
    <s v="Yes"/>
    <x v="0"/>
    <x v="0"/>
    <n v="1"/>
  </r>
  <r>
    <n v="10302"/>
    <x v="0"/>
    <n v="9"/>
    <n v="363"/>
    <s v="No"/>
    <x v="1"/>
    <x v="0"/>
    <n v="0"/>
  </r>
  <r>
    <n v="18755"/>
    <x v="1"/>
    <n v="2"/>
    <n v="217"/>
    <s v="No"/>
    <x v="0"/>
    <x v="0"/>
    <n v="0"/>
  </r>
  <r>
    <n v="13085"/>
    <x v="1"/>
    <n v="13"/>
    <n v="350"/>
    <s v="No"/>
    <x v="1"/>
    <x v="2"/>
    <n v="0"/>
  </r>
  <r>
    <n v="10396"/>
    <x v="1"/>
    <n v="6"/>
    <n v="341"/>
    <s v="No"/>
    <x v="0"/>
    <x v="0"/>
    <n v="0"/>
  </r>
  <r>
    <n v="10151"/>
    <x v="0"/>
    <n v="3"/>
    <n v="281"/>
    <s v="No"/>
    <x v="1"/>
    <x v="1"/>
    <n v="0"/>
  </r>
  <r>
    <n v="13946"/>
    <x v="1"/>
    <n v="6"/>
    <n v="401"/>
    <s v="No"/>
    <x v="0"/>
    <x v="0"/>
    <n v="0"/>
  </r>
  <r>
    <n v="10131"/>
    <x v="1"/>
    <n v="14"/>
    <n v="125"/>
    <s v="No"/>
    <x v="1"/>
    <x v="3"/>
    <n v="0"/>
  </r>
  <r>
    <n v="18009"/>
    <x v="1"/>
    <n v="5"/>
    <n v="63"/>
    <s v="No"/>
    <x v="0"/>
    <x v="1"/>
    <n v="0"/>
  </r>
  <r>
    <n v="16282"/>
    <x v="1"/>
    <n v="4"/>
    <n v="79"/>
    <s v="No"/>
    <x v="0"/>
    <x v="0"/>
    <n v="0"/>
  </r>
  <r>
    <n v="16025"/>
    <x v="1"/>
    <n v="3"/>
    <n v="103"/>
    <s v="No"/>
    <x v="1"/>
    <x v="2"/>
    <n v="0"/>
  </r>
  <r>
    <n v="17325"/>
    <x v="0"/>
    <n v="13"/>
    <n v="83"/>
    <s v="Yes"/>
    <x v="0"/>
    <x v="2"/>
    <n v="1"/>
  </r>
  <r>
    <n v="19055"/>
    <x v="0"/>
    <n v="12"/>
    <n v="359"/>
    <s v="No"/>
    <x v="0"/>
    <x v="3"/>
    <n v="0"/>
  </r>
  <r>
    <n v="19435"/>
    <x v="1"/>
    <n v="8"/>
    <n v="49"/>
    <s v="No"/>
    <x v="0"/>
    <x v="1"/>
    <n v="0"/>
  </r>
  <r>
    <n v="14773"/>
    <x v="0"/>
    <n v="7"/>
    <n v="332"/>
    <s v="No"/>
    <x v="1"/>
    <x v="0"/>
    <n v="0"/>
  </r>
  <r>
    <n v="11234"/>
    <x v="1"/>
    <n v="7"/>
    <n v="75"/>
    <s v="No"/>
    <x v="0"/>
    <x v="3"/>
    <n v="0"/>
  </r>
  <r>
    <n v="18322"/>
    <x v="0"/>
    <n v="14"/>
    <n v="171"/>
    <s v="No"/>
    <x v="1"/>
    <x v="3"/>
    <n v="0"/>
  </r>
  <r>
    <n v="13499"/>
    <x v="0"/>
    <n v="7"/>
    <n v="91"/>
    <s v="No"/>
    <x v="1"/>
    <x v="2"/>
    <n v="0"/>
  </r>
  <r>
    <n v="18087"/>
    <x v="0"/>
    <n v="10"/>
    <n v="54"/>
    <s v="No"/>
    <x v="0"/>
    <x v="1"/>
    <n v="0"/>
  </r>
  <r>
    <n v="14997"/>
    <x v="1"/>
    <n v="5"/>
    <n v="372"/>
    <s v="No"/>
    <x v="0"/>
    <x v="0"/>
    <n v="0"/>
  </r>
  <r>
    <n v="10373"/>
    <x v="1"/>
    <n v="12"/>
    <n v="158"/>
    <s v="No"/>
    <x v="0"/>
    <x v="0"/>
    <n v="0"/>
  </r>
  <r>
    <n v="11654"/>
    <x v="0"/>
    <n v="6"/>
    <n v="281"/>
    <s v="Yes"/>
    <x v="0"/>
    <x v="2"/>
    <n v="1"/>
  </r>
  <r>
    <n v="18922"/>
    <x v="0"/>
    <n v="2"/>
    <n v="440"/>
    <s v="No"/>
    <x v="1"/>
    <x v="0"/>
    <n v="0"/>
  </r>
  <r>
    <n v="16624"/>
    <x v="1"/>
    <n v="13"/>
    <n v="227"/>
    <s v="No"/>
    <x v="0"/>
    <x v="2"/>
    <n v="0"/>
  </r>
  <r>
    <n v="13130"/>
    <x v="0"/>
    <n v="6"/>
    <n v="108"/>
    <s v="No"/>
    <x v="1"/>
    <x v="2"/>
    <n v="0"/>
  </r>
  <r>
    <n v="14700"/>
    <x v="0"/>
    <n v="13"/>
    <n v="285"/>
    <s v="No"/>
    <x v="1"/>
    <x v="3"/>
    <n v="0"/>
  </r>
  <r>
    <n v="12086"/>
    <x v="1"/>
    <n v="10"/>
    <n v="417"/>
    <s v="No"/>
    <x v="1"/>
    <x v="1"/>
    <n v="0"/>
  </r>
  <r>
    <n v="14423"/>
    <x v="0"/>
    <n v="12"/>
    <n v="314"/>
    <s v="No"/>
    <x v="0"/>
    <x v="0"/>
    <n v="0"/>
  </r>
  <r>
    <n v="10576"/>
    <x v="0"/>
    <n v="6"/>
    <n v="165"/>
    <s v="No"/>
    <x v="1"/>
    <x v="3"/>
    <n v="0"/>
  </r>
  <r>
    <n v="18909"/>
    <x v="1"/>
    <n v="1"/>
    <n v="113"/>
    <s v="Yes"/>
    <x v="1"/>
    <x v="0"/>
    <n v="1"/>
  </r>
  <r>
    <n v="11875"/>
    <x v="0"/>
    <n v="10"/>
    <n v="418"/>
    <s v="No"/>
    <x v="0"/>
    <x v="1"/>
    <n v="0"/>
  </r>
  <r>
    <n v="17984"/>
    <x v="0"/>
    <n v="1"/>
    <n v="413"/>
    <s v="No"/>
    <x v="0"/>
    <x v="3"/>
    <n v="0"/>
  </r>
  <r>
    <n v="15967"/>
    <x v="1"/>
    <n v="2"/>
    <n v="84"/>
    <s v="No"/>
    <x v="1"/>
    <x v="0"/>
    <n v="0"/>
  </r>
  <r>
    <n v="16675"/>
    <x v="0"/>
    <n v="3"/>
    <n v="68"/>
    <s v="No"/>
    <x v="0"/>
    <x v="0"/>
    <n v="0"/>
  </r>
  <r>
    <n v="14181"/>
    <x v="1"/>
    <n v="1"/>
    <n v="329"/>
    <s v="No"/>
    <x v="0"/>
    <x v="2"/>
    <n v="0"/>
  </r>
  <r>
    <n v="17542"/>
    <x v="0"/>
    <n v="11"/>
    <n v="446"/>
    <s v="Yes"/>
    <x v="0"/>
    <x v="1"/>
    <n v="1"/>
  </r>
  <r>
    <n v="15160"/>
    <x v="1"/>
    <n v="11"/>
    <n v="257"/>
    <s v="Yes"/>
    <x v="1"/>
    <x v="2"/>
    <n v="1"/>
  </r>
  <r>
    <n v="18455"/>
    <x v="0"/>
    <n v="4"/>
    <n v="132"/>
    <s v="No"/>
    <x v="0"/>
    <x v="0"/>
    <n v="0"/>
  </r>
  <r>
    <n v="13729"/>
    <x v="1"/>
    <n v="11"/>
    <n v="449"/>
    <s v="No"/>
    <x v="1"/>
    <x v="2"/>
    <n v="0"/>
  </r>
  <r>
    <n v="19960"/>
    <x v="1"/>
    <n v="5"/>
    <n v="333"/>
    <s v="No"/>
    <x v="0"/>
    <x v="1"/>
    <n v="0"/>
  </r>
  <r>
    <n v="14422"/>
    <x v="1"/>
    <n v="11"/>
    <n v="75"/>
    <s v="No"/>
    <x v="0"/>
    <x v="0"/>
    <n v="0"/>
  </r>
  <r>
    <n v="17593"/>
    <x v="0"/>
    <n v="14"/>
    <n v="102"/>
    <s v="No"/>
    <x v="0"/>
    <x v="3"/>
    <n v="0"/>
  </r>
  <r>
    <n v="18571"/>
    <x v="1"/>
    <n v="2"/>
    <n v="67"/>
    <s v="No"/>
    <x v="0"/>
    <x v="1"/>
    <n v="0"/>
  </r>
  <r>
    <n v="12609"/>
    <x v="0"/>
    <n v="1"/>
    <n v="405"/>
    <s v="No"/>
    <x v="0"/>
    <x v="0"/>
    <n v="0"/>
  </r>
  <r>
    <n v="19646"/>
    <x v="0"/>
    <n v="12"/>
    <n v="206"/>
    <s v="No"/>
    <x v="0"/>
    <x v="1"/>
    <n v="0"/>
  </r>
  <r>
    <n v="19322"/>
    <x v="0"/>
    <n v="5"/>
    <n v="77"/>
    <s v="No"/>
    <x v="0"/>
    <x v="1"/>
    <n v="0"/>
  </r>
  <r>
    <n v="13901"/>
    <x v="1"/>
    <n v="13"/>
    <n v="137"/>
    <s v="No"/>
    <x v="1"/>
    <x v="2"/>
    <n v="0"/>
  </r>
  <r>
    <n v="13651"/>
    <x v="1"/>
    <n v="12"/>
    <n v="352"/>
    <s v="No"/>
    <x v="1"/>
    <x v="2"/>
    <n v="0"/>
  </r>
  <r>
    <n v="11407"/>
    <x v="1"/>
    <n v="3"/>
    <n v="421"/>
    <s v="No"/>
    <x v="0"/>
    <x v="1"/>
    <n v="0"/>
  </r>
  <r>
    <n v="18291"/>
    <x v="0"/>
    <n v="2"/>
    <n v="165"/>
    <s v="No"/>
    <x v="0"/>
    <x v="3"/>
    <n v="0"/>
  </r>
  <r>
    <n v="15361"/>
    <x v="1"/>
    <n v="14"/>
    <n v="441"/>
    <s v="No"/>
    <x v="1"/>
    <x v="1"/>
    <n v="0"/>
  </r>
  <r>
    <n v="13306"/>
    <x v="1"/>
    <n v="14"/>
    <n v="448"/>
    <s v="No"/>
    <x v="1"/>
    <x v="0"/>
    <n v="0"/>
  </r>
  <r>
    <n v="15921"/>
    <x v="1"/>
    <n v="10"/>
    <n v="326"/>
    <s v="No"/>
    <x v="1"/>
    <x v="0"/>
    <n v="0"/>
  </r>
  <r>
    <n v="17110"/>
    <x v="0"/>
    <n v="12"/>
    <n v="419"/>
    <s v="No"/>
    <x v="1"/>
    <x v="1"/>
    <n v="0"/>
  </r>
  <r>
    <n v="17978"/>
    <x v="0"/>
    <n v="1"/>
    <n v="229"/>
    <s v="No"/>
    <x v="1"/>
    <x v="1"/>
    <n v="0"/>
  </r>
  <r>
    <n v="11393"/>
    <x v="0"/>
    <n v="8"/>
    <n v="171"/>
    <s v="No"/>
    <x v="0"/>
    <x v="1"/>
    <n v="0"/>
  </r>
  <r>
    <n v="18491"/>
    <x v="1"/>
    <n v="1"/>
    <n v="310"/>
    <s v="No"/>
    <x v="0"/>
    <x v="0"/>
    <n v="0"/>
  </r>
  <r>
    <n v="14598"/>
    <x v="1"/>
    <n v="7"/>
    <n v="312"/>
    <s v="No"/>
    <x v="1"/>
    <x v="2"/>
    <n v="0"/>
  </r>
  <r>
    <n v="13254"/>
    <x v="1"/>
    <n v="3"/>
    <n v="351"/>
    <s v="No"/>
    <x v="1"/>
    <x v="3"/>
    <n v="0"/>
  </r>
  <r>
    <n v="14486"/>
    <x v="1"/>
    <n v="9"/>
    <n v="329"/>
    <s v="No"/>
    <x v="1"/>
    <x v="1"/>
    <n v="0"/>
  </r>
  <r>
    <n v="15682"/>
    <x v="0"/>
    <n v="11"/>
    <n v="189"/>
    <s v="No"/>
    <x v="1"/>
    <x v="1"/>
    <n v="0"/>
  </r>
  <r>
    <n v="14388"/>
    <x v="1"/>
    <n v="5"/>
    <n v="119"/>
    <s v="No"/>
    <x v="1"/>
    <x v="3"/>
    <n v="0"/>
  </r>
  <r>
    <n v="14297"/>
    <x v="1"/>
    <n v="7"/>
    <n v="158"/>
    <s v="No"/>
    <x v="0"/>
    <x v="0"/>
    <n v="0"/>
  </r>
  <r>
    <n v="19372"/>
    <x v="0"/>
    <n v="3"/>
    <n v="408"/>
    <s v="No"/>
    <x v="1"/>
    <x v="3"/>
    <n v="0"/>
  </r>
  <r>
    <n v="12631"/>
    <x v="0"/>
    <n v="4"/>
    <n v="411"/>
    <s v="No"/>
    <x v="0"/>
    <x v="2"/>
    <n v="0"/>
  </r>
  <r>
    <n v="11493"/>
    <x v="1"/>
    <n v="8"/>
    <n v="195"/>
    <s v="No"/>
    <x v="0"/>
    <x v="2"/>
    <n v="0"/>
  </r>
  <r>
    <n v="13935"/>
    <x v="0"/>
    <n v="11"/>
    <n v="152"/>
    <s v="No"/>
    <x v="1"/>
    <x v="3"/>
    <n v="0"/>
  </r>
  <r>
    <n v="11341"/>
    <x v="0"/>
    <n v="8"/>
    <n v="308"/>
    <s v="Yes"/>
    <x v="1"/>
    <x v="2"/>
    <n v="1"/>
  </r>
  <r>
    <n v="17008"/>
    <x v="0"/>
    <n v="6"/>
    <n v="262"/>
    <s v="No"/>
    <x v="1"/>
    <x v="2"/>
    <n v="0"/>
  </r>
  <r>
    <n v="11788"/>
    <x v="0"/>
    <n v="8"/>
    <n v="91"/>
    <s v="No"/>
    <x v="0"/>
    <x v="0"/>
    <n v="0"/>
  </r>
  <r>
    <n v="18292"/>
    <x v="1"/>
    <n v="12"/>
    <n v="168"/>
    <s v="No"/>
    <x v="1"/>
    <x v="1"/>
    <n v="0"/>
  </r>
  <r>
    <n v="15668"/>
    <x v="0"/>
    <n v="5"/>
    <n v="209"/>
    <s v="No"/>
    <x v="1"/>
    <x v="1"/>
    <n v="0"/>
  </r>
  <r>
    <n v="18620"/>
    <x v="1"/>
    <n v="13"/>
    <n v="143"/>
    <s v="No"/>
    <x v="0"/>
    <x v="0"/>
    <n v="0"/>
  </r>
  <r>
    <n v="12319"/>
    <x v="0"/>
    <n v="5"/>
    <n v="54"/>
    <s v="No"/>
    <x v="1"/>
    <x v="2"/>
    <n v="0"/>
  </r>
  <r>
    <n v="18247"/>
    <x v="0"/>
    <n v="12"/>
    <n v="303"/>
    <s v="No"/>
    <x v="1"/>
    <x v="3"/>
    <n v="0"/>
  </r>
  <r>
    <n v="16327"/>
    <x v="1"/>
    <n v="14"/>
    <n v="55"/>
    <s v="No"/>
    <x v="1"/>
    <x v="2"/>
    <n v="0"/>
  </r>
  <r>
    <n v="15231"/>
    <x v="0"/>
    <n v="7"/>
    <n v="240"/>
    <s v="No"/>
    <x v="1"/>
    <x v="0"/>
    <n v="0"/>
  </r>
  <r>
    <n v="15547"/>
    <x v="0"/>
    <n v="5"/>
    <n v="434"/>
    <s v="No"/>
    <x v="0"/>
    <x v="3"/>
    <n v="0"/>
  </r>
  <r>
    <n v="17036"/>
    <x v="1"/>
    <n v="6"/>
    <n v="91"/>
    <s v="No"/>
    <x v="1"/>
    <x v="0"/>
    <n v="0"/>
  </r>
  <r>
    <n v="12230"/>
    <x v="1"/>
    <n v="2"/>
    <n v="200"/>
    <s v="No"/>
    <x v="0"/>
    <x v="3"/>
    <n v="0"/>
  </r>
  <r>
    <n v="16628"/>
    <x v="1"/>
    <n v="12"/>
    <n v="285"/>
    <s v="No"/>
    <x v="0"/>
    <x v="2"/>
    <n v="0"/>
  </r>
  <r>
    <n v="16215"/>
    <x v="0"/>
    <n v="2"/>
    <n v="78"/>
    <s v="No"/>
    <x v="0"/>
    <x v="2"/>
    <n v="0"/>
  </r>
  <r>
    <n v="17259"/>
    <x v="1"/>
    <n v="12"/>
    <n v="312"/>
    <s v="No"/>
    <x v="1"/>
    <x v="2"/>
    <n v="0"/>
  </r>
  <r>
    <n v="10110"/>
    <x v="0"/>
    <n v="7"/>
    <n v="197"/>
    <s v="No"/>
    <x v="0"/>
    <x v="0"/>
    <n v="0"/>
  </r>
  <r>
    <n v="17471"/>
    <x v="1"/>
    <n v="12"/>
    <n v="366"/>
    <s v="No"/>
    <x v="0"/>
    <x v="0"/>
    <n v="0"/>
  </r>
  <r>
    <n v="13443"/>
    <x v="1"/>
    <n v="7"/>
    <n v="273"/>
    <s v="No"/>
    <x v="1"/>
    <x v="1"/>
    <n v="0"/>
  </r>
  <r>
    <n v="10924"/>
    <x v="1"/>
    <n v="5"/>
    <n v="174"/>
    <s v="No"/>
    <x v="0"/>
    <x v="1"/>
    <n v="0"/>
  </r>
  <r>
    <n v="13896"/>
    <x v="1"/>
    <n v="9"/>
    <n v="371"/>
    <s v="No"/>
    <x v="0"/>
    <x v="0"/>
    <n v="0"/>
  </r>
  <r>
    <n v="15021"/>
    <x v="0"/>
    <n v="11"/>
    <n v="326"/>
    <s v="Yes"/>
    <x v="0"/>
    <x v="2"/>
    <n v="1"/>
  </r>
  <r>
    <n v="19713"/>
    <x v="0"/>
    <n v="9"/>
    <n v="123"/>
    <s v="No"/>
    <x v="0"/>
    <x v="1"/>
    <n v="0"/>
  </r>
  <r>
    <n v="19124"/>
    <x v="1"/>
    <n v="4"/>
    <n v="212"/>
    <s v="No"/>
    <x v="1"/>
    <x v="1"/>
    <n v="0"/>
  </r>
  <r>
    <n v="12255"/>
    <x v="1"/>
    <n v="7"/>
    <n v="382"/>
    <s v="No"/>
    <x v="1"/>
    <x v="2"/>
    <n v="0"/>
  </r>
  <r>
    <n v="12966"/>
    <x v="0"/>
    <n v="11"/>
    <n v="436"/>
    <s v="No"/>
    <x v="0"/>
    <x v="0"/>
    <n v="0"/>
  </r>
  <r>
    <n v="19786"/>
    <x v="1"/>
    <n v="1"/>
    <n v="177"/>
    <s v="No"/>
    <x v="0"/>
    <x v="1"/>
    <n v="0"/>
  </r>
  <r>
    <n v="12377"/>
    <x v="1"/>
    <n v="13"/>
    <n v="150"/>
    <s v="No"/>
    <x v="0"/>
    <x v="0"/>
    <n v="0"/>
  </r>
  <r>
    <n v="13252"/>
    <x v="1"/>
    <n v="11"/>
    <n v="157"/>
    <s v="No"/>
    <x v="1"/>
    <x v="3"/>
    <n v="0"/>
  </r>
  <r>
    <n v="11739"/>
    <x v="0"/>
    <n v="4"/>
    <n v="55"/>
    <s v="No"/>
    <x v="1"/>
    <x v="3"/>
    <n v="0"/>
  </r>
  <r>
    <n v="16152"/>
    <x v="0"/>
    <n v="3"/>
    <n v="334"/>
    <s v="No"/>
    <x v="1"/>
    <x v="2"/>
    <n v="0"/>
  </r>
  <r>
    <n v="12693"/>
    <x v="1"/>
    <n v="8"/>
    <n v="394"/>
    <s v="No"/>
    <x v="1"/>
    <x v="0"/>
    <n v="0"/>
  </r>
  <r>
    <n v="12475"/>
    <x v="1"/>
    <n v="9"/>
    <n v="275"/>
    <s v="No"/>
    <x v="1"/>
    <x v="0"/>
    <n v="0"/>
  </r>
  <r>
    <n v="19580"/>
    <x v="1"/>
    <n v="8"/>
    <n v="62"/>
    <s v="No"/>
    <x v="0"/>
    <x v="1"/>
    <n v="0"/>
  </r>
  <r>
    <n v="10160"/>
    <x v="0"/>
    <n v="3"/>
    <n v="91"/>
    <s v="No"/>
    <x v="1"/>
    <x v="0"/>
    <n v="0"/>
  </r>
  <r>
    <n v="14939"/>
    <x v="0"/>
    <n v="5"/>
    <n v="427"/>
    <s v="No"/>
    <x v="0"/>
    <x v="3"/>
    <n v="0"/>
  </r>
  <r>
    <n v="14923"/>
    <x v="0"/>
    <n v="3"/>
    <n v="236"/>
    <s v="Yes"/>
    <x v="0"/>
    <x v="0"/>
    <n v="1"/>
  </r>
  <r>
    <n v="11898"/>
    <x v="1"/>
    <n v="14"/>
    <n v="393"/>
    <s v="No"/>
    <x v="1"/>
    <x v="2"/>
    <n v="0"/>
  </r>
  <r>
    <n v="17960"/>
    <x v="0"/>
    <n v="9"/>
    <n v="209"/>
    <s v="No"/>
    <x v="0"/>
    <x v="2"/>
    <n v="0"/>
  </r>
  <r>
    <n v="18206"/>
    <x v="1"/>
    <n v="13"/>
    <n v="321"/>
    <s v="No"/>
    <x v="0"/>
    <x v="2"/>
    <n v="0"/>
  </r>
  <r>
    <n v="14716"/>
    <x v="1"/>
    <n v="11"/>
    <n v="360"/>
    <s v="No"/>
    <x v="1"/>
    <x v="2"/>
    <n v="0"/>
  </r>
  <r>
    <n v="13074"/>
    <x v="0"/>
    <n v="6"/>
    <n v="185"/>
    <s v="No"/>
    <x v="1"/>
    <x v="0"/>
    <n v="0"/>
  </r>
  <r>
    <n v="12602"/>
    <x v="1"/>
    <n v="11"/>
    <n v="247"/>
    <s v="No"/>
    <x v="0"/>
    <x v="0"/>
    <n v="0"/>
  </r>
  <r>
    <n v="11885"/>
    <x v="0"/>
    <n v="2"/>
    <n v="403"/>
    <s v="No"/>
    <x v="1"/>
    <x v="2"/>
    <n v="0"/>
  </r>
  <r>
    <n v="14861"/>
    <x v="0"/>
    <n v="13"/>
    <n v="129"/>
    <s v="No"/>
    <x v="0"/>
    <x v="1"/>
    <n v="0"/>
  </r>
  <r>
    <n v="12461"/>
    <x v="0"/>
    <n v="2"/>
    <n v="127"/>
    <s v="No"/>
    <x v="1"/>
    <x v="2"/>
    <n v="0"/>
  </r>
  <r>
    <n v="13229"/>
    <x v="1"/>
    <n v="3"/>
    <n v="48"/>
    <s v="No"/>
    <x v="1"/>
    <x v="3"/>
    <n v="0"/>
  </r>
  <r>
    <n v="17308"/>
    <x v="1"/>
    <n v="7"/>
    <n v="238"/>
    <s v="No"/>
    <x v="0"/>
    <x v="3"/>
    <n v="0"/>
  </r>
  <r>
    <n v="16581"/>
    <x v="0"/>
    <n v="5"/>
    <n v="372"/>
    <s v="Yes"/>
    <x v="0"/>
    <x v="3"/>
    <n v="1"/>
  </r>
  <r>
    <n v="12110"/>
    <x v="0"/>
    <n v="11"/>
    <n v="413"/>
    <s v="No"/>
    <x v="0"/>
    <x v="1"/>
    <n v="0"/>
  </r>
  <r>
    <n v="10196"/>
    <x v="1"/>
    <n v="6"/>
    <n v="156"/>
    <s v="No"/>
    <x v="1"/>
    <x v="1"/>
    <n v="0"/>
  </r>
  <r>
    <n v="17068"/>
    <x v="1"/>
    <n v="4"/>
    <n v="300"/>
    <s v="No"/>
    <x v="1"/>
    <x v="3"/>
    <n v="0"/>
  </r>
  <r>
    <n v="11703"/>
    <x v="0"/>
    <n v="8"/>
    <n v="150"/>
    <s v="No"/>
    <x v="1"/>
    <x v="0"/>
    <n v="0"/>
  </r>
  <r>
    <n v="10311"/>
    <x v="1"/>
    <n v="2"/>
    <n v="342"/>
    <s v="No"/>
    <x v="0"/>
    <x v="3"/>
    <n v="0"/>
  </r>
  <r>
    <n v="11065"/>
    <x v="1"/>
    <n v="13"/>
    <n v="287"/>
    <s v="No"/>
    <x v="0"/>
    <x v="0"/>
    <n v="0"/>
  </r>
  <r>
    <n v="12855"/>
    <x v="0"/>
    <n v="8"/>
    <n v="231"/>
    <s v="No"/>
    <x v="0"/>
    <x v="3"/>
    <n v="0"/>
  </r>
  <r>
    <n v="16586"/>
    <x v="1"/>
    <n v="10"/>
    <n v="394"/>
    <s v="No"/>
    <x v="0"/>
    <x v="1"/>
    <n v="0"/>
  </r>
  <r>
    <n v="16582"/>
    <x v="1"/>
    <n v="4"/>
    <n v="258"/>
    <s v="No"/>
    <x v="1"/>
    <x v="1"/>
    <n v="0"/>
  </r>
  <r>
    <n v="17477"/>
    <x v="0"/>
    <n v="10"/>
    <n v="217"/>
    <s v="No"/>
    <x v="1"/>
    <x v="3"/>
    <n v="0"/>
  </r>
  <r>
    <n v="11692"/>
    <x v="1"/>
    <n v="9"/>
    <n v="447"/>
    <s v="No"/>
    <x v="1"/>
    <x v="0"/>
    <n v="0"/>
  </r>
  <r>
    <n v="10976"/>
    <x v="1"/>
    <n v="2"/>
    <n v="382"/>
    <s v="Yes"/>
    <x v="0"/>
    <x v="2"/>
    <n v="1"/>
  </r>
  <r>
    <n v="15702"/>
    <x v="1"/>
    <n v="7"/>
    <n v="269"/>
    <s v="No"/>
    <x v="0"/>
    <x v="3"/>
    <n v="0"/>
  </r>
  <r>
    <n v="10075"/>
    <x v="0"/>
    <n v="4"/>
    <n v="92"/>
    <s v="No"/>
    <x v="0"/>
    <x v="3"/>
    <n v="0"/>
  </r>
  <r>
    <n v="14917"/>
    <x v="0"/>
    <n v="7"/>
    <n v="417"/>
    <s v="Yes"/>
    <x v="1"/>
    <x v="2"/>
    <n v="1"/>
  </r>
  <r>
    <n v="15094"/>
    <x v="0"/>
    <n v="14"/>
    <n v="118"/>
    <s v="Yes"/>
    <x v="1"/>
    <x v="2"/>
    <n v="1"/>
  </r>
  <r>
    <n v="17994"/>
    <x v="1"/>
    <n v="8"/>
    <n v="46"/>
    <s v="No"/>
    <x v="0"/>
    <x v="1"/>
    <n v="0"/>
  </r>
  <r>
    <n v="16370"/>
    <x v="1"/>
    <n v="1"/>
    <n v="376"/>
    <s v="No"/>
    <x v="0"/>
    <x v="1"/>
    <n v="0"/>
  </r>
  <r>
    <n v="19379"/>
    <x v="1"/>
    <n v="6"/>
    <n v="88"/>
    <s v="No"/>
    <x v="0"/>
    <x v="1"/>
    <n v="0"/>
  </r>
  <r>
    <n v="16094"/>
    <x v="0"/>
    <n v="9"/>
    <n v="179"/>
    <s v="No"/>
    <x v="1"/>
    <x v="0"/>
    <n v="0"/>
  </r>
  <r>
    <n v="15859"/>
    <x v="1"/>
    <n v="6"/>
    <n v="430"/>
    <s v="No"/>
    <x v="0"/>
    <x v="1"/>
    <n v="0"/>
  </r>
  <r>
    <n v="14489"/>
    <x v="0"/>
    <n v="9"/>
    <n v="274"/>
    <s v="No"/>
    <x v="0"/>
    <x v="1"/>
    <n v="0"/>
  </r>
  <r>
    <n v="17003"/>
    <x v="0"/>
    <n v="12"/>
    <n v="91"/>
    <s v="Yes"/>
    <x v="1"/>
    <x v="1"/>
    <n v="1"/>
  </r>
  <r>
    <n v="16265"/>
    <x v="0"/>
    <n v="6"/>
    <n v="273"/>
    <s v="No"/>
    <x v="1"/>
    <x v="0"/>
    <n v="0"/>
  </r>
  <r>
    <n v="18658"/>
    <x v="1"/>
    <n v="9"/>
    <n v="268"/>
    <s v="No"/>
    <x v="0"/>
    <x v="1"/>
    <n v="0"/>
  </r>
  <r>
    <n v="11647"/>
    <x v="1"/>
    <n v="10"/>
    <n v="319"/>
    <s v="No"/>
    <x v="1"/>
    <x v="1"/>
    <n v="0"/>
  </r>
  <r>
    <n v="13046"/>
    <x v="0"/>
    <n v="12"/>
    <n v="378"/>
    <s v="No"/>
    <x v="1"/>
    <x v="1"/>
    <n v="0"/>
  </r>
  <r>
    <n v="11466"/>
    <x v="0"/>
    <n v="11"/>
    <n v="247"/>
    <s v="Yes"/>
    <x v="1"/>
    <x v="1"/>
    <n v="1"/>
  </r>
  <r>
    <n v="10512"/>
    <x v="1"/>
    <n v="7"/>
    <n v="79"/>
    <s v="No"/>
    <x v="1"/>
    <x v="3"/>
    <n v="0"/>
  </r>
  <r>
    <n v="14977"/>
    <x v="1"/>
    <n v="4"/>
    <n v="54"/>
    <s v="No"/>
    <x v="1"/>
    <x v="3"/>
    <n v="0"/>
  </r>
  <r>
    <n v="15980"/>
    <x v="0"/>
    <n v="11"/>
    <n v="164"/>
    <s v="No"/>
    <x v="1"/>
    <x v="3"/>
    <n v="0"/>
  </r>
  <r>
    <n v="17489"/>
    <x v="0"/>
    <n v="4"/>
    <n v="357"/>
    <s v="No"/>
    <x v="0"/>
    <x v="1"/>
    <n v="0"/>
  </r>
  <r>
    <n v="13280"/>
    <x v="1"/>
    <n v="12"/>
    <n v="317"/>
    <s v="No"/>
    <x v="0"/>
    <x v="3"/>
    <n v="0"/>
  </r>
  <r>
    <n v="11321"/>
    <x v="0"/>
    <n v="4"/>
    <n v="134"/>
    <s v="No"/>
    <x v="0"/>
    <x v="1"/>
    <n v="0"/>
  </r>
  <r>
    <n v="12194"/>
    <x v="1"/>
    <n v="11"/>
    <n v="279"/>
    <s v="No"/>
    <x v="0"/>
    <x v="3"/>
    <n v="0"/>
  </r>
  <r>
    <n v="10843"/>
    <x v="1"/>
    <n v="11"/>
    <n v="114"/>
    <s v="No"/>
    <x v="0"/>
    <x v="1"/>
    <n v="0"/>
  </r>
  <r>
    <n v="19736"/>
    <x v="1"/>
    <n v="1"/>
    <n v="238"/>
    <s v="No"/>
    <x v="1"/>
    <x v="2"/>
    <n v="0"/>
  </r>
  <r>
    <n v="15934"/>
    <x v="1"/>
    <n v="13"/>
    <n v="177"/>
    <s v="No"/>
    <x v="1"/>
    <x v="0"/>
    <n v="0"/>
  </r>
  <r>
    <n v="11271"/>
    <x v="0"/>
    <n v="14"/>
    <n v="351"/>
    <s v="No"/>
    <x v="1"/>
    <x v="1"/>
    <n v="0"/>
  </r>
  <r>
    <n v="17194"/>
    <x v="0"/>
    <n v="11"/>
    <n v="222"/>
    <s v="No"/>
    <x v="1"/>
    <x v="3"/>
    <n v="0"/>
  </r>
  <r>
    <n v="18615"/>
    <x v="0"/>
    <n v="3"/>
    <n v="211"/>
    <s v="No"/>
    <x v="1"/>
    <x v="1"/>
    <n v="0"/>
  </r>
  <r>
    <n v="17426"/>
    <x v="1"/>
    <n v="13"/>
    <n v="287"/>
    <s v="No"/>
    <x v="0"/>
    <x v="3"/>
    <n v="0"/>
  </r>
  <r>
    <n v="19014"/>
    <x v="1"/>
    <n v="12"/>
    <n v="151"/>
    <s v="No"/>
    <x v="1"/>
    <x v="1"/>
    <n v="0"/>
  </r>
  <r>
    <n v="19548"/>
    <x v="1"/>
    <n v="10"/>
    <n v="77"/>
    <s v="No"/>
    <x v="1"/>
    <x v="1"/>
    <n v="0"/>
  </r>
  <r>
    <n v="15872"/>
    <x v="1"/>
    <n v="6"/>
    <n v="266"/>
    <s v="No"/>
    <x v="1"/>
    <x v="3"/>
    <n v="0"/>
  </r>
  <r>
    <n v="14231"/>
    <x v="0"/>
    <n v="13"/>
    <n v="104"/>
    <s v="No"/>
    <x v="0"/>
    <x v="3"/>
    <n v="0"/>
  </r>
  <r>
    <n v="10900"/>
    <x v="1"/>
    <n v="12"/>
    <n v="128"/>
    <s v="No"/>
    <x v="0"/>
    <x v="3"/>
    <n v="0"/>
  </r>
  <r>
    <n v="12345"/>
    <x v="0"/>
    <n v="5"/>
    <n v="198"/>
    <s v="No"/>
    <x v="1"/>
    <x v="2"/>
    <n v="0"/>
  </r>
  <r>
    <n v="18840"/>
    <x v="1"/>
    <n v="10"/>
    <n v="186"/>
    <s v="No"/>
    <x v="0"/>
    <x v="2"/>
    <n v="0"/>
  </r>
  <r>
    <n v="17283"/>
    <x v="1"/>
    <n v="5"/>
    <n v="444"/>
    <s v="No"/>
    <x v="1"/>
    <x v="0"/>
    <n v="0"/>
  </r>
  <r>
    <n v="12802"/>
    <x v="0"/>
    <n v="8"/>
    <n v="335"/>
    <s v="No"/>
    <x v="1"/>
    <x v="2"/>
    <n v="0"/>
  </r>
  <r>
    <n v="14117"/>
    <x v="1"/>
    <n v="4"/>
    <n v="275"/>
    <s v="No"/>
    <x v="0"/>
    <x v="3"/>
    <n v="0"/>
  </r>
  <r>
    <n v="12568"/>
    <x v="0"/>
    <n v="12"/>
    <n v="381"/>
    <s v="No"/>
    <x v="1"/>
    <x v="1"/>
    <n v="0"/>
  </r>
  <r>
    <n v="17606"/>
    <x v="0"/>
    <n v="7"/>
    <n v="427"/>
    <s v="Yes"/>
    <x v="0"/>
    <x v="1"/>
    <n v="1"/>
  </r>
  <r>
    <n v="12685"/>
    <x v="0"/>
    <n v="9"/>
    <n v="200"/>
    <s v="Yes"/>
    <x v="1"/>
    <x v="1"/>
    <n v="1"/>
  </r>
  <r>
    <n v="14711"/>
    <x v="1"/>
    <n v="5"/>
    <n v="353"/>
    <s v="No"/>
    <x v="0"/>
    <x v="1"/>
    <n v="0"/>
  </r>
  <r>
    <n v="19220"/>
    <x v="0"/>
    <n v="1"/>
    <n v="59"/>
    <s v="No"/>
    <x v="1"/>
    <x v="0"/>
    <n v="0"/>
  </r>
  <r>
    <n v="14245"/>
    <x v="1"/>
    <n v="1"/>
    <n v="358"/>
    <s v="No"/>
    <x v="0"/>
    <x v="3"/>
    <n v="0"/>
  </r>
  <r>
    <n v="15123"/>
    <x v="1"/>
    <n v="7"/>
    <n v="265"/>
    <s v="No"/>
    <x v="0"/>
    <x v="2"/>
    <n v="0"/>
  </r>
  <r>
    <n v="12953"/>
    <x v="0"/>
    <n v="5"/>
    <n v="69"/>
    <s v="No"/>
    <x v="0"/>
    <x v="0"/>
    <n v="0"/>
  </r>
  <r>
    <n v="13476"/>
    <x v="1"/>
    <n v="12"/>
    <n v="161"/>
    <s v="No"/>
    <x v="1"/>
    <x v="1"/>
    <n v="0"/>
  </r>
  <r>
    <n v="19167"/>
    <x v="1"/>
    <n v="5"/>
    <n v="176"/>
    <s v="No"/>
    <x v="0"/>
    <x v="3"/>
    <n v="0"/>
  </r>
  <r>
    <n v="17654"/>
    <x v="1"/>
    <n v="10"/>
    <n v="62"/>
    <s v="No"/>
    <x v="1"/>
    <x v="3"/>
    <n v="0"/>
  </r>
  <r>
    <n v="18614"/>
    <x v="1"/>
    <n v="1"/>
    <n v="80"/>
    <s v="No"/>
    <x v="1"/>
    <x v="3"/>
    <n v="0"/>
  </r>
  <r>
    <n v="11435"/>
    <x v="1"/>
    <n v="6"/>
    <n v="354"/>
    <s v="No"/>
    <x v="0"/>
    <x v="0"/>
    <n v="0"/>
  </r>
  <r>
    <n v="12913"/>
    <x v="1"/>
    <n v="8"/>
    <n v="165"/>
    <s v="No"/>
    <x v="0"/>
    <x v="1"/>
    <n v="0"/>
  </r>
  <r>
    <n v="10922"/>
    <x v="0"/>
    <n v="3"/>
    <n v="155"/>
    <s v="No"/>
    <x v="0"/>
    <x v="1"/>
    <n v="0"/>
  </r>
  <r>
    <n v="11205"/>
    <x v="0"/>
    <n v="1"/>
    <n v="62"/>
    <s v="No"/>
    <x v="0"/>
    <x v="0"/>
    <n v="0"/>
  </r>
  <r>
    <n v="13743"/>
    <x v="0"/>
    <n v="14"/>
    <n v="126"/>
    <s v="No"/>
    <x v="1"/>
    <x v="0"/>
    <n v="0"/>
  </r>
  <r>
    <n v="19956"/>
    <x v="0"/>
    <n v="9"/>
    <n v="65"/>
    <s v="No"/>
    <x v="1"/>
    <x v="1"/>
    <n v="0"/>
  </r>
  <r>
    <n v="12228"/>
    <x v="1"/>
    <n v="5"/>
    <n v="344"/>
    <s v="No"/>
    <x v="1"/>
    <x v="1"/>
    <n v="0"/>
  </r>
  <r>
    <n v="18003"/>
    <x v="0"/>
    <n v="8"/>
    <n v="46"/>
    <s v="No"/>
    <x v="1"/>
    <x v="0"/>
    <n v="0"/>
  </r>
  <r>
    <n v="18786"/>
    <x v="0"/>
    <n v="5"/>
    <n v="172"/>
    <s v="No"/>
    <x v="1"/>
    <x v="2"/>
    <n v="0"/>
  </r>
  <r>
    <n v="12298"/>
    <x v="1"/>
    <n v="11"/>
    <n v="107"/>
    <s v="No"/>
    <x v="1"/>
    <x v="2"/>
    <n v="0"/>
  </r>
  <r>
    <n v="10581"/>
    <x v="0"/>
    <n v="7"/>
    <n v="163"/>
    <s v="Yes"/>
    <x v="0"/>
    <x v="2"/>
    <n v="1"/>
  </r>
  <r>
    <n v="19143"/>
    <x v="1"/>
    <n v="1"/>
    <n v="205"/>
    <s v="No"/>
    <x v="1"/>
    <x v="0"/>
    <n v="0"/>
  </r>
  <r>
    <n v="13439"/>
    <x v="1"/>
    <n v="14"/>
    <n v="320"/>
    <s v="No"/>
    <x v="1"/>
    <x v="1"/>
    <n v="0"/>
  </r>
  <r>
    <n v="17746"/>
    <x v="1"/>
    <n v="6"/>
    <n v="316"/>
    <s v="No"/>
    <x v="0"/>
    <x v="0"/>
    <n v="0"/>
  </r>
  <r>
    <n v="18550"/>
    <x v="1"/>
    <n v="13"/>
    <n v="296"/>
    <s v="No"/>
    <x v="1"/>
    <x v="1"/>
    <n v="0"/>
  </r>
  <r>
    <n v="11755"/>
    <x v="0"/>
    <n v="12"/>
    <n v="338"/>
    <s v="No"/>
    <x v="0"/>
    <x v="0"/>
    <n v="0"/>
  </r>
  <r>
    <n v="11182"/>
    <x v="1"/>
    <n v="5"/>
    <n v="232"/>
    <s v="No"/>
    <x v="0"/>
    <x v="0"/>
    <n v="0"/>
  </r>
  <r>
    <n v="16857"/>
    <x v="1"/>
    <n v="8"/>
    <n v="435"/>
    <s v="No"/>
    <x v="1"/>
    <x v="0"/>
    <n v="0"/>
  </r>
  <r>
    <n v="13771"/>
    <x v="0"/>
    <n v="4"/>
    <n v="187"/>
    <s v="Yes"/>
    <x v="0"/>
    <x v="3"/>
    <n v="1"/>
  </r>
  <r>
    <n v="17906"/>
    <x v="1"/>
    <n v="1"/>
    <n v="326"/>
    <s v="No"/>
    <x v="1"/>
    <x v="0"/>
    <n v="0"/>
  </r>
  <r>
    <n v="19943"/>
    <x v="1"/>
    <n v="7"/>
    <n v="103"/>
    <s v="No"/>
    <x v="1"/>
    <x v="2"/>
    <n v="0"/>
  </r>
  <r>
    <n v="10618"/>
    <x v="1"/>
    <n v="13"/>
    <n v="189"/>
    <s v="No"/>
    <x v="1"/>
    <x v="3"/>
    <n v="0"/>
  </r>
  <r>
    <n v="18779"/>
    <x v="1"/>
    <n v="3"/>
    <n v="55"/>
    <s v="Yes"/>
    <x v="1"/>
    <x v="1"/>
    <n v="1"/>
  </r>
  <r>
    <n v="12471"/>
    <x v="1"/>
    <n v="14"/>
    <n v="227"/>
    <s v="No"/>
    <x v="0"/>
    <x v="1"/>
    <n v="0"/>
  </r>
  <r>
    <n v="15670"/>
    <x v="0"/>
    <n v="13"/>
    <n v="71"/>
    <s v="Yes"/>
    <x v="0"/>
    <x v="1"/>
    <n v="1"/>
  </r>
  <r>
    <n v="12745"/>
    <x v="0"/>
    <n v="7"/>
    <n v="202"/>
    <s v="Yes"/>
    <x v="1"/>
    <x v="2"/>
    <n v="1"/>
  </r>
  <r>
    <n v="19149"/>
    <x v="1"/>
    <n v="13"/>
    <n v="164"/>
    <s v="No"/>
    <x v="1"/>
    <x v="2"/>
    <n v="0"/>
  </r>
  <r>
    <n v="13806"/>
    <x v="0"/>
    <n v="14"/>
    <n v="316"/>
    <s v="No"/>
    <x v="1"/>
    <x v="2"/>
    <n v="0"/>
  </r>
  <r>
    <n v="12788"/>
    <x v="0"/>
    <n v="5"/>
    <n v="50"/>
    <s v="No"/>
    <x v="1"/>
    <x v="3"/>
    <n v="0"/>
  </r>
  <r>
    <n v="14864"/>
    <x v="1"/>
    <n v="4"/>
    <n v="320"/>
    <s v="Yes"/>
    <x v="1"/>
    <x v="3"/>
    <n v="1"/>
  </r>
  <r>
    <n v="10984"/>
    <x v="0"/>
    <n v="3"/>
    <n v="314"/>
    <s v="No"/>
    <x v="0"/>
    <x v="3"/>
    <n v="0"/>
  </r>
  <r>
    <n v="12022"/>
    <x v="1"/>
    <n v="10"/>
    <n v="194"/>
    <s v="No"/>
    <x v="1"/>
    <x v="1"/>
    <n v="0"/>
  </r>
  <r>
    <n v="14441"/>
    <x v="0"/>
    <n v="5"/>
    <n v="110"/>
    <s v="No"/>
    <x v="0"/>
    <x v="0"/>
    <n v="0"/>
  </r>
  <r>
    <n v="14517"/>
    <x v="0"/>
    <n v="1"/>
    <n v="211"/>
    <s v="Yes"/>
    <x v="1"/>
    <x v="2"/>
    <n v="1"/>
  </r>
  <r>
    <n v="12463"/>
    <x v="0"/>
    <n v="14"/>
    <n v="446"/>
    <s v="No"/>
    <x v="0"/>
    <x v="0"/>
    <n v="0"/>
  </r>
  <r>
    <n v="14795"/>
    <x v="1"/>
    <n v="8"/>
    <n v="427"/>
    <s v="No"/>
    <x v="0"/>
    <x v="1"/>
    <n v="0"/>
  </r>
  <r>
    <n v="16458"/>
    <x v="0"/>
    <n v="5"/>
    <n v="380"/>
    <s v="No"/>
    <x v="0"/>
    <x v="3"/>
    <n v="0"/>
  </r>
  <r>
    <n v="12580"/>
    <x v="1"/>
    <n v="10"/>
    <n v="348"/>
    <s v="No"/>
    <x v="0"/>
    <x v="1"/>
    <n v="0"/>
  </r>
  <r>
    <n v="14448"/>
    <x v="0"/>
    <n v="5"/>
    <n v="324"/>
    <s v="No"/>
    <x v="1"/>
    <x v="1"/>
    <n v="0"/>
  </r>
  <r>
    <n v="13687"/>
    <x v="0"/>
    <n v="5"/>
    <n v="112"/>
    <s v="No"/>
    <x v="1"/>
    <x v="1"/>
    <n v="0"/>
  </r>
  <r>
    <n v="10933"/>
    <x v="1"/>
    <n v="12"/>
    <n v="442"/>
    <s v="No"/>
    <x v="1"/>
    <x v="3"/>
    <n v="0"/>
  </r>
  <r>
    <n v="15594"/>
    <x v="0"/>
    <n v="13"/>
    <n v="75"/>
    <s v="No"/>
    <x v="1"/>
    <x v="2"/>
    <n v="0"/>
  </r>
  <r>
    <n v="19138"/>
    <x v="1"/>
    <n v="8"/>
    <n v="90"/>
    <s v="No"/>
    <x v="1"/>
    <x v="3"/>
    <n v="0"/>
  </r>
  <r>
    <n v="14957"/>
    <x v="0"/>
    <n v="12"/>
    <n v="273"/>
    <s v="No"/>
    <x v="1"/>
    <x v="2"/>
    <n v="0"/>
  </r>
  <r>
    <n v="17878"/>
    <x v="1"/>
    <n v="12"/>
    <n v="63"/>
    <s v="No"/>
    <x v="1"/>
    <x v="1"/>
    <n v="0"/>
  </r>
  <r>
    <n v="15818"/>
    <x v="1"/>
    <n v="2"/>
    <n v="365"/>
    <s v="No"/>
    <x v="0"/>
    <x v="1"/>
    <n v="0"/>
  </r>
  <r>
    <n v="13389"/>
    <x v="1"/>
    <n v="2"/>
    <n v="355"/>
    <s v="No"/>
    <x v="0"/>
    <x v="3"/>
    <n v="0"/>
  </r>
  <r>
    <n v="16953"/>
    <x v="1"/>
    <n v="9"/>
    <n v="166"/>
    <s v="No"/>
    <x v="1"/>
    <x v="1"/>
    <n v="0"/>
  </r>
  <r>
    <n v="19660"/>
    <x v="0"/>
    <n v="12"/>
    <n v="108"/>
    <s v="No"/>
    <x v="1"/>
    <x v="2"/>
    <n v="0"/>
  </r>
  <r>
    <n v="14320"/>
    <x v="0"/>
    <n v="11"/>
    <n v="126"/>
    <s v="No"/>
    <x v="1"/>
    <x v="2"/>
    <n v="0"/>
  </r>
  <r>
    <n v="17712"/>
    <x v="1"/>
    <n v="8"/>
    <n v="120"/>
    <s v="No"/>
    <x v="0"/>
    <x v="1"/>
    <n v="0"/>
  </r>
  <r>
    <n v="13036"/>
    <x v="0"/>
    <n v="11"/>
    <n v="210"/>
    <s v="No"/>
    <x v="1"/>
    <x v="2"/>
    <n v="0"/>
  </r>
  <r>
    <n v="12700"/>
    <x v="0"/>
    <n v="6"/>
    <n v="377"/>
    <s v="No"/>
    <x v="1"/>
    <x v="0"/>
    <n v="0"/>
  </r>
  <r>
    <n v="12074"/>
    <x v="0"/>
    <n v="5"/>
    <n v="90"/>
    <s v="No"/>
    <x v="1"/>
    <x v="3"/>
    <n v="0"/>
  </r>
  <r>
    <n v="15333"/>
    <x v="0"/>
    <n v="14"/>
    <n v="254"/>
    <s v="No"/>
    <x v="1"/>
    <x v="3"/>
    <n v="0"/>
  </r>
  <r>
    <n v="18609"/>
    <x v="0"/>
    <n v="8"/>
    <n v="162"/>
    <s v="Yes"/>
    <x v="0"/>
    <x v="0"/>
    <n v="1"/>
  </r>
  <r>
    <n v="15801"/>
    <x v="0"/>
    <n v="2"/>
    <n v="289"/>
    <s v="No"/>
    <x v="0"/>
    <x v="1"/>
    <n v="0"/>
  </r>
  <r>
    <n v="11821"/>
    <x v="1"/>
    <n v="13"/>
    <n v="429"/>
    <s v="No"/>
    <x v="1"/>
    <x v="0"/>
    <n v="0"/>
  </r>
  <r>
    <n v="14399"/>
    <x v="1"/>
    <n v="1"/>
    <n v="204"/>
    <s v="No"/>
    <x v="1"/>
    <x v="3"/>
    <n v="0"/>
  </r>
  <r>
    <n v="16009"/>
    <x v="1"/>
    <n v="3"/>
    <n v="171"/>
    <s v="No"/>
    <x v="0"/>
    <x v="2"/>
    <n v="0"/>
  </r>
  <r>
    <n v="12320"/>
    <x v="0"/>
    <n v="4"/>
    <n v="435"/>
    <s v="No"/>
    <x v="1"/>
    <x v="0"/>
    <n v="0"/>
  </r>
  <r>
    <n v="14123"/>
    <x v="1"/>
    <n v="3"/>
    <n v="350"/>
    <s v="No"/>
    <x v="1"/>
    <x v="1"/>
    <n v="0"/>
  </r>
  <r>
    <n v="11995"/>
    <x v="0"/>
    <n v="4"/>
    <n v="275"/>
    <s v="No"/>
    <x v="0"/>
    <x v="0"/>
    <n v="0"/>
  </r>
  <r>
    <n v="16321"/>
    <x v="1"/>
    <n v="14"/>
    <n v="72"/>
    <s v="No"/>
    <x v="1"/>
    <x v="0"/>
    <n v="0"/>
  </r>
  <r>
    <n v="10336"/>
    <x v="0"/>
    <n v="14"/>
    <n v="55"/>
    <s v="No"/>
    <x v="1"/>
    <x v="1"/>
    <n v="0"/>
  </r>
  <r>
    <n v="19120"/>
    <x v="1"/>
    <n v="7"/>
    <n v="252"/>
    <s v="No"/>
    <x v="0"/>
    <x v="1"/>
    <n v="0"/>
  </r>
  <r>
    <n v="17199"/>
    <x v="0"/>
    <n v="8"/>
    <n v="82"/>
    <s v="No"/>
    <x v="0"/>
    <x v="0"/>
    <n v="0"/>
  </r>
  <r>
    <n v="18621"/>
    <x v="0"/>
    <n v="9"/>
    <n v="350"/>
    <s v="No"/>
    <x v="0"/>
    <x v="1"/>
    <n v="0"/>
  </r>
  <r>
    <n v="12263"/>
    <x v="0"/>
    <n v="9"/>
    <n v="180"/>
    <s v="No"/>
    <x v="0"/>
    <x v="3"/>
    <n v="0"/>
  </r>
  <r>
    <n v="14574"/>
    <x v="1"/>
    <n v="2"/>
    <n v="354"/>
    <s v="No"/>
    <x v="1"/>
    <x v="0"/>
    <n v="0"/>
  </r>
  <r>
    <n v="19789"/>
    <x v="0"/>
    <n v="10"/>
    <n v="67"/>
    <s v="No"/>
    <x v="1"/>
    <x v="1"/>
    <n v="0"/>
  </r>
  <r>
    <n v="18768"/>
    <x v="1"/>
    <n v="5"/>
    <n v="216"/>
    <s v="No"/>
    <x v="0"/>
    <x v="1"/>
    <n v="0"/>
  </r>
  <r>
    <n v="10997"/>
    <x v="1"/>
    <n v="11"/>
    <n v="107"/>
    <s v="No"/>
    <x v="0"/>
    <x v="0"/>
    <n v="0"/>
  </r>
  <r>
    <n v="15821"/>
    <x v="1"/>
    <n v="1"/>
    <n v="334"/>
    <s v="No"/>
    <x v="0"/>
    <x v="3"/>
    <n v="0"/>
  </r>
  <r>
    <n v="17986"/>
    <x v="0"/>
    <n v="8"/>
    <n v="363"/>
    <s v="No"/>
    <x v="1"/>
    <x v="1"/>
    <n v="0"/>
  </r>
  <r>
    <n v="19466"/>
    <x v="1"/>
    <n v="2"/>
    <n v="81"/>
    <s v="No"/>
    <x v="1"/>
    <x v="1"/>
    <n v="0"/>
  </r>
  <r>
    <n v="19054"/>
    <x v="1"/>
    <n v="6"/>
    <n v="233"/>
    <s v="No"/>
    <x v="1"/>
    <x v="2"/>
    <n v="0"/>
  </r>
  <r>
    <n v="12764"/>
    <x v="1"/>
    <n v="2"/>
    <n v="314"/>
    <s v="No"/>
    <x v="1"/>
    <x v="2"/>
    <n v="0"/>
  </r>
  <r>
    <n v="13978"/>
    <x v="0"/>
    <n v="3"/>
    <n v="354"/>
    <s v="No"/>
    <x v="1"/>
    <x v="0"/>
    <n v="0"/>
  </r>
  <r>
    <n v="12219"/>
    <x v="1"/>
    <n v="7"/>
    <n v="253"/>
    <s v="No"/>
    <x v="0"/>
    <x v="0"/>
    <n v="0"/>
  </r>
  <r>
    <n v="13103"/>
    <x v="0"/>
    <n v="9"/>
    <n v="440"/>
    <s v="No"/>
    <x v="0"/>
    <x v="0"/>
    <n v="0"/>
  </r>
  <r>
    <n v="10538"/>
    <x v="1"/>
    <n v="10"/>
    <n v="294"/>
    <s v="No"/>
    <x v="0"/>
    <x v="3"/>
    <n v="0"/>
  </r>
  <r>
    <n v="16404"/>
    <x v="1"/>
    <n v="12"/>
    <n v="259"/>
    <s v="No"/>
    <x v="1"/>
    <x v="0"/>
    <n v="0"/>
  </r>
  <r>
    <n v="17802"/>
    <x v="0"/>
    <n v="12"/>
    <n v="271"/>
    <s v="No"/>
    <x v="0"/>
    <x v="0"/>
    <n v="0"/>
  </r>
  <r>
    <n v="10360"/>
    <x v="1"/>
    <n v="4"/>
    <n v="238"/>
    <s v="No"/>
    <x v="0"/>
    <x v="0"/>
    <n v="0"/>
  </r>
  <r>
    <n v="15399"/>
    <x v="0"/>
    <n v="13"/>
    <n v="441"/>
    <s v="No"/>
    <x v="0"/>
    <x v="2"/>
    <n v="0"/>
  </r>
  <r>
    <n v="10284"/>
    <x v="1"/>
    <n v="12"/>
    <n v="350"/>
    <s v="No"/>
    <x v="0"/>
    <x v="0"/>
    <n v="0"/>
  </r>
  <r>
    <n v="15593"/>
    <x v="1"/>
    <n v="13"/>
    <n v="76"/>
    <s v="No"/>
    <x v="1"/>
    <x v="3"/>
    <n v="0"/>
  </r>
  <r>
    <n v="10444"/>
    <x v="0"/>
    <n v="7"/>
    <n v="173"/>
    <s v="No"/>
    <x v="1"/>
    <x v="2"/>
    <n v="0"/>
  </r>
  <r>
    <n v="16415"/>
    <x v="1"/>
    <n v="1"/>
    <n v="425"/>
    <s v="No"/>
    <x v="1"/>
    <x v="0"/>
    <n v="0"/>
  </r>
  <r>
    <n v="12251"/>
    <x v="0"/>
    <n v="13"/>
    <n v="212"/>
    <s v="No"/>
    <x v="0"/>
    <x v="2"/>
    <n v="0"/>
  </r>
  <r>
    <n v="13962"/>
    <x v="0"/>
    <n v="8"/>
    <n v="171"/>
    <s v="No"/>
    <x v="1"/>
    <x v="2"/>
    <n v="0"/>
  </r>
  <r>
    <n v="12259"/>
    <x v="1"/>
    <n v="13"/>
    <n v="119"/>
    <s v="No"/>
    <x v="0"/>
    <x v="3"/>
    <n v="0"/>
  </r>
  <r>
    <n v="16414"/>
    <x v="1"/>
    <n v="11"/>
    <n v="41"/>
    <s v="No"/>
    <x v="0"/>
    <x v="0"/>
    <n v="0"/>
  </r>
  <r>
    <n v="16752"/>
    <x v="0"/>
    <n v="2"/>
    <n v="425"/>
    <s v="No"/>
    <x v="1"/>
    <x v="3"/>
    <n v="0"/>
  </r>
  <r>
    <n v="18921"/>
    <x v="0"/>
    <n v="13"/>
    <n v="269"/>
    <s v="No"/>
    <x v="1"/>
    <x v="1"/>
    <n v="0"/>
  </r>
  <r>
    <n v="12735"/>
    <x v="1"/>
    <n v="14"/>
    <n v="421"/>
    <s v="No"/>
    <x v="0"/>
    <x v="0"/>
    <n v="0"/>
  </r>
  <r>
    <n v="13916"/>
    <x v="1"/>
    <n v="9"/>
    <n v="336"/>
    <s v="No"/>
    <x v="1"/>
    <x v="0"/>
    <n v="0"/>
  </r>
  <r>
    <n v="13379"/>
    <x v="0"/>
    <n v="11"/>
    <n v="349"/>
    <s v="No"/>
    <x v="0"/>
    <x v="3"/>
    <n v="0"/>
  </r>
  <r>
    <n v="17526"/>
    <x v="1"/>
    <n v="3"/>
    <n v="98"/>
    <s v="No"/>
    <x v="1"/>
    <x v="0"/>
    <n v="0"/>
  </r>
  <r>
    <n v="16549"/>
    <x v="0"/>
    <n v="14"/>
    <n v="277"/>
    <s v="No"/>
    <x v="0"/>
    <x v="3"/>
    <n v="0"/>
  </r>
  <r>
    <n v="13984"/>
    <x v="0"/>
    <n v="11"/>
    <n v="122"/>
    <s v="No"/>
    <x v="1"/>
    <x v="3"/>
    <n v="0"/>
  </r>
  <r>
    <n v="10384"/>
    <x v="0"/>
    <n v="14"/>
    <n v="206"/>
    <s v="No"/>
    <x v="1"/>
    <x v="0"/>
    <n v="0"/>
  </r>
  <r>
    <n v="13049"/>
    <x v="1"/>
    <n v="4"/>
    <n v="432"/>
    <s v="No"/>
    <x v="1"/>
    <x v="0"/>
    <n v="0"/>
  </r>
  <r>
    <n v="18953"/>
    <x v="1"/>
    <n v="10"/>
    <n v="245"/>
    <s v="No"/>
    <x v="0"/>
    <x v="2"/>
    <n v="0"/>
  </r>
  <r>
    <n v="15204"/>
    <x v="1"/>
    <n v="14"/>
    <n v="280"/>
    <s v="No"/>
    <x v="0"/>
    <x v="3"/>
    <n v="0"/>
  </r>
  <r>
    <n v="13176"/>
    <x v="0"/>
    <n v="9"/>
    <n v="95"/>
    <s v="No"/>
    <x v="0"/>
    <x v="1"/>
    <n v="0"/>
  </r>
  <r>
    <n v="18328"/>
    <x v="1"/>
    <n v="6"/>
    <n v="288"/>
    <s v="No"/>
    <x v="1"/>
    <x v="0"/>
    <n v="0"/>
  </r>
  <r>
    <n v="15143"/>
    <x v="1"/>
    <n v="10"/>
    <n v="364"/>
    <s v="No"/>
    <x v="0"/>
    <x v="0"/>
    <n v="0"/>
  </r>
  <r>
    <n v="18785"/>
    <x v="1"/>
    <n v="6"/>
    <n v="437"/>
    <s v="Yes"/>
    <x v="1"/>
    <x v="3"/>
    <n v="1"/>
  </r>
  <r>
    <n v="16988"/>
    <x v="1"/>
    <n v="14"/>
    <n v="148"/>
    <s v="Yes"/>
    <x v="0"/>
    <x v="0"/>
    <n v="1"/>
  </r>
  <r>
    <n v="17388"/>
    <x v="0"/>
    <n v="9"/>
    <n v="287"/>
    <s v="No"/>
    <x v="1"/>
    <x v="3"/>
    <n v="0"/>
  </r>
  <r>
    <n v="17091"/>
    <x v="0"/>
    <n v="2"/>
    <n v="217"/>
    <s v="Yes"/>
    <x v="1"/>
    <x v="3"/>
    <n v="1"/>
  </r>
  <r>
    <n v="19897"/>
    <x v="1"/>
    <n v="5"/>
    <n v="145"/>
    <s v="No"/>
    <x v="1"/>
    <x v="2"/>
    <n v="0"/>
  </r>
  <r>
    <n v="17932"/>
    <x v="1"/>
    <n v="7"/>
    <n v="78"/>
    <s v="No"/>
    <x v="1"/>
    <x v="1"/>
    <n v="0"/>
  </r>
  <r>
    <n v="17208"/>
    <x v="1"/>
    <n v="1"/>
    <n v="106"/>
    <s v="No"/>
    <x v="0"/>
    <x v="1"/>
    <n v="0"/>
  </r>
  <r>
    <n v="12847"/>
    <x v="1"/>
    <n v="13"/>
    <n v="319"/>
    <s v="No"/>
    <x v="0"/>
    <x v="0"/>
    <n v="0"/>
  </r>
  <r>
    <n v="13275"/>
    <x v="1"/>
    <n v="12"/>
    <n v="308"/>
    <s v="No"/>
    <x v="1"/>
    <x v="0"/>
    <n v="0"/>
  </r>
  <r>
    <n v="14859"/>
    <x v="1"/>
    <n v="6"/>
    <n v="378"/>
    <s v="No"/>
    <x v="1"/>
    <x v="2"/>
    <n v="0"/>
  </r>
  <r>
    <n v="14988"/>
    <x v="0"/>
    <n v="10"/>
    <n v="199"/>
    <s v="No"/>
    <x v="1"/>
    <x v="3"/>
    <n v="0"/>
  </r>
  <r>
    <n v="19576"/>
    <x v="1"/>
    <n v="3"/>
    <n v="239"/>
    <s v="No"/>
    <x v="0"/>
    <x v="0"/>
    <n v="0"/>
  </r>
  <r>
    <n v="11114"/>
    <x v="0"/>
    <n v="8"/>
    <n v="166"/>
    <s v="Yes"/>
    <x v="1"/>
    <x v="3"/>
    <n v="1"/>
  </r>
  <r>
    <n v="13407"/>
    <x v="1"/>
    <n v="10"/>
    <n v="426"/>
    <s v="Yes"/>
    <x v="1"/>
    <x v="3"/>
    <n v="1"/>
  </r>
  <r>
    <n v="17100"/>
    <x v="1"/>
    <n v="7"/>
    <n v="349"/>
    <s v="No"/>
    <x v="0"/>
    <x v="3"/>
    <n v="0"/>
  </r>
  <r>
    <n v="15589"/>
    <x v="0"/>
    <n v="8"/>
    <n v="436"/>
    <s v="Yes"/>
    <x v="0"/>
    <x v="3"/>
    <n v="1"/>
  </r>
  <r>
    <n v="10221"/>
    <x v="1"/>
    <n v="11"/>
    <n v="243"/>
    <s v="No"/>
    <x v="0"/>
    <x v="1"/>
    <n v="0"/>
  </r>
  <r>
    <n v="10894"/>
    <x v="1"/>
    <n v="7"/>
    <n v="73"/>
    <s v="No"/>
    <x v="0"/>
    <x v="2"/>
    <n v="0"/>
  </r>
  <r>
    <n v="17300"/>
    <x v="1"/>
    <n v="4"/>
    <n v="136"/>
    <s v="No"/>
    <x v="0"/>
    <x v="1"/>
    <n v="0"/>
  </r>
  <r>
    <n v="16052"/>
    <x v="0"/>
    <n v="5"/>
    <n v="356"/>
    <s v="No"/>
    <x v="1"/>
    <x v="0"/>
    <n v="0"/>
  </r>
  <r>
    <n v="14103"/>
    <x v="0"/>
    <n v="6"/>
    <n v="278"/>
    <s v="Yes"/>
    <x v="1"/>
    <x v="1"/>
    <n v="1"/>
  </r>
  <r>
    <n v="10944"/>
    <x v="1"/>
    <n v="2"/>
    <n v="324"/>
    <s v="No"/>
    <x v="0"/>
    <x v="1"/>
    <n v="0"/>
  </r>
  <r>
    <n v="11019"/>
    <x v="0"/>
    <n v="12"/>
    <n v="360"/>
    <s v="No"/>
    <x v="0"/>
    <x v="3"/>
    <n v="0"/>
  </r>
  <r>
    <n v="14047"/>
    <x v="1"/>
    <n v="5"/>
    <n v="141"/>
    <s v="No"/>
    <x v="1"/>
    <x v="3"/>
    <n v="0"/>
  </r>
  <r>
    <n v="13869"/>
    <x v="1"/>
    <n v="10"/>
    <n v="97"/>
    <s v="No"/>
    <x v="0"/>
    <x v="2"/>
    <n v="0"/>
  </r>
  <r>
    <n v="17028"/>
    <x v="1"/>
    <n v="8"/>
    <n v="228"/>
    <s v="No"/>
    <x v="1"/>
    <x v="3"/>
    <n v="0"/>
  </r>
  <r>
    <n v="10022"/>
    <x v="0"/>
    <n v="12"/>
    <n v="330"/>
    <s v="No"/>
    <x v="1"/>
    <x v="0"/>
    <n v="0"/>
  </r>
  <r>
    <n v="18231"/>
    <x v="1"/>
    <n v="9"/>
    <n v="55"/>
    <s v="No"/>
    <x v="0"/>
    <x v="2"/>
    <n v="0"/>
  </r>
  <r>
    <n v="12426"/>
    <x v="1"/>
    <n v="3"/>
    <n v="111"/>
    <s v="No"/>
    <x v="0"/>
    <x v="3"/>
    <n v="0"/>
  </r>
  <r>
    <n v="18835"/>
    <x v="0"/>
    <n v="5"/>
    <n v="427"/>
    <s v="Yes"/>
    <x v="0"/>
    <x v="1"/>
    <n v="1"/>
  </r>
  <r>
    <n v="14459"/>
    <x v="0"/>
    <n v="3"/>
    <n v="117"/>
    <s v="Yes"/>
    <x v="1"/>
    <x v="1"/>
    <n v="1"/>
  </r>
  <r>
    <n v="14883"/>
    <x v="1"/>
    <n v="12"/>
    <n v="158"/>
    <s v="No"/>
    <x v="0"/>
    <x v="3"/>
    <n v="0"/>
  </r>
  <r>
    <n v="17375"/>
    <x v="0"/>
    <n v="4"/>
    <n v="403"/>
    <s v="No"/>
    <x v="1"/>
    <x v="2"/>
    <n v="0"/>
  </r>
  <r>
    <n v="17296"/>
    <x v="1"/>
    <n v="3"/>
    <n v="174"/>
    <s v="No"/>
    <x v="0"/>
    <x v="3"/>
    <n v="0"/>
  </r>
  <r>
    <n v="16631"/>
    <x v="0"/>
    <n v="5"/>
    <n v="205"/>
    <s v="No"/>
    <x v="0"/>
    <x v="1"/>
    <n v="0"/>
  </r>
  <r>
    <n v="17876"/>
    <x v="0"/>
    <n v="11"/>
    <n v="64"/>
    <s v="No"/>
    <x v="0"/>
    <x v="3"/>
    <n v="0"/>
  </r>
  <r>
    <n v="19064"/>
    <x v="0"/>
    <n v="13"/>
    <n v="291"/>
    <s v="No"/>
    <x v="1"/>
    <x v="3"/>
    <n v="0"/>
  </r>
  <r>
    <n v="13015"/>
    <x v="1"/>
    <n v="9"/>
    <n v="342"/>
    <s v="No"/>
    <x v="0"/>
    <x v="1"/>
    <n v="0"/>
  </r>
  <r>
    <n v="17079"/>
    <x v="0"/>
    <n v="13"/>
    <n v="260"/>
    <s v="No"/>
    <x v="1"/>
    <x v="3"/>
    <n v="0"/>
  </r>
  <r>
    <n v="11952"/>
    <x v="1"/>
    <n v="14"/>
    <n v="274"/>
    <s v="No"/>
    <x v="0"/>
    <x v="2"/>
    <n v="0"/>
  </r>
  <r>
    <n v="11546"/>
    <x v="0"/>
    <n v="6"/>
    <n v="306"/>
    <s v="No"/>
    <x v="0"/>
    <x v="3"/>
    <n v="0"/>
  </r>
  <r>
    <n v="18650"/>
    <x v="1"/>
    <n v="6"/>
    <n v="147"/>
    <s v="No"/>
    <x v="0"/>
    <x v="3"/>
    <n v="0"/>
  </r>
  <r>
    <n v="14402"/>
    <x v="0"/>
    <n v="10"/>
    <n v="326"/>
    <s v="No"/>
    <x v="1"/>
    <x v="1"/>
    <n v="0"/>
  </r>
  <r>
    <n v="16233"/>
    <x v="1"/>
    <n v="8"/>
    <n v="73"/>
    <s v="No"/>
    <x v="1"/>
    <x v="2"/>
    <n v="0"/>
  </r>
  <r>
    <n v="16858"/>
    <x v="1"/>
    <n v="13"/>
    <n v="145"/>
    <s v="No"/>
    <x v="0"/>
    <x v="1"/>
    <n v="0"/>
  </r>
  <r>
    <n v="14021"/>
    <x v="1"/>
    <n v="2"/>
    <n v="92"/>
    <s v="No"/>
    <x v="0"/>
    <x v="3"/>
    <n v="0"/>
  </r>
  <r>
    <n v="10252"/>
    <x v="0"/>
    <n v="7"/>
    <n v="327"/>
    <s v="No"/>
    <x v="0"/>
    <x v="1"/>
    <n v="0"/>
  </r>
  <r>
    <n v="18449"/>
    <x v="0"/>
    <n v="1"/>
    <n v="244"/>
    <s v="No"/>
    <x v="1"/>
    <x v="1"/>
    <n v="0"/>
  </r>
  <r>
    <n v="13356"/>
    <x v="0"/>
    <n v="4"/>
    <n v="381"/>
    <s v="No"/>
    <x v="1"/>
    <x v="2"/>
    <n v="0"/>
  </r>
  <r>
    <n v="11330"/>
    <x v="1"/>
    <n v="8"/>
    <n v="329"/>
    <s v="No"/>
    <x v="1"/>
    <x v="1"/>
    <n v="0"/>
  </r>
  <r>
    <n v="10218"/>
    <x v="0"/>
    <n v="12"/>
    <n v="363"/>
    <s v="No"/>
    <x v="1"/>
    <x v="1"/>
    <n v="0"/>
  </r>
  <r>
    <n v="15960"/>
    <x v="0"/>
    <n v="2"/>
    <n v="295"/>
    <s v="Yes"/>
    <x v="1"/>
    <x v="0"/>
    <n v="1"/>
  </r>
  <r>
    <n v="13214"/>
    <x v="0"/>
    <n v="8"/>
    <n v="258"/>
    <s v="Yes"/>
    <x v="0"/>
    <x v="2"/>
    <n v="1"/>
  </r>
  <r>
    <n v="17348"/>
    <x v="1"/>
    <n v="13"/>
    <n v="293"/>
    <s v="No"/>
    <x v="1"/>
    <x v="1"/>
    <n v="0"/>
  </r>
  <r>
    <n v="14825"/>
    <x v="0"/>
    <n v="11"/>
    <n v="137"/>
    <s v="No"/>
    <x v="1"/>
    <x v="3"/>
    <n v="0"/>
  </r>
  <r>
    <n v="17734"/>
    <x v="1"/>
    <n v="10"/>
    <n v="359"/>
    <s v="No"/>
    <x v="0"/>
    <x v="2"/>
    <n v="0"/>
  </r>
  <r>
    <n v="16522"/>
    <x v="1"/>
    <n v="10"/>
    <n v="125"/>
    <s v="No"/>
    <x v="0"/>
    <x v="0"/>
    <n v="0"/>
  </r>
  <r>
    <n v="18298"/>
    <x v="0"/>
    <n v="5"/>
    <n v="73"/>
    <s v="No"/>
    <x v="1"/>
    <x v="0"/>
    <n v="0"/>
  </r>
  <r>
    <n v="12991"/>
    <x v="0"/>
    <n v="10"/>
    <n v="52"/>
    <s v="No"/>
    <x v="1"/>
    <x v="1"/>
    <n v="0"/>
  </r>
  <r>
    <n v="15180"/>
    <x v="1"/>
    <n v="7"/>
    <n v="194"/>
    <s v="No"/>
    <x v="0"/>
    <x v="1"/>
    <n v="0"/>
  </r>
  <r>
    <n v="14513"/>
    <x v="0"/>
    <n v="5"/>
    <n v="404"/>
    <s v="No"/>
    <x v="1"/>
    <x v="0"/>
    <n v="0"/>
  </r>
  <r>
    <n v="11646"/>
    <x v="0"/>
    <n v="7"/>
    <n v="296"/>
    <s v="No"/>
    <x v="1"/>
    <x v="0"/>
    <n v="0"/>
  </r>
  <r>
    <n v="19665"/>
    <x v="1"/>
    <n v="2"/>
    <n v="437"/>
    <s v="No"/>
    <x v="1"/>
    <x v="1"/>
    <n v="0"/>
  </r>
  <r>
    <n v="15790"/>
    <x v="1"/>
    <n v="1"/>
    <n v="100"/>
    <s v="No"/>
    <x v="0"/>
    <x v="0"/>
    <n v="0"/>
  </r>
  <r>
    <n v="10806"/>
    <x v="1"/>
    <n v="7"/>
    <n v="212"/>
    <s v="No"/>
    <x v="0"/>
    <x v="1"/>
    <n v="0"/>
  </r>
  <r>
    <n v="17624"/>
    <x v="0"/>
    <n v="11"/>
    <n v="173"/>
    <s v="No"/>
    <x v="1"/>
    <x v="2"/>
    <n v="0"/>
  </r>
  <r>
    <n v="12930"/>
    <x v="1"/>
    <n v="2"/>
    <n v="173"/>
    <s v="No"/>
    <x v="0"/>
    <x v="0"/>
    <n v="0"/>
  </r>
  <r>
    <n v="13812"/>
    <x v="0"/>
    <n v="8"/>
    <n v="81"/>
    <s v="No"/>
    <x v="0"/>
    <x v="3"/>
    <n v="0"/>
  </r>
  <r>
    <n v="18568"/>
    <x v="1"/>
    <n v="13"/>
    <n v="258"/>
    <s v="No"/>
    <x v="1"/>
    <x v="0"/>
    <n v="0"/>
  </r>
  <r>
    <n v="18364"/>
    <x v="1"/>
    <n v="10"/>
    <n v="70"/>
    <s v="No"/>
    <x v="0"/>
    <x v="0"/>
    <n v="0"/>
  </r>
  <r>
    <n v="18943"/>
    <x v="0"/>
    <n v="5"/>
    <n v="126"/>
    <s v="No"/>
    <x v="1"/>
    <x v="0"/>
    <n v="0"/>
  </r>
  <r>
    <n v="10137"/>
    <x v="0"/>
    <n v="10"/>
    <n v="360"/>
    <s v="No"/>
    <x v="0"/>
    <x v="3"/>
    <n v="0"/>
  </r>
  <r>
    <n v="18101"/>
    <x v="1"/>
    <n v="4"/>
    <n v="88"/>
    <s v="No"/>
    <x v="0"/>
    <x v="0"/>
    <n v="0"/>
  </r>
  <r>
    <n v="15791"/>
    <x v="0"/>
    <n v="6"/>
    <n v="348"/>
    <s v="No"/>
    <x v="1"/>
    <x v="3"/>
    <n v="0"/>
  </r>
  <r>
    <n v="14029"/>
    <x v="0"/>
    <n v="12"/>
    <n v="445"/>
    <s v="No"/>
    <x v="1"/>
    <x v="3"/>
    <n v="0"/>
  </r>
  <r>
    <n v="18110"/>
    <x v="1"/>
    <n v="6"/>
    <n v="194"/>
    <s v="No"/>
    <x v="1"/>
    <x v="2"/>
    <n v="0"/>
  </r>
  <r>
    <n v="19622"/>
    <x v="1"/>
    <n v="1"/>
    <n v="99"/>
    <s v="No"/>
    <x v="1"/>
    <x v="2"/>
    <n v="0"/>
  </r>
  <r>
    <n v="17000"/>
    <x v="1"/>
    <n v="11"/>
    <n v="228"/>
    <s v="No"/>
    <x v="0"/>
    <x v="2"/>
    <n v="0"/>
  </r>
  <r>
    <n v="11415"/>
    <x v="0"/>
    <n v="5"/>
    <n v="389"/>
    <s v="No"/>
    <x v="1"/>
    <x v="1"/>
    <n v="0"/>
  </r>
  <r>
    <n v="15365"/>
    <x v="0"/>
    <n v="4"/>
    <n v="401"/>
    <s v="No"/>
    <x v="0"/>
    <x v="3"/>
    <n v="0"/>
  </r>
  <r>
    <n v="11288"/>
    <x v="1"/>
    <n v="11"/>
    <n v="157"/>
    <s v="No"/>
    <x v="0"/>
    <x v="3"/>
    <n v="0"/>
  </r>
  <r>
    <n v="16103"/>
    <x v="0"/>
    <n v="3"/>
    <n v="415"/>
    <s v="No"/>
    <x v="1"/>
    <x v="0"/>
    <n v="0"/>
  </r>
  <r>
    <n v="16086"/>
    <x v="1"/>
    <n v="6"/>
    <n v="137"/>
    <s v="No"/>
    <x v="0"/>
    <x v="3"/>
    <n v="0"/>
  </r>
  <r>
    <n v="15409"/>
    <x v="1"/>
    <n v="6"/>
    <n v="336"/>
    <s v="Yes"/>
    <x v="0"/>
    <x v="3"/>
    <n v="1"/>
  </r>
  <r>
    <n v="17617"/>
    <x v="1"/>
    <n v="14"/>
    <n v="373"/>
    <s v="No"/>
    <x v="1"/>
    <x v="2"/>
    <n v="0"/>
  </r>
  <r>
    <n v="14809"/>
    <x v="0"/>
    <n v="8"/>
    <n v="251"/>
    <s v="No"/>
    <x v="1"/>
    <x v="2"/>
    <n v="0"/>
  </r>
  <r>
    <n v="19161"/>
    <x v="1"/>
    <n v="3"/>
    <n v="180"/>
    <s v="No"/>
    <x v="1"/>
    <x v="2"/>
    <n v="0"/>
  </r>
  <r>
    <n v="18960"/>
    <x v="1"/>
    <n v="7"/>
    <n v="251"/>
    <s v="No"/>
    <x v="1"/>
    <x v="2"/>
    <n v="0"/>
  </r>
  <r>
    <n v="13397"/>
    <x v="0"/>
    <n v="2"/>
    <n v="82"/>
    <s v="No"/>
    <x v="0"/>
    <x v="1"/>
    <n v="0"/>
  </r>
  <r>
    <n v="14404"/>
    <x v="1"/>
    <n v="13"/>
    <n v="291"/>
    <s v="No"/>
    <x v="1"/>
    <x v="1"/>
    <n v="0"/>
  </r>
  <r>
    <n v="12268"/>
    <x v="0"/>
    <n v="14"/>
    <n v="262"/>
    <s v="No"/>
    <x v="1"/>
    <x v="2"/>
    <n v="0"/>
  </r>
  <r>
    <n v="10148"/>
    <x v="0"/>
    <n v="5"/>
    <n v="299"/>
    <s v="No"/>
    <x v="1"/>
    <x v="3"/>
    <n v="0"/>
  </r>
  <r>
    <n v="11357"/>
    <x v="1"/>
    <n v="11"/>
    <n v="91"/>
    <s v="No"/>
    <x v="0"/>
    <x v="2"/>
    <n v="0"/>
  </r>
  <r>
    <n v="17882"/>
    <x v="0"/>
    <n v="10"/>
    <n v="164"/>
    <s v="No"/>
    <x v="0"/>
    <x v="1"/>
    <n v="0"/>
  </r>
  <r>
    <n v="15111"/>
    <x v="0"/>
    <n v="3"/>
    <n v="228"/>
    <s v="No"/>
    <x v="0"/>
    <x v="3"/>
    <n v="0"/>
  </r>
  <r>
    <n v="18666"/>
    <x v="0"/>
    <n v="10"/>
    <n v="210"/>
    <s v="No"/>
    <x v="0"/>
    <x v="3"/>
    <n v="0"/>
  </r>
  <r>
    <n v="16016"/>
    <x v="0"/>
    <n v="10"/>
    <n v="313"/>
    <s v="No"/>
    <x v="0"/>
    <x v="1"/>
    <n v="0"/>
  </r>
  <r>
    <n v="10093"/>
    <x v="0"/>
    <n v="12"/>
    <n v="81"/>
    <s v="No"/>
    <x v="0"/>
    <x v="2"/>
    <n v="0"/>
  </r>
  <r>
    <n v="15498"/>
    <x v="0"/>
    <n v="9"/>
    <n v="247"/>
    <s v="No"/>
    <x v="1"/>
    <x v="1"/>
    <n v="0"/>
  </r>
  <r>
    <n v="15011"/>
    <x v="0"/>
    <n v="14"/>
    <n v="422"/>
    <s v="No"/>
    <x v="1"/>
    <x v="0"/>
    <n v="0"/>
  </r>
  <r>
    <n v="14250"/>
    <x v="1"/>
    <n v="3"/>
    <n v="231"/>
    <s v="No"/>
    <x v="1"/>
    <x v="3"/>
    <n v="0"/>
  </r>
  <r>
    <n v="18657"/>
    <x v="0"/>
    <n v="8"/>
    <n v="342"/>
    <s v="Yes"/>
    <x v="0"/>
    <x v="1"/>
    <n v="1"/>
  </r>
  <r>
    <n v="10414"/>
    <x v="0"/>
    <n v="11"/>
    <n v="281"/>
    <s v="Yes"/>
    <x v="0"/>
    <x v="1"/>
    <n v="1"/>
  </r>
  <r>
    <n v="17570"/>
    <x v="1"/>
    <n v="1"/>
    <n v="115"/>
    <s v="No"/>
    <x v="1"/>
    <x v="0"/>
    <n v="0"/>
  </r>
  <r>
    <n v="17740"/>
    <x v="1"/>
    <n v="13"/>
    <n v="266"/>
    <s v="No"/>
    <x v="1"/>
    <x v="3"/>
    <n v="0"/>
  </r>
  <r>
    <n v="19533"/>
    <x v="0"/>
    <n v="10"/>
    <n v="158"/>
    <s v="No"/>
    <x v="1"/>
    <x v="1"/>
    <n v="0"/>
  </r>
  <r>
    <n v="18313"/>
    <x v="1"/>
    <n v="12"/>
    <n v="69"/>
    <s v="Yes"/>
    <x v="0"/>
    <x v="1"/>
    <n v="1"/>
  </r>
  <r>
    <n v="11537"/>
    <x v="1"/>
    <n v="4"/>
    <n v="372"/>
    <s v="No"/>
    <x v="0"/>
    <x v="3"/>
    <n v="0"/>
  </r>
  <r>
    <n v="16153"/>
    <x v="1"/>
    <n v="13"/>
    <n v="324"/>
    <s v="Yes"/>
    <x v="1"/>
    <x v="0"/>
    <n v="1"/>
  </r>
  <r>
    <n v="19790"/>
    <x v="0"/>
    <n v="13"/>
    <n v="311"/>
    <s v="No"/>
    <x v="1"/>
    <x v="1"/>
    <n v="0"/>
  </r>
  <r>
    <n v="17291"/>
    <x v="0"/>
    <n v="1"/>
    <n v="128"/>
    <s v="No"/>
    <x v="1"/>
    <x v="0"/>
    <n v="0"/>
  </r>
  <r>
    <n v="17065"/>
    <x v="1"/>
    <n v="4"/>
    <n v="133"/>
    <s v="No"/>
    <x v="0"/>
    <x v="3"/>
    <n v="0"/>
  </r>
  <r>
    <n v="11399"/>
    <x v="1"/>
    <n v="7"/>
    <n v="54"/>
    <s v="No"/>
    <x v="0"/>
    <x v="1"/>
    <n v="0"/>
  </r>
  <r>
    <n v="10018"/>
    <x v="0"/>
    <n v="7"/>
    <n v="188"/>
    <s v="No"/>
    <x v="0"/>
    <x v="2"/>
    <n v="0"/>
  </r>
  <r>
    <n v="12493"/>
    <x v="0"/>
    <n v="2"/>
    <n v="158"/>
    <s v="No"/>
    <x v="1"/>
    <x v="0"/>
    <n v="0"/>
  </r>
  <r>
    <n v="17812"/>
    <x v="1"/>
    <n v="6"/>
    <n v="79"/>
    <s v="No"/>
    <x v="0"/>
    <x v="2"/>
    <n v="0"/>
  </r>
  <r>
    <n v="18927"/>
    <x v="1"/>
    <n v="14"/>
    <n v="386"/>
    <s v="No"/>
    <x v="1"/>
    <x v="0"/>
    <n v="0"/>
  </r>
  <r>
    <n v="10799"/>
    <x v="0"/>
    <n v="9"/>
    <n v="169"/>
    <s v="No"/>
    <x v="0"/>
    <x v="1"/>
    <n v="0"/>
  </r>
  <r>
    <n v="19817"/>
    <x v="0"/>
    <n v="13"/>
    <n v="344"/>
    <s v="No"/>
    <x v="0"/>
    <x v="1"/>
    <n v="0"/>
  </r>
  <r>
    <n v="12061"/>
    <x v="0"/>
    <n v="3"/>
    <n v="315"/>
    <s v="No"/>
    <x v="1"/>
    <x v="0"/>
    <n v="0"/>
  </r>
  <r>
    <n v="12331"/>
    <x v="1"/>
    <n v="13"/>
    <n v="159"/>
    <s v="No"/>
    <x v="0"/>
    <x v="1"/>
    <n v="0"/>
  </r>
  <r>
    <n v="16885"/>
    <x v="1"/>
    <n v="4"/>
    <n v="46"/>
    <s v="No"/>
    <x v="1"/>
    <x v="1"/>
    <n v="0"/>
  </r>
  <r>
    <n v="15266"/>
    <x v="0"/>
    <n v="9"/>
    <n v="381"/>
    <s v="No"/>
    <x v="1"/>
    <x v="3"/>
    <n v="0"/>
  </r>
  <r>
    <n v="14456"/>
    <x v="0"/>
    <n v="2"/>
    <n v="347"/>
    <s v="No"/>
    <x v="1"/>
    <x v="0"/>
    <n v="0"/>
  </r>
  <r>
    <n v="14277"/>
    <x v="0"/>
    <n v="2"/>
    <n v="206"/>
    <s v="No"/>
    <x v="1"/>
    <x v="2"/>
    <n v="0"/>
  </r>
  <r>
    <n v="15787"/>
    <x v="1"/>
    <n v="4"/>
    <n v="365"/>
    <s v="No"/>
    <x v="0"/>
    <x v="2"/>
    <n v="0"/>
  </r>
  <r>
    <n v="11251"/>
    <x v="0"/>
    <n v="11"/>
    <n v="246"/>
    <s v="No"/>
    <x v="1"/>
    <x v="1"/>
    <n v="0"/>
  </r>
  <r>
    <n v="15590"/>
    <x v="1"/>
    <n v="2"/>
    <n v="186"/>
    <s v="No"/>
    <x v="1"/>
    <x v="0"/>
    <n v="0"/>
  </r>
  <r>
    <n v="13415"/>
    <x v="0"/>
    <n v="8"/>
    <n v="93"/>
    <s v="No"/>
    <x v="1"/>
    <x v="1"/>
    <n v="0"/>
  </r>
  <r>
    <n v="17696"/>
    <x v="1"/>
    <n v="14"/>
    <n v="313"/>
    <s v="No"/>
    <x v="1"/>
    <x v="2"/>
    <n v="0"/>
  </r>
  <r>
    <n v="15744"/>
    <x v="1"/>
    <n v="10"/>
    <n v="268"/>
    <s v="No"/>
    <x v="1"/>
    <x v="2"/>
    <n v="0"/>
  </r>
  <r>
    <n v="16380"/>
    <x v="1"/>
    <n v="4"/>
    <n v="293"/>
    <s v="No"/>
    <x v="1"/>
    <x v="1"/>
    <n v="0"/>
  </r>
  <r>
    <n v="17321"/>
    <x v="1"/>
    <n v="12"/>
    <n v="43"/>
    <s v="No"/>
    <x v="0"/>
    <x v="0"/>
    <n v="0"/>
  </r>
  <r>
    <n v="15172"/>
    <x v="0"/>
    <n v="7"/>
    <n v="235"/>
    <s v="No"/>
    <x v="0"/>
    <x v="0"/>
    <n v="0"/>
  </r>
  <r>
    <n v="14094"/>
    <x v="1"/>
    <n v="6"/>
    <n v="448"/>
    <s v="No"/>
    <x v="0"/>
    <x v="3"/>
    <n v="0"/>
  </r>
  <r>
    <n v="16320"/>
    <x v="0"/>
    <n v="9"/>
    <n v="323"/>
    <s v="No"/>
    <x v="0"/>
    <x v="3"/>
    <n v="0"/>
  </r>
  <r>
    <n v="19111"/>
    <x v="1"/>
    <n v="14"/>
    <n v="56"/>
    <s v="No"/>
    <x v="1"/>
    <x v="1"/>
    <n v="0"/>
  </r>
  <r>
    <n v="19448"/>
    <x v="1"/>
    <n v="12"/>
    <n v="161"/>
    <s v="No"/>
    <x v="0"/>
    <x v="0"/>
    <n v="0"/>
  </r>
  <r>
    <n v="12366"/>
    <x v="0"/>
    <n v="9"/>
    <n v="69"/>
    <s v="No"/>
    <x v="1"/>
    <x v="3"/>
    <n v="0"/>
  </r>
  <r>
    <n v="17778"/>
    <x v="0"/>
    <n v="7"/>
    <n v="119"/>
    <s v="No"/>
    <x v="1"/>
    <x v="3"/>
    <n v="0"/>
  </r>
  <r>
    <n v="13458"/>
    <x v="1"/>
    <n v="6"/>
    <n v="327"/>
    <s v="No"/>
    <x v="0"/>
    <x v="1"/>
    <n v="0"/>
  </r>
  <r>
    <n v="15678"/>
    <x v="1"/>
    <n v="10"/>
    <n v="116"/>
    <s v="Yes"/>
    <x v="1"/>
    <x v="0"/>
    <n v="1"/>
  </r>
  <r>
    <n v="13135"/>
    <x v="0"/>
    <n v="3"/>
    <n v="202"/>
    <s v="No"/>
    <x v="0"/>
    <x v="3"/>
    <n v="0"/>
  </r>
  <r>
    <n v="14967"/>
    <x v="1"/>
    <n v="11"/>
    <n v="324"/>
    <s v="No"/>
    <x v="0"/>
    <x v="1"/>
    <n v="0"/>
  </r>
  <r>
    <n v="15125"/>
    <x v="1"/>
    <n v="13"/>
    <n v="394"/>
    <s v="No"/>
    <x v="0"/>
    <x v="0"/>
    <n v="0"/>
  </r>
  <r>
    <n v="19153"/>
    <x v="1"/>
    <n v="1"/>
    <n v="121"/>
    <s v="No"/>
    <x v="0"/>
    <x v="2"/>
    <n v="0"/>
  </r>
  <r>
    <n v="17909"/>
    <x v="0"/>
    <n v="2"/>
    <n v="254"/>
    <s v="No"/>
    <x v="1"/>
    <x v="2"/>
    <n v="0"/>
  </r>
  <r>
    <n v="10337"/>
    <x v="1"/>
    <n v="11"/>
    <n v="88"/>
    <s v="No"/>
    <x v="0"/>
    <x v="0"/>
    <n v="0"/>
  </r>
  <r>
    <n v="12093"/>
    <x v="1"/>
    <n v="8"/>
    <n v="79"/>
    <s v="No"/>
    <x v="0"/>
    <x v="1"/>
    <n v="0"/>
  </r>
  <r>
    <n v="15168"/>
    <x v="1"/>
    <n v="6"/>
    <n v="171"/>
    <s v="No"/>
    <x v="1"/>
    <x v="1"/>
    <n v="0"/>
  </r>
  <r>
    <n v="13122"/>
    <x v="0"/>
    <n v="6"/>
    <n v="365"/>
    <s v="No"/>
    <x v="1"/>
    <x v="0"/>
    <n v="0"/>
  </r>
  <r>
    <n v="17090"/>
    <x v="1"/>
    <n v="10"/>
    <n v="136"/>
    <s v="No"/>
    <x v="1"/>
    <x v="1"/>
    <n v="0"/>
  </r>
  <r>
    <n v="13239"/>
    <x v="1"/>
    <n v="2"/>
    <n v="155"/>
    <s v="No"/>
    <x v="0"/>
    <x v="1"/>
    <n v="0"/>
  </r>
  <r>
    <n v="18995"/>
    <x v="0"/>
    <n v="8"/>
    <n v="384"/>
    <s v="No"/>
    <x v="0"/>
    <x v="1"/>
    <n v="0"/>
  </r>
  <r>
    <n v="13243"/>
    <x v="1"/>
    <n v="8"/>
    <n v="123"/>
    <s v="No"/>
    <x v="1"/>
    <x v="1"/>
    <n v="0"/>
  </r>
  <r>
    <n v="14632"/>
    <x v="0"/>
    <n v="2"/>
    <n v="163"/>
    <s v="Yes"/>
    <x v="1"/>
    <x v="3"/>
    <n v="1"/>
  </r>
  <r>
    <n v="16629"/>
    <x v="0"/>
    <n v="7"/>
    <n v="42"/>
    <s v="No"/>
    <x v="1"/>
    <x v="1"/>
    <n v="0"/>
  </r>
  <r>
    <n v="18926"/>
    <x v="1"/>
    <n v="2"/>
    <n v="158"/>
    <s v="No"/>
    <x v="0"/>
    <x v="0"/>
    <n v="0"/>
  </r>
  <r>
    <n v="13107"/>
    <x v="1"/>
    <n v="11"/>
    <n v="187"/>
    <s v="No"/>
    <x v="0"/>
    <x v="3"/>
    <n v="0"/>
  </r>
  <r>
    <n v="19553"/>
    <x v="1"/>
    <n v="13"/>
    <n v="239"/>
    <s v="No"/>
    <x v="1"/>
    <x v="2"/>
    <n v="0"/>
  </r>
  <r>
    <n v="17234"/>
    <x v="0"/>
    <n v="12"/>
    <n v="296"/>
    <s v="No"/>
    <x v="1"/>
    <x v="3"/>
    <n v="0"/>
  </r>
  <r>
    <n v="17879"/>
    <x v="1"/>
    <n v="4"/>
    <n v="145"/>
    <s v="No"/>
    <x v="1"/>
    <x v="3"/>
    <n v="0"/>
  </r>
  <r>
    <n v="12081"/>
    <x v="0"/>
    <n v="10"/>
    <n v="117"/>
    <s v="No"/>
    <x v="0"/>
    <x v="0"/>
    <n v="0"/>
  </r>
  <r>
    <n v="10120"/>
    <x v="0"/>
    <n v="7"/>
    <n v="341"/>
    <s v="No"/>
    <x v="0"/>
    <x v="3"/>
    <n v="0"/>
  </r>
  <r>
    <n v="10542"/>
    <x v="0"/>
    <n v="4"/>
    <n v="147"/>
    <s v="Yes"/>
    <x v="0"/>
    <x v="3"/>
    <n v="1"/>
  </r>
  <r>
    <n v="15521"/>
    <x v="1"/>
    <n v="13"/>
    <n v="166"/>
    <s v="No"/>
    <x v="0"/>
    <x v="3"/>
    <n v="0"/>
  </r>
  <r>
    <n v="19491"/>
    <x v="1"/>
    <n v="7"/>
    <n v="344"/>
    <s v="No"/>
    <x v="1"/>
    <x v="0"/>
    <n v="0"/>
  </r>
  <r>
    <n v="13653"/>
    <x v="1"/>
    <n v="11"/>
    <n v="76"/>
    <s v="No"/>
    <x v="0"/>
    <x v="3"/>
    <n v="0"/>
  </r>
  <r>
    <n v="19677"/>
    <x v="1"/>
    <n v="14"/>
    <n v="301"/>
    <s v="No"/>
    <x v="0"/>
    <x v="1"/>
    <n v="0"/>
  </r>
  <r>
    <n v="10064"/>
    <x v="1"/>
    <n v="8"/>
    <n v="228"/>
    <s v="No"/>
    <x v="0"/>
    <x v="3"/>
    <n v="0"/>
  </r>
  <r>
    <n v="16928"/>
    <x v="1"/>
    <n v="2"/>
    <n v="55"/>
    <s v="No"/>
    <x v="1"/>
    <x v="0"/>
    <n v="0"/>
  </r>
  <r>
    <n v="10989"/>
    <x v="0"/>
    <n v="11"/>
    <n v="208"/>
    <s v="No"/>
    <x v="1"/>
    <x v="2"/>
    <n v="0"/>
  </r>
  <r>
    <n v="18366"/>
    <x v="0"/>
    <n v="5"/>
    <n v="244"/>
    <s v="No"/>
    <x v="1"/>
    <x v="1"/>
    <n v="0"/>
  </r>
  <r>
    <n v="13669"/>
    <x v="1"/>
    <n v="5"/>
    <n v="68"/>
    <s v="No"/>
    <x v="1"/>
    <x v="1"/>
    <n v="0"/>
  </r>
  <r>
    <n v="10248"/>
    <x v="1"/>
    <n v="7"/>
    <n v="119"/>
    <s v="No"/>
    <x v="1"/>
    <x v="1"/>
    <n v="0"/>
  </r>
  <r>
    <n v="10961"/>
    <x v="0"/>
    <n v="7"/>
    <n v="375"/>
    <s v="No"/>
    <x v="1"/>
    <x v="3"/>
    <n v="0"/>
  </r>
  <r>
    <n v="13540"/>
    <x v="1"/>
    <n v="5"/>
    <n v="298"/>
    <s v="No"/>
    <x v="0"/>
    <x v="1"/>
    <n v="0"/>
  </r>
  <r>
    <n v="19250"/>
    <x v="1"/>
    <n v="5"/>
    <n v="193"/>
    <s v="No"/>
    <x v="1"/>
    <x v="1"/>
    <n v="0"/>
  </r>
  <r>
    <n v="14798"/>
    <x v="1"/>
    <n v="8"/>
    <n v="381"/>
    <s v="No"/>
    <x v="1"/>
    <x v="1"/>
    <n v="0"/>
  </r>
  <r>
    <n v="10443"/>
    <x v="1"/>
    <n v="2"/>
    <n v="227"/>
    <s v="No"/>
    <x v="1"/>
    <x v="2"/>
    <n v="0"/>
  </r>
  <r>
    <n v="12210"/>
    <x v="0"/>
    <n v="12"/>
    <n v="241"/>
    <s v="No"/>
    <x v="1"/>
    <x v="2"/>
    <n v="0"/>
  </r>
  <r>
    <n v="19324"/>
    <x v="0"/>
    <n v="5"/>
    <n v="383"/>
    <s v="No"/>
    <x v="0"/>
    <x v="2"/>
    <n v="0"/>
  </r>
  <r>
    <n v="14351"/>
    <x v="0"/>
    <n v="9"/>
    <n v="74"/>
    <s v="No"/>
    <x v="0"/>
    <x v="3"/>
    <n v="0"/>
  </r>
  <r>
    <n v="12090"/>
    <x v="0"/>
    <n v="13"/>
    <n v="75"/>
    <s v="No"/>
    <x v="1"/>
    <x v="0"/>
    <n v="0"/>
  </r>
  <r>
    <n v="17361"/>
    <x v="0"/>
    <n v="6"/>
    <n v="426"/>
    <s v="No"/>
    <x v="1"/>
    <x v="3"/>
    <n v="0"/>
  </r>
  <r>
    <n v="13534"/>
    <x v="1"/>
    <n v="12"/>
    <n v="401"/>
    <s v="No"/>
    <x v="1"/>
    <x v="2"/>
    <n v="0"/>
  </r>
  <r>
    <n v="17965"/>
    <x v="0"/>
    <n v="14"/>
    <n v="236"/>
    <s v="Yes"/>
    <x v="0"/>
    <x v="3"/>
    <n v="1"/>
  </r>
  <r>
    <n v="16298"/>
    <x v="1"/>
    <n v="10"/>
    <n v="356"/>
    <s v="No"/>
    <x v="0"/>
    <x v="1"/>
    <n v="0"/>
  </r>
  <r>
    <n v="10541"/>
    <x v="1"/>
    <n v="3"/>
    <n v="328"/>
    <s v="No"/>
    <x v="0"/>
    <x v="3"/>
    <n v="0"/>
  </r>
  <r>
    <n v="15122"/>
    <x v="0"/>
    <n v="5"/>
    <n v="228"/>
    <s v="Yes"/>
    <x v="0"/>
    <x v="0"/>
    <n v="1"/>
  </r>
  <r>
    <n v="18168"/>
    <x v="0"/>
    <n v="9"/>
    <n v="295"/>
    <s v="No"/>
    <x v="0"/>
    <x v="2"/>
    <n v="0"/>
  </r>
  <r>
    <n v="15338"/>
    <x v="0"/>
    <n v="7"/>
    <n v="348"/>
    <s v="No"/>
    <x v="0"/>
    <x v="0"/>
    <n v="0"/>
  </r>
  <r>
    <n v="10811"/>
    <x v="1"/>
    <n v="14"/>
    <n v="221"/>
    <s v="No"/>
    <x v="0"/>
    <x v="2"/>
    <n v="0"/>
  </r>
  <r>
    <n v="13695"/>
    <x v="0"/>
    <n v="2"/>
    <n v="130"/>
    <s v="No"/>
    <x v="1"/>
    <x v="0"/>
    <n v="0"/>
  </r>
  <r>
    <n v="14451"/>
    <x v="0"/>
    <n v="2"/>
    <n v="328"/>
    <s v="No"/>
    <x v="1"/>
    <x v="1"/>
    <n v="0"/>
  </r>
  <r>
    <n v="13002"/>
    <x v="0"/>
    <n v="7"/>
    <n v="253"/>
    <s v="No"/>
    <x v="1"/>
    <x v="0"/>
    <n v="0"/>
  </r>
  <r>
    <n v="16912"/>
    <x v="0"/>
    <n v="13"/>
    <n v="289"/>
    <s v="No"/>
    <x v="0"/>
    <x v="2"/>
    <n v="0"/>
  </r>
  <r>
    <n v="12070"/>
    <x v="0"/>
    <n v="9"/>
    <n v="153"/>
    <s v="No"/>
    <x v="1"/>
    <x v="3"/>
    <n v="0"/>
  </r>
  <r>
    <n v="12721"/>
    <x v="0"/>
    <n v="4"/>
    <n v="107"/>
    <s v="No"/>
    <x v="0"/>
    <x v="1"/>
    <n v="0"/>
  </r>
  <r>
    <n v="13432"/>
    <x v="1"/>
    <n v="2"/>
    <n v="55"/>
    <s v="Yes"/>
    <x v="0"/>
    <x v="3"/>
    <n v="1"/>
  </r>
  <r>
    <n v="15257"/>
    <x v="0"/>
    <n v="2"/>
    <n v="352"/>
    <s v="No"/>
    <x v="0"/>
    <x v="0"/>
    <n v="0"/>
  </r>
  <r>
    <n v="18536"/>
    <x v="1"/>
    <n v="2"/>
    <n v="429"/>
    <s v="No"/>
    <x v="0"/>
    <x v="0"/>
    <n v="0"/>
  </r>
  <r>
    <n v="14069"/>
    <x v="1"/>
    <n v="13"/>
    <n v="98"/>
    <s v="No"/>
    <x v="1"/>
    <x v="0"/>
    <n v="0"/>
  </r>
  <r>
    <n v="12707"/>
    <x v="0"/>
    <n v="14"/>
    <n v="167"/>
    <s v="No"/>
    <x v="1"/>
    <x v="1"/>
    <n v="0"/>
  </r>
  <r>
    <n v="17844"/>
    <x v="1"/>
    <n v="4"/>
    <n v="234"/>
    <s v="No"/>
    <x v="0"/>
    <x v="2"/>
    <n v="0"/>
  </r>
  <r>
    <n v="12282"/>
    <x v="0"/>
    <n v="7"/>
    <n v="413"/>
    <s v="No"/>
    <x v="1"/>
    <x v="3"/>
    <n v="0"/>
  </r>
  <r>
    <n v="17314"/>
    <x v="0"/>
    <n v="6"/>
    <n v="416"/>
    <s v="No"/>
    <x v="1"/>
    <x v="0"/>
    <n v="0"/>
  </r>
  <r>
    <n v="13835"/>
    <x v="0"/>
    <n v="4"/>
    <n v="420"/>
    <s v="No"/>
    <x v="0"/>
    <x v="1"/>
    <n v="0"/>
  </r>
  <r>
    <n v="12240"/>
    <x v="1"/>
    <n v="7"/>
    <n v="183"/>
    <s v="No"/>
    <x v="0"/>
    <x v="3"/>
    <n v="0"/>
  </r>
  <r>
    <n v="19927"/>
    <x v="1"/>
    <n v="12"/>
    <n v="243"/>
    <s v="No"/>
    <x v="1"/>
    <x v="3"/>
    <n v="0"/>
  </r>
  <r>
    <n v="10598"/>
    <x v="0"/>
    <n v="9"/>
    <n v="356"/>
    <s v="Yes"/>
    <x v="1"/>
    <x v="0"/>
    <n v="1"/>
  </r>
  <r>
    <n v="19243"/>
    <x v="0"/>
    <n v="11"/>
    <n v="297"/>
    <s v="No"/>
    <x v="0"/>
    <x v="3"/>
    <n v="0"/>
  </r>
  <r>
    <n v="11089"/>
    <x v="0"/>
    <n v="14"/>
    <n v="299"/>
    <s v="No"/>
    <x v="1"/>
    <x v="0"/>
    <n v="0"/>
  </r>
  <r>
    <n v="10235"/>
    <x v="0"/>
    <n v="4"/>
    <n v="151"/>
    <s v="No"/>
    <x v="0"/>
    <x v="2"/>
    <n v="0"/>
  </r>
  <r>
    <n v="16456"/>
    <x v="1"/>
    <n v="9"/>
    <n v="246"/>
    <s v="No"/>
    <x v="1"/>
    <x v="0"/>
    <n v="0"/>
  </r>
  <r>
    <n v="15222"/>
    <x v="1"/>
    <n v="5"/>
    <n v="53"/>
    <s v="Yes"/>
    <x v="0"/>
    <x v="1"/>
    <n v="1"/>
  </r>
  <r>
    <n v="19065"/>
    <x v="0"/>
    <n v="12"/>
    <n v="284"/>
    <s v="No"/>
    <x v="0"/>
    <x v="2"/>
    <n v="0"/>
  </r>
  <r>
    <n v="13212"/>
    <x v="1"/>
    <n v="3"/>
    <n v="120"/>
    <s v="No"/>
    <x v="0"/>
    <x v="2"/>
    <n v="0"/>
  </r>
  <r>
    <n v="11262"/>
    <x v="0"/>
    <n v="8"/>
    <n v="335"/>
    <s v="No"/>
    <x v="1"/>
    <x v="0"/>
    <n v="0"/>
  </r>
  <r>
    <n v="18348"/>
    <x v="1"/>
    <n v="9"/>
    <n v="180"/>
    <s v="No"/>
    <x v="0"/>
    <x v="1"/>
    <n v="0"/>
  </r>
  <r>
    <n v="10887"/>
    <x v="0"/>
    <n v="8"/>
    <n v="393"/>
    <s v="Yes"/>
    <x v="1"/>
    <x v="2"/>
    <n v="1"/>
  </r>
  <r>
    <n v="12504"/>
    <x v="1"/>
    <n v="12"/>
    <n v="290"/>
    <s v="No"/>
    <x v="0"/>
    <x v="0"/>
    <n v="0"/>
  </r>
  <r>
    <n v="15391"/>
    <x v="1"/>
    <n v="12"/>
    <n v="382"/>
    <s v="No"/>
    <x v="1"/>
    <x v="0"/>
    <n v="0"/>
  </r>
  <r>
    <n v="14526"/>
    <x v="0"/>
    <n v="4"/>
    <n v="331"/>
    <s v="Yes"/>
    <x v="1"/>
    <x v="3"/>
    <n v="1"/>
  </r>
  <r>
    <n v="12984"/>
    <x v="0"/>
    <n v="12"/>
    <n v="354"/>
    <s v="No"/>
    <x v="0"/>
    <x v="0"/>
    <n v="0"/>
  </r>
  <r>
    <n v="14842"/>
    <x v="0"/>
    <n v="13"/>
    <n v="423"/>
    <s v="No"/>
    <x v="0"/>
    <x v="2"/>
    <n v="0"/>
  </r>
  <r>
    <n v="11989"/>
    <x v="1"/>
    <n v="1"/>
    <n v="144"/>
    <s v="No"/>
    <x v="0"/>
    <x v="3"/>
    <n v="0"/>
  </r>
  <r>
    <n v="11644"/>
    <x v="0"/>
    <n v="11"/>
    <n v="197"/>
    <s v="No"/>
    <x v="0"/>
    <x v="3"/>
    <n v="0"/>
  </r>
  <r>
    <n v="17198"/>
    <x v="1"/>
    <n v="8"/>
    <n v="234"/>
    <s v="No"/>
    <x v="1"/>
    <x v="1"/>
    <n v="0"/>
  </r>
  <r>
    <n v="18598"/>
    <x v="0"/>
    <n v="5"/>
    <n v="375"/>
    <s v="No"/>
    <x v="0"/>
    <x v="3"/>
    <n v="0"/>
  </r>
  <r>
    <n v="18906"/>
    <x v="1"/>
    <n v="11"/>
    <n v="279"/>
    <s v="No"/>
    <x v="1"/>
    <x v="0"/>
    <n v="0"/>
  </r>
  <r>
    <n v="14065"/>
    <x v="0"/>
    <n v="7"/>
    <n v="346"/>
    <s v="Yes"/>
    <x v="1"/>
    <x v="1"/>
    <n v="1"/>
  </r>
  <r>
    <n v="16333"/>
    <x v="0"/>
    <n v="9"/>
    <n v="100"/>
    <s v="No"/>
    <x v="0"/>
    <x v="1"/>
    <n v="0"/>
  </r>
  <r>
    <n v="18897"/>
    <x v="1"/>
    <n v="13"/>
    <n v="95"/>
    <s v="No"/>
    <x v="1"/>
    <x v="1"/>
    <n v="0"/>
  </r>
  <r>
    <n v="12167"/>
    <x v="0"/>
    <n v="6"/>
    <n v="103"/>
    <s v="No"/>
    <x v="1"/>
    <x v="2"/>
    <n v="0"/>
  </r>
  <r>
    <n v="14989"/>
    <x v="0"/>
    <n v="6"/>
    <n v="67"/>
    <s v="No"/>
    <x v="1"/>
    <x v="3"/>
    <n v="0"/>
  </r>
  <r>
    <n v="18169"/>
    <x v="1"/>
    <n v="14"/>
    <n v="47"/>
    <s v="No"/>
    <x v="0"/>
    <x v="3"/>
    <n v="0"/>
  </r>
  <r>
    <n v="19534"/>
    <x v="1"/>
    <n v="6"/>
    <n v="282"/>
    <s v="No"/>
    <x v="1"/>
    <x v="1"/>
    <n v="0"/>
  </r>
  <r>
    <n v="13194"/>
    <x v="0"/>
    <n v="12"/>
    <n v="97"/>
    <s v="No"/>
    <x v="0"/>
    <x v="1"/>
    <n v="0"/>
  </r>
  <r>
    <n v="19515"/>
    <x v="0"/>
    <n v="13"/>
    <n v="381"/>
    <s v="No"/>
    <x v="0"/>
    <x v="3"/>
    <n v="0"/>
  </r>
  <r>
    <n v="13315"/>
    <x v="0"/>
    <n v="3"/>
    <n v="227"/>
    <s v="Yes"/>
    <x v="1"/>
    <x v="1"/>
    <n v="1"/>
  </r>
  <r>
    <n v="19431"/>
    <x v="1"/>
    <n v="7"/>
    <n v="266"/>
    <s v="No"/>
    <x v="1"/>
    <x v="0"/>
    <n v="0"/>
  </r>
  <r>
    <n v="11222"/>
    <x v="0"/>
    <n v="14"/>
    <n v="431"/>
    <s v="No"/>
    <x v="0"/>
    <x v="0"/>
    <n v="0"/>
  </r>
  <r>
    <n v="19236"/>
    <x v="1"/>
    <n v="10"/>
    <n v="92"/>
    <s v="No"/>
    <x v="1"/>
    <x v="2"/>
    <n v="0"/>
  </r>
  <r>
    <n v="14772"/>
    <x v="0"/>
    <n v="4"/>
    <n v="310"/>
    <s v="No"/>
    <x v="0"/>
    <x v="2"/>
    <n v="0"/>
  </r>
  <r>
    <n v="13821"/>
    <x v="0"/>
    <n v="11"/>
    <n v="302"/>
    <s v="No"/>
    <x v="1"/>
    <x v="0"/>
    <n v="0"/>
  </r>
  <r>
    <n v="13311"/>
    <x v="1"/>
    <n v="9"/>
    <n v="336"/>
    <s v="No"/>
    <x v="0"/>
    <x v="0"/>
    <n v="0"/>
  </r>
  <r>
    <n v="19284"/>
    <x v="1"/>
    <n v="13"/>
    <n v="347"/>
    <s v="No"/>
    <x v="0"/>
    <x v="0"/>
    <n v="0"/>
  </r>
  <r>
    <n v="18160"/>
    <x v="1"/>
    <n v="4"/>
    <n v="230"/>
    <s v="No"/>
    <x v="1"/>
    <x v="3"/>
    <n v="0"/>
  </r>
  <r>
    <n v="10589"/>
    <x v="0"/>
    <n v="13"/>
    <n v="419"/>
    <s v="No"/>
    <x v="0"/>
    <x v="3"/>
    <n v="0"/>
  </r>
  <r>
    <n v="19802"/>
    <x v="1"/>
    <n v="7"/>
    <n v="307"/>
    <s v="No"/>
    <x v="0"/>
    <x v="2"/>
    <n v="0"/>
  </r>
  <r>
    <n v="14434"/>
    <x v="0"/>
    <n v="13"/>
    <n v="103"/>
    <s v="Yes"/>
    <x v="0"/>
    <x v="1"/>
    <n v="1"/>
  </r>
  <r>
    <n v="14822"/>
    <x v="0"/>
    <n v="10"/>
    <n v="94"/>
    <s v="No"/>
    <x v="0"/>
    <x v="2"/>
    <n v="0"/>
  </r>
  <r>
    <n v="14300"/>
    <x v="1"/>
    <n v="3"/>
    <n v="165"/>
    <s v="No"/>
    <x v="0"/>
    <x v="2"/>
    <n v="0"/>
  </r>
  <r>
    <n v="18156"/>
    <x v="1"/>
    <n v="7"/>
    <n v="339"/>
    <s v="No"/>
    <x v="1"/>
    <x v="1"/>
    <n v="0"/>
  </r>
  <r>
    <n v="16929"/>
    <x v="1"/>
    <n v="1"/>
    <n v="381"/>
    <s v="No"/>
    <x v="1"/>
    <x v="0"/>
    <n v="0"/>
  </r>
  <r>
    <n v="15213"/>
    <x v="1"/>
    <n v="13"/>
    <n v="277"/>
    <s v="No"/>
    <x v="1"/>
    <x v="0"/>
    <n v="0"/>
  </r>
  <r>
    <n v="16556"/>
    <x v="0"/>
    <n v="3"/>
    <n v="382"/>
    <s v="No"/>
    <x v="1"/>
    <x v="1"/>
    <n v="0"/>
  </r>
  <r>
    <n v="14583"/>
    <x v="0"/>
    <n v="9"/>
    <n v="395"/>
    <s v="No"/>
    <x v="1"/>
    <x v="0"/>
    <n v="0"/>
  </r>
  <r>
    <n v="17251"/>
    <x v="1"/>
    <n v="14"/>
    <n v="448"/>
    <s v="Yes"/>
    <x v="0"/>
    <x v="0"/>
    <n v="1"/>
  </r>
  <r>
    <n v="19503"/>
    <x v="1"/>
    <n v="6"/>
    <n v="247"/>
    <s v="No"/>
    <x v="0"/>
    <x v="2"/>
    <n v="0"/>
  </r>
  <r>
    <n v="16756"/>
    <x v="0"/>
    <n v="1"/>
    <n v="280"/>
    <s v="No"/>
    <x v="0"/>
    <x v="2"/>
    <n v="0"/>
  </r>
  <r>
    <n v="12800"/>
    <x v="0"/>
    <n v="14"/>
    <n v="109"/>
    <s v="No"/>
    <x v="1"/>
    <x v="3"/>
    <n v="0"/>
  </r>
  <r>
    <n v="15869"/>
    <x v="1"/>
    <n v="4"/>
    <n v="441"/>
    <s v="No"/>
    <x v="0"/>
    <x v="0"/>
    <n v="0"/>
  </r>
  <r>
    <n v="10010"/>
    <x v="0"/>
    <n v="1"/>
    <n v="430"/>
    <s v="No"/>
    <x v="0"/>
    <x v="2"/>
    <n v="0"/>
  </r>
  <r>
    <n v="11912"/>
    <x v="1"/>
    <n v="2"/>
    <n v="94"/>
    <s v="No"/>
    <x v="0"/>
    <x v="2"/>
    <n v="0"/>
  </r>
  <r>
    <n v="19300"/>
    <x v="1"/>
    <n v="8"/>
    <n v="361"/>
    <s v="No"/>
    <x v="1"/>
    <x v="2"/>
    <n v="0"/>
  </r>
  <r>
    <n v="13800"/>
    <x v="1"/>
    <n v="8"/>
    <n v="285"/>
    <s v="No"/>
    <x v="1"/>
    <x v="2"/>
    <n v="0"/>
  </r>
  <r>
    <n v="18585"/>
    <x v="1"/>
    <n v="12"/>
    <n v="109"/>
    <s v="No"/>
    <x v="0"/>
    <x v="0"/>
    <n v="0"/>
  </r>
  <r>
    <n v="15376"/>
    <x v="0"/>
    <n v="6"/>
    <n v="176"/>
    <s v="No"/>
    <x v="0"/>
    <x v="1"/>
    <n v="0"/>
  </r>
  <r>
    <n v="11946"/>
    <x v="0"/>
    <n v="10"/>
    <n v="245"/>
    <s v="No"/>
    <x v="0"/>
    <x v="1"/>
    <n v="0"/>
  </r>
  <r>
    <n v="12575"/>
    <x v="0"/>
    <n v="2"/>
    <n v="126"/>
    <s v="No"/>
    <x v="1"/>
    <x v="2"/>
    <n v="0"/>
  </r>
  <r>
    <n v="16093"/>
    <x v="0"/>
    <n v="11"/>
    <n v="77"/>
    <s v="No"/>
    <x v="1"/>
    <x v="3"/>
    <n v="0"/>
  </r>
  <r>
    <n v="13225"/>
    <x v="1"/>
    <n v="2"/>
    <n v="231"/>
    <s v="No"/>
    <x v="1"/>
    <x v="0"/>
    <n v="0"/>
  </r>
  <r>
    <n v="12042"/>
    <x v="0"/>
    <n v="1"/>
    <n v="318"/>
    <s v="No"/>
    <x v="0"/>
    <x v="0"/>
    <n v="0"/>
  </r>
  <r>
    <n v="16015"/>
    <x v="0"/>
    <n v="9"/>
    <n v="84"/>
    <s v="No"/>
    <x v="1"/>
    <x v="2"/>
    <n v="0"/>
  </r>
  <r>
    <n v="13563"/>
    <x v="0"/>
    <n v="8"/>
    <n v="427"/>
    <s v="Yes"/>
    <x v="0"/>
    <x v="3"/>
    <n v="1"/>
  </r>
  <r>
    <n v="13392"/>
    <x v="0"/>
    <n v="14"/>
    <n v="346"/>
    <s v="No"/>
    <x v="0"/>
    <x v="3"/>
    <n v="0"/>
  </r>
  <r>
    <n v="15776"/>
    <x v="0"/>
    <n v="6"/>
    <n v="154"/>
    <s v="No"/>
    <x v="0"/>
    <x v="2"/>
    <n v="0"/>
  </r>
  <r>
    <n v="10787"/>
    <x v="0"/>
    <n v="14"/>
    <n v="343"/>
    <s v="No"/>
    <x v="1"/>
    <x v="3"/>
    <n v="0"/>
  </r>
  <r>
    <n v="14691"/>
    <x v="0"/>
    <n v="7"/>
    <n v="117"/>
    <s v="No"/>
    <x v="0"/>
    <x v="0"/>
    <n v="0"/>
  </r>
  <r>
    <n v="13040"/>
    <x v="1"/>
    <n v="1"/>
    <n v="48"/>
    <s v="No"/>
    <x v="1"/>
    <x v="2"/>
    <n v="0"/>
  </r>
  <r>
    <n v="18026"/>
    <x v="1"/>
    <n v="12"/>
    <n v="414"/>
    <s v="No"/>
    <x v="1"/>
    <x v="1"/>
    <n v="0"/>
  </r>
  <r>
    <n v="17648"/>
    <x v="1"/>
    <n v="10"/>
    <n v="186"/>
    <s v="No"/>
    <x v="1"/>
    <x v="2"/>
    <n v="0"/>
  </r>
  <r>
    <n v="10117"/>
    <x v="1"/>
    <n v="2"/>
    <n v="312"/>
    <s v="No"/>
    <x v="1"/>
    <x v="1"/>
    <n v="0"/>
  </r>
  <r>
    <n v="17035"/>
    <x v="0"/>
    <n v="12"/>
    <n v="247"/>
    <s v="No"/>
    <x v="0"/>
    <x v="1"/>
    <n v="0"/>
  </r>
  <r>
    <n v="18389"/>
    <x v="1"/>
    <n v="8"/>
    <n v="401"/>
    <s v="No"/>
    <x v="0"/>
    <x v="1"/>
    <n v="0"/>
  </r>
  <r>
    <n v="19751"/>
    <x v="1"/>
    <n v="4"/>
    <n v="175"/>
    <s v="No"/>
    <x v="1"/>
    <x v="1"/>
    <n v="0"/>
  </r>
  <r>
    <n v="13568"/>
    <x v="0"/>
    <n v="10"/>
    <n v="138"/>
    <s v="Yes"/>
    <x v="0"/>
    <x v="1"/>
    <n v="1"/>
  </r>
  <r>
    <n v="17340"/>
    <x v="1"/>
    <n v="11"/>
    <n v="197"/>
    <s v="No"/>
    <x v="1"/>
    <x v="0"/>
    <n v="0"/>
  </r>
  <r>
    <n v="11771"/>
    <x v="1"/>
    <n v="2"/>
    <n v="69"/>
    <s v="No"/>
    <x v="1"/>
    <x v="1"/>
    <n v="0"/>
  </r>
  <r>
    <n v="13703"/>
    <x v="1"/>
    <n v="12"/>
    <n v="139"/>
    <s v="No"/>
    <x v="0"/>
    <x v="1"/>
    <n v="0"/>
  </r>
  <r>
    <n v="18465"/>
    <x v="0"/>
    <n v="7"/>
    <n v="322"/>
    <s v="No"/>
    <x v="1"/>
    <x v="1"/>
    <n v="0"/>
  </r>
  <r>
    <n v="18919"/>
    <x v="1"/>
    <n v="6"/>
    <n v="130"/>
    <s v="No"/>
    <x v="1"/>
    <x v="1"/>
    <n v="0"/>
  </r>
  <r>
    <n v="15226"/>
    <x v="1"/>
    <n v="3"/>
    <n v="89"/>
    <s v="No"/>
    <x v="1"/>
    <x v="2"/>
    <n v="0"/>
  </r>
  <r>
    <n v="10757"/>
    <x v="0"/>
    <n v="7"/>
    <n v="79"/>
    <s v="No"/>
    <x v="1"/>
    <x v="1"/>
    <n v="0"/>
  </r>
  <r>
    <n v="16391"/>
    <x v="1"/>
    <n v="10"/>
    <n v="139"/>
    <s v="No"/>
    <x v="0"/>
    <x v="3"/>
    <n v="0"/>
  </r>
  <r>
    <n v="17675"/>
    <x v="0"/>
    <n v="8"/>
    <n v="95"/>
    <s v="No"/>
    <x v="0"/>
    <x v="3"/>
    <n v="0"/>
  </r>
  <r>
    <n v="12380"/>
    <x v="1"/>
    <n v="9"/>
    <n v="380"/>
    <s v="No"/>
    <x v="1"/>
    <x v="0"/>
    <n v="0"/>
  </r>
  <r>
    <n v="14930"/>
    <x v="0"/>
    <n v="13"/>
    <n v="173"/>
    <s v="No"/>
    <x v="1"/>
    <x v="3"/>
    <n v="0"/>
  </r>
  <r>
    <n v="17462"/>
    <x v="0"/>
    <n v="7"/>
    <n v="138"/>
    <s v="No"/>
    <x v="1"/>
    <x v="0"/>
    <n v="0"/>
  </r>
  <r>
    <n v="13299"/>
    <x v="0"/>
    <n v="7"/>
    <n v="371"/>
    <s v="No"/>
    <x v="0"/>
    <x v="1"/>
    <n v="0"/>
  </r>
  <r>
    <n v="19183"/>
    <x v="1"/>
    <n v="9"/>
    <n v="107"/>
    <s v="Yes"/>
    <x v="0"/>
    <x v="2"/>
    <n v="1"/>
  </r>
  <r>
    <n v="12829"/>
    <x v="0"/>
    <n v="11"/>
    <n v="378"/>
    <s v="No"/>
    <x v="0"/>
    <x v="3"/>
    <n v="0"/>
  </r>
  <r>
    <n v="18810"/>
    <x v="1"/>
    <n v="4"/>
    <n v="151"/>
    <s v="No"/>
    <x v="1"/>
    <x v="2"/>
    <n v="0"/>
  </r>
  <r>
    <n v="14753"/>
    <x v="0"/>
    <n v="3"/>
    <n v="240"/>
    <s v="No"/>
    <x v="0"/>
    <x v="2"/>
    <n v="0"/>
  </r>
  <r>
    <n v="11409"/>
    <x v="1"/>
    <n v="2"/>
    <n v="223"/>
    <s v="No"/>
    <x v="1"/>
    <x v="2"/>
    <n v="0"/>
  </r>
  <r>
    <n v="14363"/>
    <x v="0"/>
    <n v="9"/>
    <n v="442"/>
    <s v="No"/>
    <x v="0"/>
    <x v="3"/>
    <n v="0"/>
  </r>
  <r>
    <n v="17169"/>
    <x v="1"/>
    <n v="11"/>
    <n v="138"/>
    <s v="No"/>
    <x v="1"/>
    <x v="0"/>
    <n v="0"/>
  </r>
  <r>
    <n v="17756"/>
    <x v="0"/>
    <n v="8"/>
    <n v="243"/>
    <s v="No"/>
    <x v="0"/>
    <x v="2"/>
    <n v="0"/>
  </r>
  <r>
    <n v="12753"/>
    <x v="1"/>
    <n v="3"/>
    <n v="181"/>
    <s v="No"/>
    <x v="1"/>
    <x v="1"/>
    <n v="0"/>
  </r>
  <r>
    <n v="11942"/>
    <x v="1"/>
    <n v="14"/>
    <n v="434"/>
    <s v="No"/>
    <x v="0"/>
    <x v="3"/>
    <n v="0"/>
  </r>
  <r>
    <n v="12558"/>
    <x v="0"/>
    <n v="7"/>
    <n v="226"/>
    <s v="No"/>
    <x v="0"/>
    <x v="2"/>
    <n v="0"/>
  </r>
  <r>
    <n v="12005"/>
    <x v="1"/>
    <n v="11"/>
    <n v="352"/>
    <s v="No"/>
    <x v="0"/>
    <x v="1"/>
    <n v="0"/>
  </r>
  <r>
    <n v="10034"/>
    <x v="1"/>
    <n v="1"/>
    <n v="293"/>
    <s v="No"/>
    <x v="1"/>
    <x v="1"/>
    <n v="0"/>
  </r>
  <r>
    <n v="13784"/>
    <x v="0"/>
    <n v="4"/>
    <n v="235"/>
    <s v="No"/>
    <x v="0"/>
    <x v="0"/>
    <n v="0"/>
  </r>
  <r>
    <n v="11048"/>
    <x v="1"/>
    <n v="14"/>
    <n v="88"/>
    <s v="Yes"/>
    <x v="1"/>
    <x v="3"/>
    <n v="1"/>
  </r>
  <r>
    <n v="14545"/>
    <x v="0"/>
    <n v="9"/>
    <n v="363"/>
    <s v="No"/>
    <x v="1"/>
    <x v="2"/>
    <n v="0"/>
  </r>
  <r>
    <n v="16904"/>
    <x v="1"/>
    <n v="9"/>
    <n v="231"/>
    <s v="No"/>
    <x v="1"/>
    <x v="1"/>
    <n v="0"/>
  </r>
  <r>
    <n v="11849"/>
    <x v="0"/>
    <n v="7"/>
    <n v="311"/>
    <s v="No"/>
    <x v="1"/>
    <x v="2"/>
    <n v="0"/>
  </r>
  <r>
    <n v="12711"/>
    <x v="1"/>
    <n v="4"/>
    <n v="133"/>
    <s v="No"/>
    <x v="0"/>
    <x v="3"/>
    <n v="0"/>
  </r>
  <r>
    <n v="12521"/>
    <x v="0"/>
    <n v="4"/>
    <n v="412"/>
    <s v="No"/>
    <x v="0"/>
    <x v="3"/>
    <n v="0"/>
  </r>
  <r>
    <n v="19855"/>
    <x v="0"/>
    <n v="5"/>
    <n v="150"/>
    <s v="No"/>
    <x v="0"/>
    <x v="3"/>
    <n v="0"/>
  </r>
  <r>
    <n v="11295"/>
    <x v="0"/>
    <n v="13"/>
    <n v="287"/>
    <s v="No"/>
    <x v="0"/>
    <x v="3"/>
    <n v="0"/>
  </r>
  <r>
    <n v="16921"/>
    <x v="0"/>
    <n v="1"/>
    <n v="316"/>
    <s v="No"/>
    <x v="1"/>
    <x v="2"/>
    <n v="0"/>
  </r>
  <r>
    <n v="11775"/>
    <x v="1"/>
    <n v="14"/>
    <n v="247"/>
    <s v="No"/>
    <x v="1"/>
    <x v="2"/>
    <n v="0"/>
  </r>
  <r>
    <n v="11754"/>
    <x v="0"/>
    <n v="10"/>
    <n v="91"/>
    <s v="No"/>
    <x v="1"/>
    <x v="1"/>
    <n v="0"/>
  </r>
  <r>
    <n v="15334"/>
    <x v="1"/>
    <n v="4"/>
    <n v="382"/>
    <s v="No"/>
    <x v="0"/>
    <x v="2"/>
    <n v="0"/>
  </r>
  <r>
    <n v="18030"/>
    <x v="1"/>
    <n v="9"/>
    <n v="247"/>
    <s v="No"/>
    <x v="1"/>
    <x v="3"/>
    <n v="0"/>
  </r>
  <r>
    <n v="18773"/>
    <x v="1"/>
    <n v="13"/>
    <n v="266"/>
    <s v="No"/>
    <x v="1"/>
    <x v="3"/>
    <n v="0"/>
  </r>
  <r>
    <n v="19346"/>
    <x v="0"/>
    <n v="1"/>
    <n v="429"/>
    <s v="No"/>
    <x v="0"/>
    <x v="2"/>
    <n v="0"/>
  </r>
  <r>
    <n v="10223"/>
    <x v="1"/>
    <n v="2"/>
    <n v="112"/>
    <s v="No"/>
    <x v="0"/>
    <x v="1"/>
    <n v="0"/>
  </r>
  <r>
    <n v="16022"/>
    <x v="0"/>
    <n v="7"/>
    <n v="51"/>
    <s v="No"/>
    <x v="1"/>
    <x v="0"/>
    <n v="0"/>
  </r>
  <r>
    <n v="16010"/>
    <x v="0"/>
    <n v="14"/>
    <n v="282"/>
    <s v="No"/>
    <x v="1"/>
    <x v="3"/>
    <n v="0"/>
  </r>
  <r>
    <n v="13767"/>
    <x v="1"/>
    <n v="4"/>
    <n v="379"/>
    <s v="No"/>
    <x v="0"/>
    <x v="3"/>
    <n v="0"/>
  </r>
  <r>
    <n v="14495"/>
    <x v="0"/>
    <n v="6"/>
    <n v="110"/>
    <s v="No"/>
    <x v="0"/>
    <x v="2"/>
    <n v="0"/>
  </r>
  <r>
    <n v="10303"/>
    <x v="0"/>
    <n v="1"/>
    <n v="424"/>
    <s v="No"/>
    <x v="0"/>
    <x v="2"/>
    <n v="0"/>
  </r>
  <r>
    <n v="15928"/>
    <x v="1"/>
    <n v="1"/>
    <n v="240"/>
    <s v="No"/>
    <x v="0"/>
    <x v="0"/>
    <n v="0"/>
  </r>
  <r>
    <n v="19970"/>
    <x v="1"/>
    <n v="5"/>
    <n v="269"/>
    <s v="No"/>
    <x v="0"/>
    <x v="0"/>
    <n v="0"/>
  </r>
  <r>
    <n v="10841"/>
    <x v="1"/>
    <n v="9"/>
    <n v="428"/>
    <s v="No"/>
    <x v="0"/>
    <x v="1"/>
    <n v="0"/>
  </r>
  <r>
    <n v="12264"/>
    <x v="1"/>
    <n v="11"/>
    <n v="208"/>
    <s v="No"/>
    <x v="0"/>
    <x v="0"/>
    <n v="0"/>
  </r>
  <r>
    <n v="16030"/>
    <x v="1"/>
    <n v="7"/>
    <n v="178"/>
    <s v="No"/>
    <x v="1"/>
    <x v="0"/>
    <n v="0"/>
  </r>
  <r>
    <n v="15864"/>
    <x v="0"/>
    <n v="8"/>
    <n v="184"/>
    <s v="No"/>
    <x v="1"/>
    <x v="3"/>
    <n v="0"/>
  </r>
  <r>
    <n v="19679"/>
    <x v="0"/>
    <n v="12"/>
    <n v="437"/>
    <s v="No"/>
    <x v="1"/>
    <x v="1"/>
    <n v="0"/>
  </r>
  <r>
    <n v="19896"/>
    <x v="0"/>
    <n v="14"/>
    <n v="306"/>
    <s v="No"/>
    <x v="0"/>
    <x v="2"/>
    <n v="0"/>
  </r>
  <r>
    <n v="18867"/>
    <x v="1"/>
    <n v="10"/>
    <n v="433"/>
    <s v="Yes"/>
    <x v="1"/>
    <x v="3"/>
    <n v="1"/>
  </r>
  <r>
    <n v="12343"/>
    <x v="0"/>
    <n v="1"/>
    <n v="202"/>
    <s v="No"/>
    <x v="0"/>
    <x v="0"/>
    <n v="0"/>
  </r>
  <r>
    <n v="16393"/>
    <x v="1"/>
    <n v="4"/>
    <n v="59"/>
    <s v="No"/>
    <x v="0"/>
    <x v="0"/>
    <n v="0"/>
  </r>
  <r>
    <n v="13733"/>
    <x v="1"/>
    <n v="9"/>
    <n v="270"/>
    <s v="No"/>
    <x v="0"/>
    <x v="1"/>
    <n v="0"/>
  </r>
  <r>
    <n v="10361"/>
    <x v="0"/>
    <n v="12"/>
    <n v="410"/>
    <s v="No"/>
    <x v="0"/>
    <x v="1"/>
    <n v="0"/>
  </r>
  <r>
    <n v="10259"/>
    <x v="1"/>
    <n v="10"/>
    <n v="268"/>
    <s v="No"/>
    <x v="0"/>
    <x v="2"/>
    <n v="0"/>
  </r>
  <r>
    <n v="11627"/>
    <x v="1"/>
    <n v="8"/>
    <n v="421"/>
    <s v="No"/>
    <x v="0"/>
    <x v="3"/>
    <n v="0"/>
  </r>
  <r>
    <n v="15780"/>
    <x v="1"/>
    <n v="5"/>
    <n v="171"/>
    <s v="No"/>
    <x v="0"/>
    <x v="2"/>
    <n v="0"/>
  </r>
  <r>
    <n v="13972"/>
    <x v="1"/>
    <n v="8"/>
    <n v="177"/>
    <s v="No"/>
    <x v="0"/>
    <x v="1"/>
    <n v="0"/>
  </r>
  <r>
    <n v="18261"/>
    <x v="0"/>
    <n v="14"/>
    <n v="145"/>
    <s v="No"/>
    <x v="1"/>
    <x v="2"/>
    <n v="0"/>
  </r>
  <r>
    <n v="19207"/>
    <x v="0"/>
    <n v="1"/>
    <n v="93"/>
    <s v="No"/>
    <x v="1"/>
    <x v="3"/>
    <n v="0"/>
  </r>
  <r>
    <n v="17150"/>
    <x v="1"/>
    <n v="7"/>
    <n v="52"/>
    <s v="No"/>
    <x v="0"/>
    <x v="3"/>
    <n v="0"/>
  </r>
  <r>
    <n v="19892"/>
    <x v="1"/>
    <n v="13"/>
    <n v="219"/>
    <s v="No"/>
    <x v="0"/>
    <x v="2"/>
    <n v="0"/>
  </r>
  <r>
    <n v="19925"/>
    <x v="0"/>
    <n v="4"/>
    <n v="48"/>
    <s v="No"/>
    <x v="0"/>
    <x v="0"/>
    <n v="0"/>
  </r>
  <r>
    <n v="11773"/>
    <x v="1"/>
    <n v="10"/>
    <n v="336"/>
    <s v="No"/>
    <x v="0"/>
    <x v="0"/>
    <n v="0"/>
  </r>
  <r>
    <n v="16873"/>
    <x v="0"/>
    <n v="2"/>
    <n v="424"/>
    <s v="No"/>
    <x v="0"/>
    <x v="0"/>
    <n v="0"/>
  </r>
  <r>
    <n v="12698"/>
    <x v="1"/>
    <n v="4"/>
    <n v="54"/>
    <s v="No"/>
    <x v="0"/>
    <x v="2"/>
    <n v="0"/>
  </r>
  <r>
    <n v="16489"/>
    <x v="0"/>
    <n v="3"/>
    <n v="199"/>
    <s v="Yes"/>
    <x v="1"/>
    <x v="0"/>
    <n v="1"/>
  </r>
  <r>
    <n v="13196"/>
    <x v="0"/>
    <n v="4"/>
    <n v="439"/>
    <s v="No"/>
    <x v="1"/>
    <x v="2"/>
    <n v="0"/>
  </r>
  <r>
    <n v="19851"/>
    <x v="0"/>
    <n v="9"/>
    <n v="251"/>
    <s v="No"/>
    <x v="0"/>
    <x v="2"/>
    <n v="0"/>
  </r>
  <r>
    <n v="13413"/>
    <x v="1"/>
    <n v="7"/>
    <n v="408"/>
    <s v="No"/>
    <x v="0"/>
    <x v="0"/>
    <n v="0"/>
  </r>
  <r>
    <n v="18254"/>
    <x v="1"/>
    <n v="7"/>
    <n v="200"/>
    <s v="No"/>
    <x v="0"/>
    <x v="3"/>
    <n v="0"/>
  </r>
  <r>
    <n v="10572"/>
    <x v="0"/>
    <n v="9"/>
    <n v="389"/>
    <s v="No"/>
    <x v="0"/>
    <x v="1"/>
    <n v="0"/>
  </r>
  <r>
    <n v="17280"/>
    <x v="1"/>
    <n v="14"/>
    <n v="406"/>
    <s v="No"/>
    <x v="1"/>
    <x v="3"/>
    <n v="0"/>
  </r>
  <r>
    <n v="11811"/>
    <x v="0"/>
    <n v="2"/>
    <n v="333"/>
    <s v="No"/>
    <x v="0"/>
    <x v="0"/>
    <n v="0"/>
  </r>
  <r>
    <n v="14479"/>
    <x v="0"/>
    <n v="4"/>
    <n v="117"/>
    <s v="No"/>
    <x v="0"/>
    <x v="0"/>
    <n v="0"/>
  </r>
  <r>
    <n v="12390"/>
    <x v="1"/>
    <n v="7"/>
    <n v="274"/>
    <s v="No"/>
    <x v="0"/>
    <x v="2"/>
    <n v="0"/>
  </r>
  <r>
    <n v="15197"/>
    <x v="1"/>
    <n v="6"/>
    <n v="438"/>
    <s v="No"/>
    <x v="0"/>
    <x v="2"/>
    <n v="0"/>
  </r>
  <r>
    <n v="18314"/>
    <x v="0"/>
    <n v="14"/>
    <n v="58"/>
    <s v="No"/>
    <x v="1"/>
    <x v="3"/>
    <n v="0"/>
  </r>
  <r>
    <n v="17710"/>
    <x v="0"/>
    <n v="3"/>
    <n v="224"/>
    <s v="No"/>
    <x v="1"/>
    <x v="2"/>
    <n v="0"/>
  </r>
  <r>
    <n v="19061"/>
    <x v="1"/>
    <n v="6"/>
    <n v="146"/>
    <s v="No"/>
    <x v="0"/>
    <x v="0"/>
    <n v="0"/>
  </r>
  <r>
    <n v="17762"/>
    <x v="0"/>
    <n v="11"/>
    <n v="72"/>
    <s v="No"/>
    <x v="0"/>
    <x v="0"/>
    <n v="0"/>
  </r>
  <r>
    <n v="17038"/>
    <x v="0"/>
    <n v="1"/>
    <n v="365"/>
    <s v="No"/>
    <x v="1"/>
    <x v="1"/>
    <n v="0"/>
  </r>
  <r>
    <n v="17134"/>
    <x v="0"/>
    <n v="7"/>
    <n v="343"/>
    <s v="No"/>
    <x v="1"/>
    <x v="1"/>
    <n v="0"/>
  </r>
  <r>
    <n v="13926"/>
    <x v="0"/>
    <n v="12"/>
    <n v="73"/>
    <s v="No"/>
    <x v="0"/>
    <x v="3"/>
    <n v="0"/>
  </r>
  <r>
    <n v="13924"/>
    <x v="0"/>
    <n v="1"/>
    <n v="229"/>
    <s v="No"/>
    <x v="1"/>
    <x v="0"/>
    <n v="0"/>
  </r>
  <r>
    <n v="14025"/>
    <x v="1"/>
    <n v="12"/>
    <n v="447"/>
    <s v="No"/>
    <x v="1"/>
    <x v="2"/>
    <n v="0"/>
  </r>
  <r>
    <n v="16411"/>
    <x v="0"/>
    <n v="12"/>
    <n v="204"/>
    <s v="No"/>
    <x v="1"/>
    <x v="0"/>
    <n v="0"/>
  </r>
  <r>
    <n v="15919"/>
    <x v="0"/>
    <n v="12"/>
    <n v="91"/>
    <s v="Yes"/>
    <x v="1"/>
    <x v="1"/>
    <n v="1"/>
  </r>
  <r>
    <n v="10763"/>
    <x v="1"/>
    <n v="1"/>
    <n v="426"/>
    <s v="No"/>
    <x v="0"/>
    <x v="1"/>
    <n v="0"/>
  </r>
  <r>
    <n v="14063"/>
    <x v="1"/>
    <n v="2"/>
    <n v="277"/>
    <s v="No"/>
    <x v="1"/>
    <x v="3"/>
    <n v="0"/>
  </r>
  <r>
    <n v="10052"/>
    <x v="1"/>
    <n v="10"/>
    <n v="447"/>
    <s v="No"/>
    <x v="1"/>
    <x v="2"/>
    <n v="0"/>
  </r>
  <r>
    <n v="16734"/>
    <x v="0"/>
    <n v="4"/>
    <n v="57"/>
    <s v="No"/>
    <x v="0"/>
    <x v="2"/>
    <n v="0"/>
  </r>
  <r>
    <n v="19564"/>
    <x v="1"/>
    <n v="8"/>
    <n v="132"/>
    <s v="No"/>
    <x v="0"/>
    <x v="0"/>
    <n v="0"/>
  </r>
  <r>
    <n v="18602"/>
    <x v="1"/>
    <n v="3"/>
    <n v="117"/>
    <s v="No"/>
    <x v="0"/>
    <x v="1"/>
    <n v="0"/>
  </r>
  <r>
    <n v="14727"/>
    <x v="0"/>
    <n v="3"/>
    <n v="439"/>
    <s v="Yes"/>
    <x v="0"/>
    <x v="1"/>
    <n v="1"/>
  </r>
  <r>
    <n v="16485"/>
    <x v="1"/>
    <n v="11"/>
    <n v="284"/>
    <s v="No"/>
    <x v="0"/>
    <x v="2"/>
    <n v="0"/>
  </r>
  <r>
    <n v="19350"/>
    <x v="0"/>
    <n v="7"/>
    <n v="442"/>
    <s v="No"/>
    <x v="1"/>
    <x v="2"/>
    <n v="0"/>
  </r>
  <r>
    <n v="19193"/>
    <x v="0"/>
    <n v="4"/>
    <n v="59"/>
    <s v="No"/>
    <x v="1"/>
    <x v="0"/>
    <n v="0"/>
  </r>
  <r>
    <n v="16365"/>
    <x v="1"/>
    <n v="8"/>
    <n v="280"/>
    <s v="No"/>
    <x v="0"/>
    <x v="1"/>
    <n v="0"/>
  </r>
  <r>
    <n v="11512"/>
    <x v="0"/>
    <n v="8"/>
    <n v="169"/>
    <s v="No"/>
    <x v="1"/>
    <x v="0"/>
    <n v="0"/>
  </r>
  <r>
    <n v="16373"/>
    <x v="1"/>
    <n v="2"/>
    <n v="344"/>
    <s v="Yes"/>
    <x v="0"/>
    <x v="2"/>
    <n v="1"/>
  </r>
  <r>
    <n v="11770"/>
    <x v="1"/>
    <n v="1"/>
    <n v="311"/>
    <s v="No"/>
    <x v="1"/>
    <x v="3"/>
    <n v="0"/>
  </r>
  <r>
    <n v="14674"/>
    <x v="0"/>
    <n v="12"/>
    <n v="213"/>
    <s v="No"/>
    <x v="0"/>
    <x v="1"/>
    <n v="0"/>
  </r>
  <r>
    <n v="18005"/>
    <x v="0"/>
    <n v="13"/>
    <n v="119"/>
    <s v="No"/>
    <x v="0"/>
    <x v="1"/>
    <n v="0"/>
  </r>
  <r>
    <n v="10025"/>
    <x v="0"/>
    <n v="9"/>
    <n v="136"/>
    <s v="No"/>
    <x v="0"/>
    <x v="3"/>
    <n v="0"/>
  </r>
  <r>
    <n v="17343"/>
    <x v="1"/>
    <n v="7"/>
    <n v="442"/>
    <s v="No"/>
    <x v="0"/>
    <x v="2"/>
    <n v="0"/>
  </r>
  <r>
    <n v="10085"/>
    <x v="1"/>
    <n v="11"/>
    <n v="213"/>
    <s v="No"/>
    <x v="1"/>
    <x v="1"/>
    <n v="0"/>
  </r>
  <r>
    <n v="14546"/>
    <x v="0"/>
    <n v="8"/>
    <n v="216"/>
    <s v="No"/>
    <x v="1"/>
    <x v="1"/>
    <n v="0"/>
  </r>
  <r>
    <n v="17192"/>
    <x v="1"/>
    <n v="6"/>
    <n v="371"/>
    <s v="No"/>
    <x v="0"/>
    <x v="2"/>
    <n v="0"/>
  </r>
  <r>
    <n v="12012"/>
    <x v="1"/>
    <n v="2"/>
    <n v="72"/>
    <s v="No"/>
    <x v="1"/>
    <x v="2"/>
    <n v="0"/>
  </r>
  <r>
    <n v="16413"/>
    <x v="0"/>
    <n v="6"/>
    <n v="110"/>
    <s v="No"/>
    <x v="1"/>
    <x v="2"/>
    <n v="0"/>
  </r>
  <r>
    <n v="19762"/>
    <x v="0"/>
    <n v="6"/>
    <n v="125"/>
    <s v="No"/>
    <x v="1"/>
    <x v="3"/>
    <n v="0"/>
  </r>
  <r>
    <n v="13960"/>
    <x v="1"/>
    <n v="10"/>
    <n v="388"/>
    <s v="No"/>
    <x v="0"/>
    <x v="1"/>
    <n v="0"/>
  </r>
  <r>
    <n v="14604"/>
    <x v="0"/>
    <n v="10"/>
    <n v="309"/>
    <s v="No"/>
    <x v="1"/>
    <x v="1"/>
    <n v="0"/>
  </r>
  <r>
    <n v="19932"/>
    <x v="1"/>
    <n v="13"/>
    <n v="41"/>
    <s v="No"/>
    <x v="0"/>
    <x v="3"/>
    <n v="0"/>
  </r>
  <r>
    <n v="10107"/>
    <x v="0"/>
    <n v="2"/>
    <n v="446"/>
    <s v="No"/>
    <x v="0"/>
    <x v="1"/>
    <n v="0"/>
  </r>
  <r>
    <n v="16576"/>
    <x v="1"/>
    <n v="11"/>
    <n v="204"/>
    <s v="No"/>
    <x v="1"/>
    <x v="0"/>
    <n v="0"/>
  </r>
  <r>
    <n v="10829"/>
    <x v="0"/>
    <n v="1"/>
    <n v="155"/>
    <s v="No"/>
    <x v="0"/>
    <x v="0"/>
    <n v="0"/>
  </r>
  <r>
    <n v="13137"/>
    <x v="0"/>
    <n v="10"/>
    <n v="449"/>
    <s v="Yes"/>
    <x v="1"/>
    <x v="2"/>
    <n v="1"/>
  </r>
  <r>
    <n v="18438"/>
    <x v="0"/>
    <n v="12"/>
    <n v="274"/>
    <s v="Yes"/>
    <x v="1"/>
    <x v="0"/>
    <n v="1"/>
  </r>
  <r>
    <n v="14741"/>
    <x v="1"/>
    <n v="1"/>
    <n v="111"/>
    <s v="No"/>
    <x v="0"/>
    <x v="2"/>
    <n v="0"/>
  </r>
  <r>
    <n v="15491"/>
    <x v="0"/>
    <n v="9"/>
    <n v="76"/>
    <s v="No"/>
    <x v="1"/>
    <x v="1"/>
    <n v="0"/>
  </r>
  <r>
    <n v="13873"/>
    <x v="1"/>
    <n v="13"/>
    <n v="444"/>
    <s v="No"/>
    <x v="0"/>
    <x v="1"/>
    <n v="0"/>
  </r>
  <r>
    <n v="15910"/>
    <x v="0"/>
    <n v="7"/>
    <n v="174"/>
    <s v="No"/>
    <x v="0"/>
    <x v="2"/>
    <n v="0"/>
  </r>
  <r>
    <n v="14022"/>
    <x v="0"/>
    <n v="8"/>
    <n v="339"/>
    <s v="No"/>
    <x v="0"/>
    <x v="3"/>
    <n v="0"/>
  </r>
  <r>
    <n v="12064"/>
    <x v="0"/>
    <n v="12"/>
    <n v="422"/>
    <s v="No"/>
    <x v="0"/>
    <x v="3"/>
    <n v="0"/>
  </r>
  <r>
    <n v="19437"/>
    <x v="1"/>
    <n v="3"/>
    <n v="358"/>
    <s v="No"/>
    <x v="1"/>
    <x v="0"/>
    <n v="0"/>
  </r>
  <r>
    <n v="15221"/>
    <x v="0"/>
    <n v="8"/>
    <n v="366"/>
    <s v="No"/>
    <x v="1"/>
    <x v="3"/>
    <n v="0"/>
  </r>
  <r>
    <n v="10144"/>
    <x v="0"/>
    <n v="3"/>
    <n v="75"/>
    <s v="No"/>
    <x v="1"/>
    <x v="2"/>
    <n v="0"/>
  </r>
  <r>
    <n v="13818"/>
    <x v="1"/>
    <n v="5"/>
    <n v="417"/>
    <s v="No"/>
    <x v="0"/>
    <x v="2"/>
    <n v="0"/>
  </r>
  <r>
    <n v="16468"/>
    <x v="0"/>
    <n v="11"/>
    <n v="267"/>
    <s v="Yes"/>
    <x v="0"/>
    <x v="1"/>
    <n v="1"/>
  </r>
  <r>
    <n v="19044"/>
    <x v="0"/>
    <n v="5"/>
    <n v="50"/>
    <s v="No"/>
    <x v="0"/>
    <x v="3"/>
    <n v="0"/>
  </r>
  <r>
    <n v="11781"/>
    <x v="1"/>
    <n v="2"/>
    <n v="238"/>
    <s v="No"/>
    <x v="0"/>
    <x v="3"/>
    <n v="0"/>
  </r>
  <r>
    <n v="18256"/>
    <x v="1"/>
    <n v="14"/>
    <n v="261"/>
    <s v="No"/>
    <x v="1"/>
    <x v="1"/>
    <n v="0"/>
  </r>
  <r>
    <n v="14810"/>
    <x v="1"/>
    <n v="4"/>
    <n v="215"/>
    <s v="No"/>
    <x v="0"/>
    <x v="2"/>
    <n v="0"/>
  </r>
  <r>
    <n v="15201"/>
    <x v="1"/>
    <n v="7"/>
    <n v="168"/>
    <s v="No"/>
    <x v="0"/>
    <x v="0"/>
    <n v="0"/>
  </r>
  <r>
    <n v="18381"/>
    <x v="0"/>
    <n v="5"/>
    <n v="244"/>
    <s v="No"/>
    <x v="1"/>
    <x v="0"/>
    <n v="0"/>
  </r>
  <r>
    <n v="10992"/>
    <x v="1"/>
    <n v="2"/>
    <n v="333"/>
    <s v="No"/>
    <x v="1"/>
    <x v="1"/>
    <n v="0"/>
  </r>
  <r>
    <n v="19699"/>
    <x v="0"/>
    <n v="7"/>
    <n v="369"/>
    <s v="No"/>
    <x v="0"/>
    <x v="3"/>
    <n v="0"/>
  </r>
  <r>
    <n v="14600"/>
    <x v="1"/>
    <n v="5"/>
    <n v="212"/>
    <s v="No"/>
    <x v="1"/>
    <x v="2"/>
    <n v="0"/>
  </r>
  <r>
    <n v="14908"/>
    <x v="0"/>
    <n v="14"/>
    <n v="275"/>
    <s v="No"/>
    <x v="0"/>
    <x v="1"/>
    <n v="0"/>
  </r>
  <r>
    <n v="18727"/>
    <x v="1"/>
    <n v="14"/>
    <n v="218"/>
    <s v="No"/>
    <x v="0"/>
    <x v="1"/>
    <n v="0"/>
  </r>
  <r>
    <n v="11052"/>
    <x v="0"/>
    <n v="3"/>
    <n v="191"/>
    <s v="No"/>
    <x v="0"/>
    <x v="3"/>
    <n v="0"/>
  </r>
  <r>
    <n v="15674"/>
    <x v="0"/>
    <n v="3"/>
    <n v="299"/>
    <s v="No"/>
    <x v="1"/>
    <x v="1"/>
    <n v="0"/>
  </r>
  <r>
    <n v="18595"/>
    <x v="0"/>
    <n v="13"/>
    <n v="413"/>
    <s v="No"/>
    <x v="0"/>
    <x v="0"/>
    <n v="0"/>
  </r>
  <r>
    <n v="18967"/>
    <x v="0"/>
    <n v="6"/>
    <n v="344"/>
    <s v="No"/>
    <x v="1"/>
    <x v="1"/>
    <n v="0"/>
  </r>
  <r>
    <n v="15532"/>
    <x v="0"/>
    <n v="4"/>
    <n v="239"/>
    <s v="No"/>
    <x v="1"/>
    <x v="2"/>
    <n v="0"/>
  </r>
  <r>
    <n v="18789"/>
    <x v="1"/>
    <n v="10"/>
    <n v="427"/>
    <s v="No"/>
    <x v="0"/>
    <x v="2"/>
    <n v="0"/>
  </r>
  <r>
    <n v="19047"/>
    <x v="1"/>
    <n v="9"/>
    <n v="319"/>
    <s v="No"/>
    <x v="1"/>
    <x v="0"/>
    <n v="0"/>
  </r>
  <r>
    <n v="13460"/>
    <x v="1"/>
    <n v="3"/>
    <n v="148"/>
    <s v="No"/>
    <x v="1"/>
    <x v="2"/>
    <n v="0"/>
  </r>
  <r>
    <n v="17329"/>
    <x v="1"/>
    <n v="11"/>
    <n v="180"/>
    <s v="No"/>
    <x v="0"/>
    <x v="0"/>
    <n v="0"/>
  </r>
  <r>
    <n v="11062"/>
    <x v="0"/>
    <n v="14"/>
    <n v="104"/>
    <s v="No"/>
    <x v="0"/>
    <x v="1"/>
    <n v="0"/>
  </r>
  <r>
    <n v="15192"/>
    <x v="1"/>
    <n v="13"/>
    <n v="385"/>
    <s v="No"/>
    <x v="0"/>
    <x v="2"/>
    <n v="0"/>
  </r>
  <r>
    <n v="18152"/>
    <x v="1"/>
    <n v="3"/>
    <n v="47"/>
    <s v="No"/>
    <x v="0"/>
    <x v="2"/>
    <n v="0"/>
  </r>
  <r>
    <n v="12276"/>
    <x v="0"/>
    <n v="8"/>
    <n v="177"/>
    <s v="No"/>
    <x v="0"/>
    <x v="1"/>
    <n v="0"/>
  </r>
  <r>
    <n v="17360"/>
    <x v="1"/>
    <n v="13"/>
    <n v="285"/>
    <s v="No"/>
    <x v="1"/>
    <x v="1"/>
    <n v="0"/>
  </r>
  <r>
    <n v="12826"/>
    <x v="0"/>
    <n v="12"/>
    <n v="233"/>
    <s v="No"/>
    <x v="1"/>
    <x v="0"/>
    <n v="0"/>
  </r>
  <r>
    <n v="16716"/>
    <x v="0"/>
    <n v="9"/>
    <n v="45"/>
    <s v="Yes"/>
    <x v="0"/>
    <x v="2"/>
    <n v="1"/>
  </r>
  <r>
    <n v="19481"/>
    <x v="0"/>
    <n v="7"/>
    <n v="394"/>
    <s v="No"/>
    <x v="1"/>
    <x v="0"/>
    <n v="0"/>
  </r>
  <r>
    <n v="13151"/>
    <x v="0"/>
    <n v="3"/>
    <n v="109"/>
    <s v="No"/>
    <x v="0"/>
    <x v="2"/>
    <n v="0"/>
  </r>
  <r>
    <n v="13104"/>
    <x v="0"/>
    <n v="3"/>
    <n v="342"/>
    <s v="No"/>
    <x v="1"/>
    <x v="0"/>
    <n v="0"/>
  </r>
  <r>
    <n v="10964"/>
    <x v="0"/>
    <n v="4"/>
    <n v="446"/>
    <s v="No"/>
    <x v="0"/>
    <x v="3"/>
    <n v="0"/>
  </r>
  <r>
    <n v="18147"/>
    <x v="0"/>
    <n v="14"/>
    <n v="87"/>
    <s v="No"/>
    <x v="1"/>
    <x v="3"/>
    <n v="0"/>
  </r>
  <r>
    <n v="17096"/>
    <x v="1"/>
    <n v="12"/>
    <n v="219"/>
    <s v="No"/>
    <x v="1"/>
    <x v="2"/>
    <n v="0"/>
  </r>
  <r>
    <n v="16755"/>
    <x v="1"/>
    <n v="7"/>
    <n v="84"/>
    <s v="No"/>
    <x v="0"/>
    <x v="0"/>
    <n v="0"/>
  </r>
  <r>
    <n v="16271"/>
    <x v="0"/>
    <n v="14"/>
    <n v="427"/>
    <s v="No"/>
    <x v="1"/>
    <x v="0"/>
    <n v="0"/>
  </r>
  <r>
    <n v="11129"/>
    <x v="0"/>
    <n v="14"/>
    <n v="308"/>
    <s v="No"/>
    <x v="1"/>
    <x v="0"/>
    <n v="0"/>
  </r>
  <r>
    <n v="13132"/>
    <x v="0"/>
    <n v="5"/>
    <n v="120"/>
    <s v="No"/>
    <x v="1"/>
    <x v="1"/>
    <n v="0"/>
  </r>
  <r>
    <n v="10276"/>
    <x v="0"/>
    <n v="12"/>
    <n v="339"/>
    <s v="No"/>
    <x v="1"/>
    <x v="0"/>
    <n v="0"/>
  </r>
  <r>
    <n v="15982"/>
    <x v="0"/>
    <n v="14"/>
    <n v="241"/>
    <s v="No"/>
    <x v="0"/>
    <x v="2"/>
    <n v="0"/>
  </r>
  <r>
    <n v="17646"/>
    <x v="1"/>
    <n v="7"/>
    <n v="40"/>
    <s v="No"/>
    <x v="1"/>
    <x v="0"/>
    <n v="0"/>
  </r>
  <r>
    <n v="11429"/>
    <x v="1"/>
    <n v="3"/>
    <n v="51"/>
    <s v="No"/>
    <x v="0"/>
    <x v="2"/>
    <n v="0"/>
  </r>
  <r>
    <n v="13305"/>
    <x v="1"/>
    <n v="4"/>
    <n v="175"/>
    <s v="No"/>
    <x v="0"/>
    <x v="2"/>
    <n v="0"/>
  </r>
  <r>
    <n v="14860"/>
    <x v="1"/>
    <n v="12"/>
    <n v="319"/>
    <s v="No"/>
    <x v="1"/>
    <x v="1"/>
    <n v="0"/>
  </r>
  <r>
    <n v="11790"/>
    <x v="0"/>
    <n v="8"/>
    <n v="432"/>
    <s v="No"/>
    <x v="0"/>
    <x v="2"/>
    <n v="0"/>
  </r>
  <r>
    <n v="10954"/>
    <x v="1"/>
    <n v="9"/>
    <n v="349"/>
    <s v="No"/>
    <x v="0"/>
    <x v="0"/>
    <n v="0"/>
  </r>
  <r>
    <n v="14052"/>
    <x v="1"/>
    <n v="3"/>
    <n v="345"/>
    <s v="No"/>
    <x v="0"/>
    <x v="3"/>
    <n v="0"/>
  </r>
  <r>
    <n v="12439"/>
    <x v="1"/>
    <n v="10"/>
    <n v="277"/>
    <s v="No"/>
    <x v="0"/>
    <x v="0"/>
    <n v="0"/>
  </r>
  <r>
    <n v="11069"/>
    <x v="1"/>
    <n v="3"/>
    <n v="394"/>
    <s v="No"/>
    <x v="0"/>
    <x v="2"/>
    <n v="0"/>
  </r>
  <r>
    <n v="19818"/>
    <x v="1"/>
    <n v="7"/>
    <n v="437"/>
    <s v="No"/>
    <x v="1"/>
    <x v="2"/>
    <n v="0"/>
  </r>
  <r>
    <n v="18878"/>
    <x v="1"/>
    <n v="11"/>
    <n v="423"/>
    <s v="No"/>
    <x v="1"/>
    <x v="0"/>
    <n v="0"/>
  </r>
  <r>
    <n v="14667"/>
    <x v="0"/>
    <n v="12"/>
    <n v="404"/>
    <s v="No"/>
    <x v="0"/>
    <x v="3"/>
    <n v="0"/>
  </r>
  <r>
    <n v="18651"/>
    <x v="0"/>
    <n v="10"/>
    <n v="175"/>
    <s v="Yes"/>
    <x v="1"/>
    <x v="0"/>
    <n v="1"/>
  </r>
  <r>
    <n v="14650"/>
    <x v="1"/>
    <n v="7"/>
    <n v="240"/>
    <s v="No"/>
    <x v="0"/>
    <x v="1"/>
    <n v="0"/>
  </r>
  <r>
    <n v="18120"/>
    <x v="1"/>
    <n v="8"/>
    <n v="438"/>
    <s v="No"/>
    <x v="1"/>
    <x v="2"/>
    <n v="0"/>
  </r>
  <r>
    <n v="16403"/>
    <x v="1"/>
    <n v="2"/>
    <n v="269"/>
    <s v="No"/>
    <x v="1"/>
    <x v="3"/>
    <n v="0"/>
  </r>
  <r>
    <n v="13150"/>
    <x v="1"/>
    <n v="3"/>
    <n v="90"/>
    <s v="No"/>
    <x v="0"/>
    <x v="3"/>
    <n v="0"/>
  </r>
  <r>
    <n v="15383"/>
    <x v="0"/>
    <n v="7"/>
    <n v="268"/>
    <s v="Yes"/>
    <x v="1"/>
    <x v="1"/>
    <n v="1"/>
  </r>
  <r>
    <n v="19769"/>
    <x v="0"/>
    <n v="2"/>
    <n v="384"/>
    <s v="No"/>
    <x v="0"/>
    <x v="2"/>
    <n v="0"/>
  </r>
  <r>
    <n v="17153"/>
    <x v="0"/>
    <n v="10"/>
    <n v="99"/>
    <s v="No"/>
    <x v="0"/>
    <x v="0"/>
    <n v="0"/>
  </r>
  <r>
    <n v="19115"/>
    <x v="0"/>
    <n v="2"/>
    <n v="186"/>
    <s v="No"/>
    <x v="1"/>
    <x v="3"/>
    <n v="0"/>
  </r>
  <r>
    <n v="10183"/>
    <x v="1"/>
    <n v="10"/>
    <n v="329"/>
    <s v="No"/>
    <x v="0"/>
    <x v="3"/>
    <n v="0"/>
  </r>
  <r>
    <n v="11721"/>
    <x v="1"/>
    <n v="10"/>
    <n v="236"/>
    <s v="No"/>
    <x v="1"/>
    <x v="1"/>
    <n v="0"/>
  </r>
  <r>
    <n v="17135"/>
    <x v="1"/>
    <n v="3"/>
    <n v="310"/>
    <s v="No"/>
    <x v="0"/>
    <x v="3"/>
    <n v="0"/>
  </r>
  <r>
    <n v="13796"/>
    <x v="1"/>
    <n v="9"/>
    <n v="223"/>
    <s v="No"/>
    <x v="0"/>
    <x v="3"/>
    <n v="0"/>
  </r>
  <r>
    <n v="12287"/>
    <x v="1"/>
    <n v="5"/>
    <n v="213"/>
    <s v="No"/>
    <x v="1"/>
    <x v="3"/>
    <n v="0"/>
  </r>
  <r>
    <n v="13316"/>
    <x v="1"/>
    <n v="9"/>
    <n v="46"/>
    <s v="No"/>
    <x v="1"/>
    <x v="3"/>
    <n v="0"/>
  </r>
  <r>
    <n v="10689"/>
    <x v="1"/>
    <n v="11"/>
    <n v="68"/>
    <s v="No"/>
    <x v="0"/>
    <x v="0"/>
    <n v="0"/>
  </r>
  <r>
    <n v="16141"/>
    <x v="0"/>
    <n v="3"/>
    <n v="256"/>
    <s v="No"/>
    <x v="0"/>
    <x v="2"/>
    <n v="0"/>
  </r>
  <r>
    <n v="15001"/>
    <x v="0"/>
    <n v="13"/>
    <n v="260"/>
    <s v="No"/>
    <x v="0"/>
    <x v="2"/>
    <n v="0"/>
  </r>
  <r>
    <n v="10181"/>
    <x v="1"/>
    <n v="14"/>
    <n v="413"/>
    <s v="No"/>
    <x v="1"/>
    <x v="1"/>
    <n v="0"/>
  </r>
  <r>
    <n v="19570"/>
    <x v="0"/>
    <n v="4"/>
    <n v="414"/>
    <s v="Yes"/>
    <x v="1"/>
    <x v="2"/>
    <n v="1"/>
  </r>
  <r>
    <n v="13274"/>
    <x v="1"/>
    <n v="14"/>
    <n v="304"/>
    <s v="Yes"/>
    <x v="1"/>
    <x v="1"/>
    <n v="1"/>
  </r>
  <r>
    <n v="12947"/>
    <x v="1"/>
    <n v="7"/>
    <n v="302"/>
    <s v="No"/>
    <x v="0"/>
    <x v="0"/>
    <n v="0"/>
  </r>
  <r>
    <n v="14281"/>
    <x v="1"/>
    <n v="2"/>
    <n v="264"/>
    <s v="No"/>
    <x v="1"/>
    <x v="0"/>
    <n v="0"/>
  </r>
  <r>
    <n v="15963"/>
    <x v="1"/>
    <n v="14"/>
    <n v="427"/>
    <s v="No"/>
    <x v="0"/>
    <x v="1"/>
    <n v="0"/>
  </r>
  <r>
    <n v="13400"/>
    <x v="1"/>
    <n v="8"/>
    <n v="88"/>
    <s v="No"/>
    <x v="0"/>
    <x v="3"/>
    <n v="0"/>
  </r>
  <r>
    <n v="13321"/>
    <x v="1"/>
    <n v="2"/>
    <n v="395"/>
    <s v="No"/>
    <x v="0"/>
    <x v="0"/>
    <n v="0"/>
  </r>
  <r>
    <n v="18964"/>
    <x v="1"/>
    <n v="1"/>
    <n v="316"/>
    <s v="No"/>
    <x v="0"/>
    <x v="3"/>
    <n v="0"/>
  </r>
  <r>
    <n v="18819"/>
    <x v="1"/>
    <n v="9"/>
    <n v="288"/>
    <s v="No"/>
    <x v="0"/>
    <x v="0"/>
    <n v="0"/>
  </r>
  <r>
    <n v="16469"/>
    <x v="1"/>
    <n v="4"/>
    <n v="295"/>
    <s v="No"/>
    <x v="1"/>
    <x v="3"/>
    <n v="0"/>
  </r>
  <r>
    <n v="12723"/>
    <x v="1"/>
    <n v="10"/>
    <n v="236"/>
    <s v="No"/>
    <x v="0"/>
    <x v="2"/>
    <n v="0"/>
  </r>
  <r>
    <n v="10198"/>
    <x v="0"/>
    <n v="10"/>
    <n v="79"/>
    <s v="No"/>
    <x v="1"/>
    <x v="3"/>
    <n v="0"/>
  </r>
  <r>
    <n v="11845"/>
    <x v="0"/>
    <n v="5"/>
    <n v="368"/>
    <s v="No"/>
    <x v="1"/>
    <x v="1"/>
    <n v="0"/>
  </r>
  <r>
    <n v="17717"/>
    <x v="0"/>
    <n v="12"/>
    <n v="194"/>
    <s v="No"/>
    <x v="0"/>
    <x v="0"/>
    <n v="0"/>
  </r>
  <r>
    <n v="11519"/>
    <x v="1"/>
    <n v="8"/>
    <n v="330"/>
    <s v="Yes"/>
    <x v="1"/>
    <x v="2"/>
    <n v="1"/>
  </r>
  <r>
    <n v="13394"/>
    <x v="1"/>
    <n v="11"/>
    <n v="227"/>
    <s v="No"/>
    <x v="1"/>
    <x v="1"/>
    <n v="0"/>
  </r>
  <r>
    <n v="14268"/>
    <x v="0"/>
    <n v="3"/>
    <n v="336"/>
    <s v="No"/>
    <x v="0"/>
    <x v="1"/>
    <n v="0"/>
  </r>
  <r>
    <n v="10325"/>
    <x v="1"/>
    <n v="11"/>
    <n v="114"/>
    <s v="No"/>
    <x v="0"/>
    <x v="0"/>
    <n v="0"/>
  </r>
  <r>
    <n v="15915"/>
    <x v="0"/>
    <n v="10"/>
    <n v="313"/>
    <s v="No"/>
    <x v="1"/>
    <x v="3"/>
    <n v="0"/>
  </r>
  <r>
    <n v="14275"/>
    <x v="1"/>
    <n v="6"/>
    <n v="364"/>
    <s v="No"/>
    <x v="0"/>
    <x v="2"/>
    <n v="0"/>
  </r>
  <r>
    <n v="13113"/>
    <x v="1"/>
    <n v="14"/>
    <n v="116"/>
    <s v="No"/>
    <x v="0"/>
    <x v="2"/>
    <n v="0"/>
  </r>
  <r>
    <n v="19484"/>
    <x v="1"/>
    <n v="11"/>
    <n v="94"/>
    <s v="No"/>
    <x v="1"/>
    <x v="0"/>
    <n v="0"/>
  </r>
  <r>
    <n v="10741"/>
    <x v="0"/>
    <n v="9"/>
    <n v="165"/>
    <s v="No"/>
    <x v="1"/>
    <x v="2"/>
    <n v="0"/>
  </r>
  <r>
    <n v="17449"/>
    <x v="0"/>
    <n v="13"/>
    <n v="340"/>
    <s v="No"/>
    <x v="1"/>
    <x v="2"/>
    <n v="0"/>
  </r>
  <r>
    <n v="15785"/>
    <x v="0"/>
    <n v="1"/>
    <n v="160"/>
    <s v="No"/>
    <x v="0"/>
    <x v="2"/>
    <n v="0"/>
  </r>
  <r>
    <n v="11349"/>
    <x v="1"/>
    <n v="11"/>
    <n v="333"/>
    <s v="No"/>
    <x v="1"/>
    <x v="3"/>
    <n v="0"/>
  </r>
  <r>
    <n v="14871"/>
    <x v="0"/>
    <n v="3"/>
    <n v="406"/>
    <s v="No"/>
    <x v="0"/>
    <x v="2"/>
    <n v="0"/>
  </r>
  <r>
    <n v="18638"/>
    <x v="0"/>
    <n v="1"/>
    <n v="267"/>
    <s v="No"/>
    <x v="0"/>
    <x v="0"/>
    <n v="0"/>
  </r>
  <r>
    <n v="15588"/>
    <x v="1"/>
    <n v="11"/>
    <n v="210"/>
    <s v="No"/>
    <x v="1"/>
    <x v="0"/>
    <n v="0"/>
  </r>
  <r>
    <n v="11176"/>
    <x v="0"/>
    <n v="8"/>
    <n v="112"/>
    <s v="No"/>
    <x v="0"/>
    <x v="2"/>
    <n v="0"/>
  </r>
  <r>
    <n v="12209"/>
    <x v="0"/>
    <n v="2"/>
    <n v="140"/>
    <s v="No"/>
    <x v="1"/>
    <x v="1"/>
    <n v="0"/>
  </r>
  <r>
    <n v="16778"/>
    <x v="1"/>
    <n v="3"/>
    <n v="91"/>
    <s v="No"/>
    <x v="0"/>
    <x v="1"/>
    <n v="0"/>
  </r>
  <r>
    <n v="11834"/>
    <x v="0"/>
    <n v="9"/>
    <n v="335"/>
    <s v="Yes"/>
    <x v="1"/>
    <x v="3"/>
    <n v="1"/>
  </r>
  <r>
    <n v="18095"/>
    <x v="1"/>
    <n v="1"/>
    <n v="389"/>
    <s v="No"/>
    <x v="1"/>
    <x v="1"/>
    <n v="0"/>
  </r>
  <r>
    <n v="11852"/>
    <x v="0"/>
    <n v="5"/>
    <n v="420"/>
    <s v="No"/>
    <x v="1"/>
    <x v="3"/>
    <n v="0"/>
  </r>
  <r>
    <n v="11616"/>
    <x v="1"/>
    <n v="10"/>
    <n v="203"/>
    <s v="No"/>
    <x v="1"/>
    <x v="2"/>
    <n v="0"/>
  </r>
  <r>
    <n v="16196"/>
    <x v="0"/>
    <n v="13"/>
    <n v="73"/>
    <s v="No"/>
    <x v="1"/>
    <x v="3"/>
    <n v="0"/>
  </r>
  <r>
    <n v="16394"/>
    <x v="1"/>
    <n v="8"/>
    <n v="106"/>
    <s v="No"/>
    <x v="1"/>
    <x v="1"/>
    <n v="0"/>
  </r>
  <r>
    <n v="14605"/>
    <x v="0"/>
    <n v="9"/>
    <n v="140"/>
    <s v="No"/>
    <x v="0"/>
    <x v="0"/>
    <n v="0"/>
  </r>
  <r>
    <n v="18795"/>
    <x v="1"/>
    <n v="14"/>
    <n v="273"/>
    <s v="No"/>
    <x v="1"/>
    <x v="1"/>
    <n v="0"/>
  </r>
  <r>
    <n v="13592"/>
    <x v="1"/>
    <n v="2"/>
    <n v="50"/>
    <s v="No"/>
    <x v="1"/>
    <x v="3"/>
    <n v="0"/>
  </r>
  <r>
    <n v="16117"/>
    <x v="0"/>
    <n v="13"/>
    <n v="217"/>
    <s v="No"/>
    <x v="1"/>
    <x v="1"/>
    <n v="0"/>
  </r>
  <r>
    <n v="14749"/>
    <x v="0"/>
    <n v="13"/>
    <n v="288"/>
    <s v="No"/>
    <x v="1"/>
    <x v="3"/>
    <n v="0"/>
  </r>
  <r>
    <n v="17847"/>
    <x v="1"/>
    <n v="1"/>
    <n v="153"/>
    <s v="No"/>
    <x v="0"/>
    <x v="2"/>
    <n v="0"/>
  </r>
  <r>
    <n v="10346"/>
    <x v="1"/>
    <n v="2"/>
    <n v="203"/>
    <s v="No"/>
    <x v="1"/>
    <x v="2"/>
    <n v="0"/>
  </r>
  <r>
    <n v="15395"/>
    <x v="1"/>
    <n v="13"/>
    <n v="83"/>
    <s v="No"/>
    <x v="0"/>
    <x v="3"/>
    <n v="0"/>
  </r>
  <r>
    <n v="18750"/>
    <x v="0"/>
    <n v="9"/>
    <n v="360"/>
    <s v="No"/>
    <x v="1"/>
    <x v="0"/>
    <n v="0"/>
  </r>
  <r>
    <n v="13999"/>
    <x v="1"/>
    <n v="7"/>
    <n v="320"/>
    <s v="No"/>
    <x v="1"/>
    <x v="0"/>
    <n v="0"/>
  </r>
  <r>
    <n v="18730"/>
    <x v="1"/>
    <n v="12"/>
    <n v="84"/>
    <s v="No"/>
    <x v="1"/>
    <x v="1"/>
    <n v="0"/>
  </r>
  <r>
    <n v="11676"/>
    <x v="1"/>
    <n v="11"/>
    <n v="323"/>
    <s v="No"/>
    <x v="0"/>
    <x v="1"/>
    <n v="0"/>
  </r>
  <r>
    <n v="16774"/>
    <x v="0"/>
    <n v="1"/>
    <n v="336"/>
    <s v="Yes"/>
    <x v="1"/>
    <x v="0"/>
    <n v="1"/>
  </r>
  <r>
    <n v="11291"/>
    <x v="0"/>
    <n v="14"/>
    <n v="300"/>
    <s v="No"/>
    <x v="0"/>
    <x v="2"/>
    <n v="0"/>
  </r>
  <r>
    <n v="19750"/>
    <x v="0"/>
    <n v="14"/>
    <n v="306"/>
    <s v="No"/>
    <x v="0"/>
    <x v="2"/>
    <n v="0"/>
  </r>
  <r>
    <n v="16758"/>
    <x v="1"/>
    <n v="2"/>
    <n v="109"/>
    <s v="No"/>
    <x v="1"/>
    <x v="3"/>
    <n v="0"/>
  </r>
  <r>
    <n v="17260"/>
    <x v="0"/>
    <n v="12"/>
    <n v="355"/>
    <s v="No"/>
    <x v="0"/>
    <x v="3"/>
    <n v="0"/>
  </r>
  <r>
    <n v="15777"/>
    <x v="0"/>
    <n v="2"/>
    <n v="43"/>
    <s v="No"/>
    <x v="1"/>
    <x v="1"/>
    <n v="0"/>
  </r>
  <r>
    <n v="19828"/>
    <x v="0"/>
    <n v="14"/>
    <n v="61"/>
    <s v="No"/>
    <x v="0"/>
    <x v="1"/>
    <n v="0"/>
  </r>
  <r>
    <n v="12045"/>
    <x v="0"/>
    <n v="11"/>
    <n v="184"/>
    <s v="No"/>
    <x v="1"/>
    <x v="2"/>
    <n v="0"/>
  </r>
  <r>
    <n v="17861"/>
    <x v="1"/>
    <n v="12"/>
    <n v="193"/>
    <s v="No"/>
    <x v="1"/>
    <x v="0"/>
    <n v="0"/>
  </r>
  <r>
    <n v="16300"/>
    <x v="0"/>
    <n v="10"/>
    <n v="121"/>
    <s v="No"/>
    <x v="0"/>
    <x v="2"/>
    <n v="0"/>
  </r>
  <r>
    <n v="17249"/>
    <x v="0"/>
    <n v="4"/>
    <n v="230"/>
    <s v="No"/>
    <x v="0"/>
    <x v="2"/>
    <n v="0"/>
  </r>
  <r>
    <n v="18599"/>
    <x v="1"/>
    <n v="7"/>
    <n v="166"/>
    <s v="No"/>
    <x v="0"/>
    <x v="1"/>
    <n v="0"/>
  </r>
  <r>
    <n v="10058"/>
    <x v="1"/>
    <n v="1"/>
    <n v="84"/>
    <s v="No"/>
    <x v="0"/>
    <x v="1"/>
    <n v="0"/>
  </r>
  <r>
    <n v="14307"/>
    <x v="0"/>
    <n v="6"/>
    <n v="358"/>
    <s v="No"/>
    <x v="1"/>
    <x v="0"/>
    <n v="0"/>
  </r>
  <r>
    <n v="12977"/>
    <x v="0"/>
    <n v="10"/>
    <n v="418"/>
    <s v="No"/>
    <x v="0"/>
    <x v="0"/>
    <n v="0"/>
  </r>
  <r>
    <n v="13652"/>
    <x v="0"/>
    <n v="14"/>
    <n v="175"/>
    <s v="No"/>
    <x v="0"/>
    <x v="0"/>
    <n v="0"/>
  </r>
  <r>
    <n v="11073"/>
    <x v="0"/>
    <n v="8"/>
    <n v="267"/>
    <s v="No"/>
    <x v="1"/>
    <x v="1"/>
    <n v="0"/>
  </r>
  <r>
    <n v="18350"/>
    <x v="1"/>
    <n v="13"/>
    <n v="405"/>
    <s v="No"/>
    <x v="0"/>
    <x v="3"/>
    <n v="0"/>
  </r>
  <r>
    <n v="10958"/>
    <x v="0"/>
    <n v="14"/>
    <n v="415"/>
    <s v="No"/>
    <x v="1"/>
    <x v="0"/>
    <n v="0"/>
  </r>
  <r>
    <n v="17811"/>
    <x v="1"/>
    <n v="7"/>
    <n v="334"/>
    <s v="No"/>
    <x v="0"/>
    <x v="0"/>
    <n v="0"/>
  </r>
  <r>
    <n v="17520"/>
    <x v="0"/>
    <n v="2"/>
    <n v="61"/>
    <s v="No"/>
    <x v="0"/>
    <x v="3"/>
    <n v="0"/>
  </r>
  <r>
    <n v="18617"/>
    <x v="1"/>
    <n v="7"/>
    <n v="167"/>
    <s v="No"/>
    <x v="1"/>
    <x v="1"/>
    <n v="0"/>
  </r>
  <r>
    <n v="14724"/>
    <x v="0"/>
    <n v="14"/>
    <n v="372"/>
    <s v="No"/>
    <x v="1"/>
    <x v="0"/>
    <n v="0"/>
  </r>
  <r>
    <n v="13131"/>
    <x v="0"/>
    <n v="6"/>
    <n v="359"/>
    <s v="No"/>
    <x v="0"/>
    <x v="0"/>
    <n v="0"/>
  </r>
  <r>
    <n v="19773"/>
    <x v="1"/>
    <n v="3"/>
    <n v="366"/>
    <s v="No"/>
    <x v="0"/>
    <x v="3"/>
    <n v="0"/>
  </r>
  <r>
    <n v="11055"/>
    <x v="0"/>
    <n v="4"/>
    <n v="55"/>
    <s v="No"/>
    <x v="1"/>
    <x v="0"/>
    <n v="0"/>
  </r>
  <r>
    <n v="18112"/>
    <x v="1"/>
    <n v="3"/>
    <n v="395"/>
    <s v="Yes"/>
    <x v="1"/>
    <x v="3"/>
    <n v="1"/>
  </r>
  <r>
    <n v="13386"/>
    <x v="0"/>
    <n v="5"/>
    <n v="179"/>
    <s v="No"/>
    <x v="0"/>
    <x v="0"/>
    <n v="0"/>
  </r>
  <r>
    <n v="15227"/>
    <x v="0"/>
    <n v="1"/>
    <n v="279"/>
    <s v="No"/>
    <x v="1"/>
    <x v="1"/>
    <n v="0"/>
  </r>
  <r>
    <n v="13581"/>
    <x v="0"/>
    <n v="13"/>
    <n v="299"/>
    <s v="Yes"/>
    <x v="1"/>
    <x v="3"/>
    <n v="1"/>
  </r>
  <r>
    <n v="17373"/>
    <x v="1"/>
    <n v="10"/>
    <n v="43"/>
    <s v="No"/>
    <x v="0"/>
    <x v="3"/>
    <n v="0"/>
  </r>
  <r>
    <n v="13747"/>
    <x v="0"/>
    <n v="5"/>
    <n v="380"/>
    <s v="No"/>
    <x v="0"/>
    <x v="0"/>
    <n v="0"/>
  </r>
  <r>
    <n v="10047"/>
    <x v="1"/>
    <n v="1"/>
    <n v="288"/>
    <s v="No"/>
    <x v="0"/>
    <x v="1"/>
    <n v="0"/>
  </r>
  <r>
    <n v="14377"/>
    <x v="0"/>
    <n v="5"/>
    <n v="397"/>
    <s v="No"/>
    <x v="0"/>
    <x v="3"/>
    <n v="0"/>
  </r>
  <r>
    <n v="15932"/>
    <x v="1"/>
    <n v="6"/>
    <n v="336"/>
    <s v="No"/>
    <x v="0"/>
    <x v="0"/>
    <n v="0"/>
  </r>
  <r>
    <n v="11420"/>
    <x v="0"/>
    <n v="4"/>
    <n v="259"/>
    <s v="No"/>
    <x v="1"/>
    <x v="3"/>
    <n v="0"/>
  </r>
  <r>
    <n v="12967"/>
    <x v="0"/>
    <n v="1"/>
    <n v="291"/>
    <s v="Yes"/>
    <x v="0"/>
    <x v="3"/>
    <n v="1"/>
  </r>
  <r>
    <n v="14007"/>
    <x v="1"/>
    <n v="10"/>
    <n v="48"/>
    <s v="No"/>
    <x v="0"/>
    <x v="3"/>
    <n v="0"/>
  </r>
  <r>
    <n v="15476"/>
    <x v="0"/>
    <n v="6"/>
    <n v="345"/>
    <s v="No"/>
    <x v="0"/>
    <x v="3"/>
    <n v="0"/>
  </r>
  <r>
    <n v="17492"/>
    <x v="1"/>
    <n v="10"/>
    <n v="44"/>
    <s v="No"/>
    <x v="0"/>
    <x v="1"/>
    <n v="0"/>
  </r>
  <r>
    <n v="10138"/>
    <x v="0"/>
    <n v="14"/>
    <n v="398"/>
    <s v="No"/>
    <x v="1"/>
    <x v="1"/>
    <n v="0"/>
  </r>
  <r>
    <n v="14348"/>
    <x v="1"/>
    <n v="4"/>
    <n v="173"/>
    <s v="No"/>
    <x v="0"/>
    <x v="3"/>
    <n v="0"/>
  </r>
  <r>
    <n v="12038"/>
    <x v="0"/>
    <n v="14"/>
    <n v="150"/>
    <s v="No"/>
    <x v="1"/>
    <x v="2"/>
    <n v="0"/>
  </r>
  <r>
    <n v="14010"/>
    <x v="0"/>
    <n v="4"/>
    <n v="384"/>
    <s v="Yes"/>
    <x v="1"/>
    <x v="3"/>
    <n v="1"/>
  </r>
  <r>
    <n v="11456"/>
    <x v="1"/>
    <n v="14"/>
    <n v="78"/>
    <s v="No"/>
    <x v="1"/>
    <x v="0"/>
    <n v="0"/>
  </r>
  <r>
    <n v="14571"/>
    <x v="1"/>
    <n v="9"/>
    <n v="297"/>
    <s v="No"/>
    <x v="1"/>
    <x v="3"/>
    <n v="0"/>
  </r>
  <r>
    <n v="15789"/>
    <x v="0"/>
    <n v="13"/>
    <n v="443"/>
    <s v="No"/>
    <x v="0"/>
    <x v="3"/>
    <n v="0"/>
  </r>
  <r>
    <n v="17788"/>
    <x v="0"/>
    <n v="1"/>
    <n v="302"/>
    <s v="Yes"/>
    <x v="0"/>
    <x v="3"/>
    <n v="1"/>
  </r>
  <r>
    <n v="18394"/>
    <x v="0"/>
    <n v="6"/>
    <n v="336"/>
    <s v="No"/>
    <x v="0"/>
    <x v="3"/>
    <n v="0"/>
  </r>
  <r>
    <n v="17273"/>
    <x v="0"/>
    <n v="9"/>
    <n v="74"/>
    <s v="No"/>
    <x v="1"/>
    <x v="1"/>
    <n v="0"/>
  </r>
  <r>
    <n v="11347"/>
    <x v="1"/>
    <n v="5"/>
    <n v="250"/>
    <s v="No"/>
    <x v="1"/>
    <x v="1"/>
    <n v="0"/>
  </r>
  <r>
    <n v="13234"/>
    <x v="1"/>
    <n v="7"/>
    <n v="357"/>
    <s v="No"/>
    <x v="1"/>
    <x v="1"/>
    <n v="0"/>
  </r>
  <r>
    <n v="13273"/>
    <x v="0"/>
    <n v="8"/>
    <n v="376"/>
    <s v="No"/>
    <x v="0"/>
    <x v="1"/>
    <n v="0"/>
  </r>
  <r>
    <n v="15428"/>
    <x v="0"/>
    <n v="4"/>
    <n v="203"/>
    <s v="No"/>
    <x v="0"/>
    <x v="1"/>
    <n v="0"/>
  </r>
  <r>
    <n v="14124"/>
    <x v="0"/>
    <n v="14"/>
    <n v="260"/>
    <s v="No"/>
    <x v="1"/>
    <x v="3"/>
    <n v="0"/>
  </r>
  <r>
    <n v="11920"/>
    <x v="1"/>
    <n v="4"/>
    <n v="232"/>
    <s v="No"/>
    <x v="0"/>
    <x v="3"/>
    <n v="0"/>
  </r>
  <r>
    <n v="12809"/>
    <x v="1"/>
    <n v="11"/>
    <n v="135"/>
    <s v="No"/>
    <x v="0"/>
    <x v="3"/>
    <n v="0"/>
  </r>
  <r>
    <n v="13689"/>
    <x v="1"/>
    <n v="12"/>
    <n v="300"/>
    <s v="No"/>
    <x v="1"/>
    <x v="3"/>
    <n v="0"/>
  </r>
  <r>
    <n v="18811"/>
    <x v="1"/>
    <n v="4"/>
    <n v="148"/>
    <s v="No"/>
    <x v="1"/>
    <x v="3"/>
    <n v="0"/>
  </r>
  <r>
    <n v="11145"/>
    <x v="1"/>
    <n v="6"/>
    <n v="356"/>
    <s v="No"/>
    <x v="1"/>
    <x v="0"/>
    <n v="0"/>
  </r>
  <r>
    <n v="16204"/>
    <x v="0"/>
    <n v="2"/>
    <n v="329"/>
    <s v="No"/>
    <x v="1"/>
    <x v="1"/>
    <n v="0"/>
  </r>
  <r>
    <n v="17875"/>
    <x v="1"/>
    <n v="7"/>
    <n v="95"/>
    <s v="No"/>
    <x v="1"/>
    <x v="0"/>
    <n v="0"/>
  </r>
  <r>
    <n v="18999"/>
    <x v="1"/>
    <n v="4"/>
    <n v="141"/>
    <s v="No"/>
    <x v="1"/>
    <x v="2"/>
    <n v="0"/>
  </r>
  <r>
    <n v="19867"/>
    <x v="0"/>
    <n v="10"/>
    <n v="208"/>
    <s v="No"/>
    <x v="1"/>
    <x v="1"/>
    <n v="0"/>
  </r>
  <r>
    <n v="16079"/>
    <x v="0"/>
    <n v="9"/>
    <n v="362"/>
    <s v="Yes"/>
    <x v="1"/>
    <x v="2"/>
    <n v="1"/>
  </r>
  <r>
    <n v="15377"/>
    <x v="0"/>
    <n v="7"/>
    <n v="238"/>
    <s v="No"/>
    <x v="1"/>
    <x v="3"/>
    <n v="0"/>
  </r>
  <r>
    <n v="19863"/>
    <x v="1"/>
    <n v="9"/>
    <n v="242"/>
    <s v="No"/>
    <x v="0"/>
    <x v="1"/>
    <n v="0"/>
  </r>
  <r>
    <n v="10526"/>
    <x v="0"/>
    <n v="5"/>
    <n v="421"/>
    <s v="No"/>
    <x v="1"/>
    <x v="1"/>
    <n v="0"/>
  </r>
  <r>
    <n v="15874"/>
    <x v="0"/>
    <n v="1"/>
    <n v="394"/>
    <s v="No"/>
    <x v="0"/>
    <x v="3"/>
    <n v="0"/>
  </r>
  <r>
    <n v="12289"/>
    <x v="0"/>
    <n v="9"/>
    <n v="236"/>
    <s v="Yes"/>
    <x v="1"/>
    <x v="3"/>
    <n v="1"/>
  </r>
  <r>
    <n v="14295"/>
    <x v="1"/>
    <n v="1"/>
    <n v="395"/>
    <s v="No"/>
    <x v="1"/>
    <x v="2"/>
    <n v="0"/>
  </r>
  <r>
    <n v="19405"/>
    <x v="1"/>
    <n v="3"/>
    <n v="439"/>
    <s v="No"/>
    <x v="1"/>
    <x v="1"/>
    <n v="0"/>
  </r>
  <r>
    <n v="14438"/>
    <x v="1"/>
    <n v="1"/>
    <n v="233"/>
    <s v="No"/>
    <x v="0"/>
    <x v="2"/>
    <n v="0"/>
  </r>
  <r>
    <n v="13199"/>
    <x v="1"/>
    <n v="14"/>
    <n v="232"/>
    <s v="No"/>
    <x v="0"/>
    <x v="2"/>
    <n v="0"/>
  </r>
  <r>
    <n v="12528"/>
    <x v="1"/>
    <n v="2"/>
    <n v="285"/>
    <s v="No"/>
    <x v="1"/>
    <x v="3"/>
    <n v="0"/>
  </r>
  <r>
    <n v="16451"/>
    <x v="1"/>
    <n v="6"/>
    <n v="319"/>
    <s v="No"/>
    <x v="0"/>
    <x v="3"/>
    <n v="0"/>
  </r>
  <r>
    <n v="15358"/>
    <x v="1"/>
    <n v="13"/>
    <n v="299"/>
    <s v="No"/>
    <x v="1"/>
    <x v="2"/>
    <n v="0"/>
  </r>
  <r>
    <n v="19678"/>
    <x v="0"/>
    <n v="11"/>
    <n v="219"/>
    <s v="Yes"/>
    <x v="0"/>
    <x v="2"/>
    <n v="1"/>
  </r>
  <r>
    <n v="19725"/>
    <x v="1"/>
    <n v="2"/>
    <n v="202"/>
    <s v="No"/>
    <x v="0"/>
    <x v="2"/>
    <n v="0"/>
  </r>
  <r>
    <n v="11509"/>
    <x v="1"/>
    <n v="7"/>
    <n v="207"/>
    <s v="No"/>
    <x v="0"/>
    <x v="0"/>
    <n v="0"/>
  </r>
  <r>
    <n v="10175"/>
    <x v="0"/>
    <n v="11"/>
    <n v="181"/>
    <s v="No"/>
    <x v="1"/>
    <x v="1"/>
    <n v="0"/>
  </r>
  <r>
    <n v="18148"/>
    <x v="0"/>
    <n v="10"/>
    <n v="69"/>
    <s v="No"/>
    <x v="1"/>
    <x v="2"/>
    <n v="0"/>
  </r>
  <r>
    <n v="18905"/>
    <x v="1"/>
    <n v="13"/>
    <n v="133"/>
    <s v="No"/>
    <x v="0"/>
    <x v="1"/>
    <n v="0"/>
  </r>
  <r>
    <n v="19227"/>
    <x v="0"/>
    <n v="3"/>
    <n v="245"/>
    <s v="No"/>
    <x v="1"/>
    <x v="1"/>
    <n v="0"/>
  </r>
  <r>
    <n v="13580"/>
    <x v="0"/>
    <n v="10"/>
    <n v="376"/>
    <s v="No"/>
    <x v="1"/>
    <x v="1"/>
    <n v="0"/>
  </r>
  <r>
    <n v="16723"/>
    <x v="0"/>
    <n v="12"/>
    <n v="151"/>
    <s v="No"/>
    <x v="1"/>
    <x v="3"/>
    <n v="0"/>
  </r>
  <r>
    <n v="14992"/>
    <x v="0"/>
    <n v="6"/>
    <n v="250"/>
    <s v="No"/>
    <x v="0"/>
    <x v="0"/>
    <n v="0"/>
  </r>
  <r>
    <n v="18976"/>
    <x v="1"/>
    <n v="11"/>
    <n v="145"/>
    <s v="No"/>
    <x v="0"/>
    <x v="1"/>
    <n v="0"/>
  </r>
  <r>
    <n v="19827"/>
    <x v="1"/>
    <n v="14"/>
    <n v="289"/>
    <s v="No"/>
    <x v="0"/>
    <x v="2"/>
    <n v="0"/>
  </r>
  <r>
    <n v="18747"/>
    <x v="1"/>
    <n v="12"/>
    <n v="413"/>
    <s v="No"/>
    <x v="0"/>
    <x v="3"/>
    <n v="0"/>
  </r>
  <r>
    <n v="18947"/>
    <x v="1"/>
    <n v="8"/>
    <n v="85"/>
    <s v="No"/>
    <x v="0"/>
    <x v="3"/>
    <n v="0"/>
  </r>
  <r>
    <n v="18375"/>
    <x v="0"/>
    <n v="6"/>
    <n v="412"/>
    <s v="No"/>
    <x v="1"/>
    <x v="0"/>
    <n v="0"/>
  </r>
  <r>
    <n v="12203"/>
    <x v="0"/>
    <n v="3"/>
    <n v="190"/>
    <s v="No"/>
    <x v="0"/>
    <x v="1"/>
    <n v="0"/>
  </r>
  <r>
    <n v="17012"/>
    <x v="0"/>
    <n v="9"/>
    <n v="313"/>
    <s v="Yes"/>
    <x v="1"/>
    <x v="3"/>
    <n v="1"/>
  </r>
  <r>
    <n v="13830"/>
    <x v="1"/>
    <n v="10"/>
    <n v="404"/>
    <s v="No"/>
    <x v="1"/>
    <x v="0"/>
    <n v="0"/>
  </r>
  <r>
    <n v="18600"/>
    <x v="1"/>
    <n v="13"/>
    <n v="432"/>
    <s v="No"/>
    <x v="1"/>
    <x v="2"/>
    <n v="0"/>
  </r>
  <r>
    <n v="19358"/>
    <x v="1"/>
    <n v="7"/>
    <n v="115"/>
    <s v="No"/>
    <x v="0"/>
    <x v="0"/>
    <n v="0"/>
  </r>
  <r>
    <n v="16801"/>
    <x v="1"/>
    <n v="13"/>
    <n v="253"/>
    <s v="No"/>
    <x v="1"/>
    <x v="3"/>
    <n v="0"/>
  </r>
  <r>
    <n v="15156"/>
    <x v="1"/>
    <n v="13"/>
    <n v="417"/>
    <s v="No"/>
    <x v="0"/>
    <x v="2"/>
    <n v="0"/>
  </r>
  <r>
    <n v="11042"/>
    <x v="0"/>
    <n v="8"/>
    <n v="257"/>
    <s v="No"/>
    <x v="1"/>
    <x v="0"/>
    <n v="0"/>
  </r>
  <r>
    <n v="16334"/>
    <x v="1"/>
    <n v="13"/>
    <n v="163"/>
    <s v="No"/>
    <x v="1"/>
    <x v="2"/>
    <n v="0"/>
  </r>
  <r>
    <n v="10370"/>
    <x v="0"/>
    <n v="2"/>
    <n v="86"/>
    <s v="No"/>
    <x v="1"/>
    <x v="1"/>
    <n v="0"/>
  </r>
  <r>
    <n v="11226"/>
    <x v="1"/>
    <n v="1"/>
    <n v="53"/>
    <s v="No"/>
    <x v="1"/>
    <x v="1"/>
    <n v="0"/>
  </r>
  <r>
    <n v="18486"/>
    <x v="0"/>
    <n v="10"/>
    <n v="355"/>
    <s v="No"/>
    <x v="1"/>
    <x v="1"/>
    <n v="0"/>
  </r>
  <r>
    <n v="12604"/>
    <x v="0"/>
    <n v="9"/>
    <n v="187"/>
    <s v="No"/>
    <x v="1"/>
    <x v="0"/>
    <n v="0"/>
  </r>
  <r>
    <n v="19389"/>
    <x v="0"/>
    <n v="14"/>
    <n v="109"/>
    <s v="No"/>
    <x v="0"/>
    <x v="0"/>
    <n v="0"/>
  </r>
  <r>
    <n v="14111"/>
    <x v="0"/>
    <n v="7"/>
    <n v="343"/>
    <s v="No"/>
    <x v="0"/>
    <x v="0"/>
    <n v="0"/>
  </r>
  <r>
    <n v="13378"/>
    <x v="1"/>
    <n v="1"/>
    <n v="113"/>
    <s v="No"/>
    <x v="1"/>
    <x v="1"/>
    <n v="0"/>
  </r>
  <r>
    <n v="13988"/>
    <x v="1"/>
    <n v="2"/>
    <n v="423"/>
    <s v="No"/>
    <x v="1"/>
    <x v="1"/>
    <n v="0"/>
  </r>
  <r>
    <n v="13904"/>
    <x v="1"/>
    <n v="11"/>
    <n v="68"/>
    <s v="No"/>
    <x v="0"/>
    <x v="1"/>
    <n v="0"/>
  </r>
  <r>
    <n v="13539"/>
    <x v="1"/>
    <n v="10"/>
    <n v="266"/>
    <s v="No"/>
    <x v="1"/>
    <x v="3"/>
    <n v="0"/>
  </r>
  <r>
    <n v="14907"/>
    <x v="1"/>
    <n v="13"/>
    <n v="95"/>
    <s v="No"/>
    <x v="0"/>
    <x v="0"/>
    <n v="0"/>
  </r>
  <r>
    <n v="13408"/>
    <x v="1"/>
    <n v="10"/>
    <n v="195"/>
    <s v="No"/>
    <x v="0"/>
    <x v="0"/>
    <n v="0"/>
  </r>
  <r>
    <n v="13550"/>
    <x v="0"/>
    <n v="1"/>
    <n v="385"/>
    <s v="No"/>
    <x v="1"/>
    <x v="2"/>
    <n v="0"/>
  </r>
  <r>
    <n v="10485"/>
    <x v="1"/>
    <n v="7"/>
    <n v="176"/>
    <s v="No"/>
    <x v="0"/>
    <x v="3"/>
    <n v="0"/>
  </r>
  <r>
    <n v="11629"/>
    <x v="0"/>
    <n v="11"/>
    <n v="426"/>
    <s v="No"/>
    <x v="1"/>
    <x v="3"/>
    <n v="0"/>
  </r>
  <r>
    <n v="18142"/>
    <x v="1"/>
    <n v="11"/>
    <n v="418"/>
    <s v="No"/>
    <x v="0"/>
    <x v="3"/>
    <n v="0"/>
  </r>
  <r>
    <n v="13623"/>
    <x v="0"/>
    <n v="12"/>
    <n v="79"/>
    <s v="No"/>
    <x v="1"/>
    <x v="2"/>
    <n v="0"/>
  </r>
  <r>
    <n v="12214"/>
    <x v="1"/>
    <n v="1"/>
    <n v="199"/>
    <s v="No"/>
    <x v="0"/>
    <x v="0"/>
    <n v="0"/>
  </r>
  <r>
    <n v="10349"/>
    <x v="0"/>
    <n v="2"/>
    <n v="447"/>
    <s v="No"/>
    <x v="1"/>
    <x v="1"/>
    <n v="0"/>
  </r>
  <r>
    <n v="18411"/>
    <x v="0"/>
    <n v="11"/>
    <n v="239"/>
    <s v="No"/>
    <x v="0"/>
    <x v="2"/>
    <n v="0"/>
  </r>
  <r>
    <n v="19397"/>
    <x v="0"/>
    <n v="5"/>
    <n v="445"/>
    <s v="No"/>
    <x v="1"/>
    <x v="0"/>
    <n v="0"/>
  </r>
  <r>
    <n v="17043"/>
    <x v="1"/>
    <n v="7"/>
    <n v="171"/>
    <s v="No"/>
    <x v="0"/>
    <x v="0"/>
    <n v="0"/>
  </r>
  <r>
    <n v="18479"/>
    <x v="1"/>
    <n v="10"/>
    <n v="135"/>
    <s v="No"/>
    <x v="0"/>
    <x v="3"/>
    <n v="0"/>
  </r>
  <r>
    <n v="19363"/>
    <x v="0"/>
    <n v="6"/>
    <n v="52"/>
    <s v="No"/>
    <x v="1"/>
    <x v="0"/>
    <n v="0"/>
  </r>
  <r>
    <n v="13459"/>
    <x v="1"/>
    <n v="10"/>
    <n v="103"/>
    <s v="No"/>
    <x v="0"/>
    <x v="0"/>
    <n v="0"/>
  </r>
  <r>
    <n v="11161"/>
    <x v="1"/>
    <n v="1"/>
    <n v="383"/>
    <s v="No"/>
    <x v="1"/>
    <x v="1"/>
    <n v="0"/>
  </r>
  <r>
    <n v="18924"/>
    <x v="0"/>
    <n v="3"/>
    <n v="124"/>
    <s v="No"/>
    <x v="0"/>
    <x v="3"/>
    <n v="0"/>
  </r>
  <r>
    <n v="17956"/>
    <x v="0"/>
    <n v="2"/>
    <n v="383"/>
    <s v="No"/>
    <x v="0"/>
    <x v="2"/>
    <n v="0"/>
  </r>
  <r>
    <n v="19501"/>
    <x v="1"/>
    <n v="6"/>
    <n v="101"/>
    <s v="No"/>
    <x v="1"/>
    <x v="1"/>
    <n v="0"/>
  </r>
  <r>
    <n v="15275"/>
    <x v="0"/>
    <n v="2"/>
    <n v="49"/>
    <s v="No"/>
    <x v="0"/>
    <x v="2"/>
    <n v="0"/>
  </r>
  <r>
    <n v="10185"/>
    <x v="1"/>
    <n v="13"/>
    <n v="170"/>
    <s v="Yes"/>
    <x v="0"/>
    <x v="3"/>
    <n v="1"/>
  </r>
  <r>
    <n v="17241"/>
    <x v="0"/>
    <n v="2"/>
    <n v="442"/>
    <s v="No"/>
    <x v="0"/>
    <x v="0"/>
    <n v="0"/>
  </r>
  <r>
    <n v="15531"/>
    <x v="0"/>
    <n v="10"/>
    <n v="319"/>
    <s v="No"/>
    <x v="1"/>
    <x v="0"/>
    <n v="0"/>
  </r>
  <r>
    <n v="19123"/>
    <x v="0"/>
    <n v="6"/>
    <n v="294"/>
    <s v="No"/>
    <x v="0"/>
    <x v="3"/>
    <n v="0"/>
  </r>
  <r>
    <n v="15249"/>
    <x v="1"/>
    <n v="6"/>
    <n v="150"/>
    <s v="No"/>
    <x v="0"/>
    <x v="1"/>
    <n v="0"/>
  </r>
  <r>
    <n v="10619"/>
    <x v="0"/>
    <n v="4"/>
    <n v="124"/>
    <s v="No"/>
    <x v="1"/>
    <x v="3"/>
    <n v="0"/>
  </r>
  <r>
    <n v="10529"/>
    <x v="0"/>
    <n v="6"/>
    <n v="316"/>
    <s v="No"/>
    <x v="0"/>
    <x v="2"/>
    <n v="0"/>
  </r>
  <r>
    <n v="19709"/>
    <x v="1"/>
    <n v="14"/>
    <n v="165"/>
    <s v="No"/>
    <x v="1"/>
    <x v="2"/>
    <n v="0"/>
  </r>
  <r>
    <n v="13201"/>
    <x v="1"/>
    <n v="11"/>
    <n v="77"/>
    <s v="No"/>
    <x v="0"/>
    <x v="0"/>
    <n v="0"/>
  </r>
  <r>
    <n v="15346"/>
    <x v="1"/>
    <n v="13"/>
    <n v="51"/>
    <s v="No"/>
    <x v="1"/>
    <x v="3"/>
    <n v="0"/>
  </r>
  <r>
    <n v="12648"/>
    <x v="1"/>
    <n v="4"/>
    <n v="434"/>
    <s v="No"/>
    <x v="1"/>
    <x v="0"/>
    <n v="0"/>
  </r>
  <r>
    <n v="12393"/>
    <x v="1"/>
    <n v="12"/>
    <n v="301"/>
    <s v="No"/>
    <x v="0"/>
    <x v="1"/>
    <n v="0"/>
  </r>
  <r>
    <n v="19011"/>
    <x v="1"/>
    <n v="2"/>
    <n v="246"/>
    <s v="No"/>
    <x v="1"/>
    <x v="2"/>
    <n v="0"/>
  </r>
  <r>
    <n v="18236"/>
    <x v="0"/>
    <n v="10"/>
    <n v="169"/>
    <s v="No"/>
    <x v="1"/>
    <x v="1"/>
    <n v="0"/>
  </r>
  <r>
    <n v="14796"/>
    <x v="0"/>
    <n v="9"/>
    <n v="419"/>
    <s v="No"/>
    <x v="0"/>
    <x v="0"/>
    <n v="0"/>
  </r>
  <r>
    <n v="15581"/>
    <x v="0"/>
    <n v="14"/>
    <n v="190"/>
    <s v="No"/>
    <x v="1"/>
    <x v="3"/>
    <n v="0"/>
  </r>
  <r>
    <n v="16290"/>
    <x v="1"/>
    <n v="8"/>
    <n v="225"/>
    <s v="No"/>
    <x v="0"/>
    <x v="1"/>
    <n v="0"/>
  </r>
  <r>
    <n v="13778"/>
    <x v="1"/>
    <n v="4"/>
    <n v="167"/>
    <s v="No"/>
    <x v="0"/>
    <x v="1"/>
    <n v="0"/>
  </r>
  <r>
    <n v="15490"/>
    <x v="0"/>
    <n v="11"/>
    <n v="344"/>
    <s v="No"/>
    <x v="1"/>
    <x v="2"/>
    <n v="0"/>
  </r>
  <r>
    <n v="16064"/>
    <x v="0"/>
    <n v="2"/>
    <n v="99"/>
    <s v="No"/>
    <x v="1"/>
    <x v="1"/>
    <n v="0"/>
  </r>
  <r>
    <n v="19541"/>
    <x v="0"/>
    <n v="1"/>
    <n v="417"/>
    <s v="No"/>
    <x v="1"/>
    <x v="3"/>
    <n v="0"/>
  </r>
  <r>
    <n v="13989"/>
    <x v="1"/>
    <n v="6"/>
    <n v="417"/>
    <s v="Yes"/>
    <x v="0"/>
    <x v="3"/>
    <n v="1"/>
  </r>
  <r>
    <n v="12441"/>
    <x v="1"/>
    <n v="12"/>
    <n v="336"/>
    <s v="No"/>
    <x v="0"/>
    <x v="1"/>
    <n v="0"/>
  </r>
  <r>
    <n v="17636"/>
    <x v="0"/>
    <n v="10"/>
    <n v="305"/>
    <s v="No"/>
    <x v="0"/>
    <x v="3"/>
    <n v="0"/>
  </r>
  <r>
    <n v="15753"/>
    <x v="1"/>
    <n v="7"/>
    <n v="298"/>
    <s v="No"/>
    <x v="0"/>
    <x v="3"/>
    <n v="0"/>
  </r>
  <r>
    <n v="19833"/>
    <x v="0"/>
    <n v="10"/>
    <n v="266"/>
    <s v="No"/>
    <x v="1"/>
    <x v="1"/>
    <n v="0"/>
  </r>
  <r>
    <n v="12020"/>
    <x v="0"/>
    <n v="3"/>
    <n v="116"/>
    <s v="Yes"/>
    <x v="1"/>
    <x v="1"/>
    <n v="1"/>
  </r>
  <r>
    <n v="16772"/>
    <x v="1"/>
    <n v="6"/>
    <n v="100"/>
    <s v="No"/>
    <x v="1"/>
    <x v="0"/>
    <n v="0"/>
  </r>
  <r>
    <n v="14633"/>
    <x v="0"/>
    <n v="8"/>
    <n v="330"/>
    <s v="No"/>
    <x v="1"/>
    <x v="1"/>
    <n v="0"/>
  </r>
  <r>
    <n v="10639"/>
    <x v="0"/>
    <n v="1"/>
    <n v="349"/>
    <s v="No"/>
    <x v="1"/>
    <x v="2"/>
    <n v="0"/>
  </r>
  <r>
    <n v="10712"/>
    <x v="0"/>
    <n v="10"/>
    <n v="81"/>
    <s v="Yes"/>
    <x v="0"/>
    <x v="2"/>
    <n v="1"/>
  </r>
  <r>
    <n v="15206"/>
    <x v="1"/>
    <n v="1"/>
    <n v="193"/>
    <s v="No"/>
    <x v="1"/>
    <x v="0"/>
    <n v="0"/>
  </r>
  <r>
    <n v="11712"/>
    <x v="0"/>
    <n v="11"/>
    <n v="381"/>
    <s v="No"/>
    <x v="0"/>
    <x v="3"/>
    <n v="0"/>
  </r>
  <r>
    <n v="11511"/>
    <x v="0"/>
    <n v="4"/>
    <n v="121"/>
    <s v="Yes"/>
    <x v="1"/>
    <x v="0"/>
    <n v="1"/>
  </r>
  <r>
    <n v="11109"/>
    <x v="0"/>
    <n v="8"/>
    <n v="216"/>
    <s v="No"/>
    <x v="0"/>
    <x v="0"/>
    <n v="0"/>
  </r>
  <r>
    <n v="19392"/>
    <x v="0"/>
    <n v="14"/>
    <n v="271"/>
    <s v="No"/>
    <x v="1"/>
    <x v="0"/>
    <n v="0"/>
  </r>
  <r>
    <n v="14018"/>
    <x v="1"/>
    <n v="5"/>
    <n v="383"/>
    <s v="No"/>
    <x v="1"/>
    <x v="0"/>
    <n v="0"/>
  </r>
  <r>
    <n v="13956"/>
    <x v="1"/>
    <n v="3"/>
    <n v="113"/>
    <s v="No"/>
    <x v="1"/>
    <x v="0"/>
    <n v="0"/>
  </r>
  <r>
    <n v="12014"/>
    <x v="1"/>
    <n v="13"/>
    <n v="365"/>
    <s v="No"/>
    <x v="0"/>
    <x v="1"/>
    <n v="0"/>
  </r>
  <r>
    <n v="16287"/>
    <x v="1"/>
    <n v="1"/>
    <n v="46"/>
    <s v="No"/>
    <x v="1"/>
    <x v="0"/>
    <n v="0"/>
  </r>
  <r>
    <n v="11802"/>
    <x v="1"/>
    <n v="13"/>
    <n v="391"/>
    <s v="No"/>
    <x v="1"/>
    <x v="3"/>
    <n v="0"/>
  </r>
  <r>
    <n v="17639"/>
    <x v="0"/>
    <n v="1"/>
    <n v="200"/>
    <s v="No"/>
    <x v="1"/>
    <x v="0"/>
    <n v="0"/>
  </r>
  <r>
    <n v="18252"/>
    <x v="0"/>
    <n v="13"/>
    <n v="280"/>
    <s v="No"/>
    <x v="1"/>
    <x v="1"/>
    <n v="0"/>
  </r>
  <r>
    <n v="13882"/>
    <x v="1"/>
    <n v="14"/>
    <n v="300"/>
    <s v="Yes"/>
    <x v="1"/>
    <x v="3"/>
    <n v="1"/>
  </r>
  <r>
    <n v="19839"/>
    <x v="0"/>
    <n v="14"/>
    <n v="394"/>
    <s v="No"/>
    <x v="0"/>
    <x v="0"/>
    <n v="0"/>
  </r>
  <r>
    <n v="11862"/>
    <x v="0"/>
    <n v="11"/>
    <n v="105"/>
    <s v="No"/>
    <x v="1"/>
    <x v="0"/>
    <n v="0"/>
  </r>
  <r>
    <n v="11228"/>
    <x v="0"/>
    <n v="10"/>
    <n v="436"/>
    <s v="No"/>
    <x v="1"/>
    <x v="3"/>
    <n v="0"/>
  </r>
  <r>
    <n v="13322"/>
    <x v="0"/>
    <n v="7"/>
    <n v="339"/>
    <s v="No"/>
    <x v="0"/>
    <x v="2"/>
    <n v="0"/>
  </r>
  <r>
    <n v="10258"/>
    <x v="0"/>
    <n v="2"/>
    <n v="209"/>
    <s v="No"/>
    <x v="0"/>
    <x v="3"/>
    <n v="0"/>
  </r>
  <r>
    <n v="11645"/>
    <x v="0"/>
    <n v="5"/>
    <n v="80"/>
    <s v="No"/>
    <x v="0"/>
    <x v="0"/>
    <n v="0"/>
  </r>
  <r>
    <n v="16114"/>
    <x v="0"/>
    <n v="10"/>
    <n v="103"/>
    <s v="No"/>
    <x v="0"/>
    <x v="1"/>
    <n v="0"/>
  </r>
  <r>
    <n v="10750"/>
    <x v="1"/>
    <n v="5"/>
    <n v="398"/>
    <s v="No"/>
    <x v="0"/>
    <x v="0"/>
    <n v="0"/>
  </r>
  <r>
    <n v="13698"/>
    <x v="1"/>
    <n v="9"/>
    <n v="213"/>
    <s v="No"/>
    <x v="0"/>
    <x v="3"/>
    <n v="0"/>
  </r>
  <r>
    <n v="12503"/>
    <x v="0"/>
    <n v="4"/>
    <n v="267"/>
    <s v="No"/>
    <x v="1"/>
    <x v="2"/>
    <n v="0"/>
  </r>
  <r>
    <n v="15336"/>
    <x v="1"/>
    <n v="2"/>
    <n v="155"/>
    <s v="No"/>
    <x v="0"/>
    <x v="0"/>
    <n v="0"/>
  </r>
  <r>
    <n v="12270"/>
    <x v="1"/>
    <n v="8"/>
    <n v="301"/>
    <s v="No"/>
    <x v="0"/>
    <x v="2"/>
    <n v="0"/>
  </r>
  <r>
    <n v="16976"/>
    <x v="1"/>
    <n v="7"/>
    <n v="51"/>
    <s v="No"/>
    <x v="1"/>
    <x v="0"/>
    <n v="0"/>
  </r>
  <r>
    <n v="16533"/>
    <x v="0"/>
    <n v="4"/>
    <n v="143"/>
    <s v="No"/>
    <x v="0"/>
    <x v="3"/>
    <n v="0"/>
  </r>
  <r>
    <n v="14828"/>
    <x v="1"/>
    <n v="1"/>
    <n v="75"/>
    <s v="No"/>
    <x v="1"/>
    <x v="2"/>
    <n v="0"/>
  </r>
  <r>
    <n v="14542"/>
    <x v="1"/>
    <n v="14"/>
    <n v="384"/>
    <s v="No"/>
    <x v="0"/>
    <x v="3"/>
    <n v="0"/>
  </r>
  <r>
    <n v="10238"/>
    <x v="1"/>
    <n v="5"/>
    <n v="125"/>
    <s v="No"/>
    <x v="0"/>
    <x v="2"/>
    <n v="0"/>
  </r>
  <r>
    <n v="19681"/>
    <x v="0"/>
    <n v="4"/>
    <n v="138"/>
    <s v="No"/>
    <x v="1"/>
    <x v="2"/>
    <n v="0"/>
  </r>
  <r>
    <n v="13028"/>
    <x v="1"/>
    <n v="6"/>
    <n v="63"/>
    <s v="No"/>
    <x v="1"/>
    <x v="1"/>
    <n v="0"/>
  </r>
  <r>
    <n v="12791"/>
    <x v="0"/>
    <n v="11"/>
    <n v="312"/>
    <s v="No"/>
    <x v="0"/>
    <x v="3"/>
    <n v="0"/>
  </r>
  <r>
    <n v="15575"/>
    <x v="0"/>
    <n v="9"/>
    <n v="121"/>
    <s v="No"/>
    <x v="0"/>
    <x v="2"/>
    <n v="0"/>
  </r>
  <r>
    <n v="10584"/>
    <x v="1"/>
    <n v="2"/>
    <n v="302"/>
    <s v="No"/>
    <x v="1"/>
    <x v="0"/>
    <n v="0"/>
  </r>
  <r>
    <n v="17738"/>
    <x v="1"/>
    <n v="9"/>
    <n v="260"/>
    <s v="No"/>
    <x v="0"/>
    <x v="1"/>
    <n v="0"/>
  </r>
  <r>
    <n v="13258"/>
    <x v="0"/>
    <n v="4"/>
    <n v="152"/>
    <s v="No"/>
    <x v="1"/>
    <x v="2"/>
    <n v="0"/>
  </r>
  <r>
    <n v="19796"/>
    <x v="0"/>
    <n v="7"/>
    <n v="424"/>
    <s v="Yes"/>
    <x v="0"/>
    <x v="1"/>
    <n v="1"/>
  </r>
  <r>
    <n v="15661"/>
    <x v="1"/>
    <n v="7"/>
    <n v="301"/>
    <s v="No"/>
    <x v="0"/>
    <x v="3"/>
    <n v="0"/>
  </r>
  <r>
    <n v="11596"/>
    <x v="1"/>
    <n v="12"/>
    <n v="379"/>
    <s v="No"/>
    <x v="1"/>
    <x v="0"/>
    <n v="0"/>
  </r>
  <r>
    <n v="17240"/>
    <x v="1"/>
    <n v="10"/>
    <n v="293"/>
    <s v="No"/>
    <x v="0"/>
    <x v="0"/>
    <n v="0"/>
  </r>
  <r>
    <n v="18122"/>
    <x v="0"/>
    <n v="4"/>
    <n v="383"/>
    <s v="No"/>
    <x v="0"/>
    <x v="0"/>
    <n v="0"/>
  </r>
  <r>
    <n v="17843"/>
    <x v="0"/>
    <n v="12"/>
    <n v="122"/>
    <s v="No"/>
    <x v="0"/>
    <x v="0"/>
    <n v="0"/>
  </r>
  <r>
    <n v="15209"/>
    <x v="0"/>
    <n v="6"/>
    <n v="422"/>
    <s v="No"/>
    <x v="0"/>
    <x v="1"/>
    <n v="0"/>
  </r>
  <r>
    <n v="15043"/>
    <x v="0"/>
    <n v="13"/>
    <n v="377"/>
    <s v="No"/>
    <x v="1"/>
    <x v="0"/>
    <n v="0"/>
  </r>
  <r>
    <n v="13294"/>
    <x v="1"/>
    <n v="4"/>
    <n v="148"/>
    <s v="No"/>
    <x v="1"/>
    <x v="0"/>
    <n v="0"/>
  </r>
  <r>
    <n v="11078"/>
    <x v="0"/>
    <n v="11"/>
    <n v="130"/>
    <s v="No"/>
    <x v="1"/>
    <x v="0"/>
    <n v="0"/>
  </r>
  <r>
    <n v="15139"/>
    <x v="1"/>
    <n v="11"/>
    <n v="186"/>
    <s v="No"/>
    <x v="0"/>
    <x v="3"/>
    <n v="0"/>
  </r>
  <r>
    <n v="11587"/>
    <x v="1"/>
    <n v="5"/>
    <n v="190"/>
    <s v="No"/>
    <x v="0"/>
    <x v="3"/>
    <n v="0"/>
  </r>
  <r>
    <n v="16996"/>
    <x v="0"/>
    <n v="6"/>
    <n v="256"/>
    <s v="No"/>
    <x v="1"/>
    <x v="0"/>
    <n v="0"/>
  </r>
  <r>
    <n v="18414"/>
    <x v="0"/>
    <n v="10"/>
    <n v="196"/>
    <s v="Yes"/>
    <x v="1"/>
    <x v="1"/>
    <n v="1"/>
  </r>
  <r>
    <n v="12583"/>
    <x v="1"/>
    <n v="3"/>
    <n v="61"/>
    <s v="No"/>
    <x v="0"/>
    <x v="2"/>
    <n v="0"/>
  </r>
  <r>
    <n v="19929"/>
    <x v="1"/>
    <n v="2"/>
    <n v="164"/>
    <s v="No"/>
    <x v="1"/>
    <x v="3"/>
    <n v="0"/>
  </r>
  <r>
    <n v="19948"/>
    <x v="0"/>
    <n v="12"/>
    <n v="423"/>
    <s v="No"/>
    <x v="0"/>
    <x v="3"/>
    <n v="0"/>
  </r>
  <r>
    <n v="17481"/>
    <x v="0"/>
    <n v="7"/>
    <n v="90"/>
    <s v="No"/>
    <x v="0"/>
    <x v="3"/>
    <n v="0"/>
  </r>
  <r>
    <n v="19922"/>
    <x v="1"/>
    <n v="7"/>
    <n v="249"/>
    <s v="No"/>
    <x v="0"/>
    <x v="3"/>
    <n v="0"/>
  </r>
  <r>
    <n v="17687"/>
    <x v="1"/>
    <n v="9"/>
    <n v="155"/>
    <s v="No"/>
    <x v="1"/>
    <x v="1"/>
    <n v="0"/>
  </r>
  <r>
    <n v="17044"/>
    <x v="1"/>
    <n v="1"/>
    <n v="49"/>
    <s v="No"/>
    <x v="1"/>
    <x v="2"/>
    <n v="0"/>
  </r>
  <r>
    <n v="18283"/>
    <x v="0"/>
    <n v="8"/>
    <n v="143"/>
    <s v="Yes"/>
    <x v="0"/>
    <x v="0"/>
    <n v="1"/>
  </r>
  <r>
    <n v="11103"/>
    <x v="1"/>
    <n v="11"/>
    <n v="377"/>
    <s v="No"/>
    <x v="0"/>
    <x v="0"/>
    <n v="0"/>
  </r>
  <r>
    <n v="19639"/>
    <x v="0"/>
    <n v="6"/>
    <n v="156"/>
    <s v="No"/>
    <x v="0"/>
    <x v="0"/>
    <n v="0"/>
  </r>
  <r>
    <n v="18972"/>
    <x v="0"/>
    <n v="11"/>
    <n v="285"/>
    <s v="No"/>
    <x v="0"/>
    <x v="3"/>
    <n v="0"/>
  </r>
  <r>
    <n v="14708"/>
    <x v="0"/>
    <n v="3"/>
    <n v="276"/>
    <s v="No"/>
    <x v="0"/>
    <x v="3"/>
    <n v="0"/>
  </r>
  <r>
    <n v="12212"/>
    <x v="1"/>
    <n v="2"/>
    <n v="188"/>
    <s v="No"/>
    <x v="1"/>
    <x v="2"/>
    <n v="0"/>
  </r>
  <r>
    <n v="11940"/>
    <x v="0"/>
    <n v="6"/>
    <n v="137"/>
    <s v="No"/>
    <x v="0"/>
    <x v="1"/>
    <n v="0"/>
  </r>
  <r>
    <n v="14270"/>
    <x v="0"/>
    <n v="8"/>
    <n v="169"/>
    <s v="No"/>
    <x v="1"/>
    <x v="1"/>
    <n v="0"/>
  </r>
  <r>
    <n v="19258"/>
    <x v="0"/>
    <n v="3"/>
    <n v="254"/>
    <s v="No"/>
    <x v="0"/>
    <x v="1"/>
    <n v="0"/>
  </r>
  <r>
    <n v="13329"/>
    <x v="0"/>
    <n v="3"/>
    <n v="250"/>
    <s v="No"/>
    <x v="1"/>
    <x v="3"/>
    <n v="0"/>
  </r>
  <r>
    <n v="12055"/>
    <x v="1"/>
    <n v="4"/>
    <n v="170"/>
    <s v="No"/>
    <x v="1"/>
    <x v="2"/>
    <n v="0"/>
  </r>
  <r>
    <n v="13500"/>
    <x v="1"/>
    <n v="5"/>
    <n v="322"/>
    <s v="No"/>
    <x v="1"/>
    <x v="3"/>
    <n v="0"/>
  </r>
  <r>
    <n v="16878"/>
    <x v="0"/>
    <n v="2"/>
    <n v="95"/>
    <s v="No"/>
    <x v="0"/>
    <x v="0"/>
    <n v="0"/>
  </r>
  <r>
    <n v="13146"/>
    <x v="1"/>
    <n v="13"/>
    <n v="163"/>
    <s v="No"/>
    <x v="1"/>
    <x v="0"/>
    <n v="0"/>
  </r>
  <r>
    <n v="15645"/>
    <x v="0"/>
    <n v="7"/>
    <n v="245"/>
    <s v="Yes"/>
    <x v="1"/>
    <x v="0"/>
    <n v="1"/>
  </r>
  <r>
    <n v="11526"/>
    <x v="1"/>
    <n v="1"/>
    <n v="87"/>
    <s v="No"/>
    <x v="0"/>
    <x v="1"/>
    <n v="0"/>
  </r>
  <r>
    <n v="15270"/>
    <x v="1"/>
    <n v="2"/>
    <n v="391"/>
    <s v="No"/>
    <x v="1"/>
    <x v="2"/>
    <n v="0"/>
  </r>
  <r>
    <n v="15843"/>
    <x v="1"/>
    <n v="12"/>
    <n v="348"/>
    <s v="No"/>
    <x v="0"/>
    <x v="1"/>
    <n v="0"/>
  </r>
  <r>
    <n v="12738"/>
    <x v="0"/>
    <n v="10"/>
    <n v="159"/>
    <s v="No"/>
    <x v="1"/>
    <x v="0"/>
    <n v="0"/>
  </r>
  <r>
    <n v="10587"/>
    <x v="1"/>
    <n v="11"/>
    <n v="308"/>
    <s v="No"/>
    <x v="1"/>
    <x v="2"/>
    <n v="0"/>
  </r>
  <r>
    <n v="19804"/>
    <x v="1"/>
    <n v="2"/>
    <n v="61"/>
    <s v="No"/>
    <x v="0"/>
    <x v="0"/>
    <n v="0"/>
  </r>
  <r>
    <n v="19005"/>
    <x v="0"/>
    <n v="6"/>
    <n v="382"/>
    <s v="No"/>
    <x v="1"/>
    <x v="1"/>
    <n v="0"/>
  </r>
  <r>
    <n v="15667"/>
    <x v="1"/>
    <n v="5"/>
    <n v="446"/>
    <s v="No"/>
    <x v="1"/>
    <x v="2"/>
    <n v="0"/>
  </r>
  <r>
    <n v="16983"/>
    <x v="1"/>
    <n v="3"/>
    <n v="213"/>
    <s v="No"/>
    <x v="1"/>
    <x v="1"/>
    <n v="0"/>
  </r>
  <r>
    <n v="17621"/>
    <x v="1"/>
    <n v="14"/>
    <n v="186"/>
    <s v="No"/>
    <x v="1"/>
    <x v="0"/>
    <n v="0"/>
  </r>
  <r>
    <n v="10467"/>
    <x v="0"/>
    <n v="4"/>
    <n v="324"/>
    <s v="No"/>
    <x v="1"/>
    <x v="2"/>
    <n v="0"/>
  </r>
  <r>
    <n v="14116"/>
    <x v="0"/>
    <n v="9"/>
    <n v="140"/>
    <s v="No"/>
    <x v="1"/>
    <x v="1"/>
    <n v="0"/>
  </r>
  <r>
    <n v="12718"/>
    <x v="1"/>
    <n v="8"/>
    <n v="422"/>
    <s v="No"/>
    <x v="1"/>
    <x v="0"/>
    <n v="0"/>
  </r>
  <r>
    <n v="14516"/>
    <x v="0"/>
    <n v="3"/>
    <n v="136"/>
    <s v="No"/>
    <x v="0"/>
    <x v="3"/>
    <n v="0"/>
  </r>
  <r>
    <n v="17669"/>
    <x v="0"/>
    <n v="9"/>
    <n v="359"/>
    <s v="No"/>
    <x v="1"/>
    <x v="2"/>
    <n v="0"/>
  </r>
  <r>
    <n v="11574"/>
    <x v="0"/>
    <n v="14"/>
    <n v="49"/>
    <s v="No"/>
    <x v="1"/>
    <x v="2"/>
    <n v="0"/>
  </r>
  <r>
    <n v="11058"/>
    <x v="0"/>
    <n v="4"/>
    <n v="287"/>
    <s v="No"/>
    <x v="1"/>
    <x v="0"/>
    <n v="0"/>
  </r>
  <r>
    <n v="11026"/>
    <x v="0"/>
    <n v="14"/>
    <n v="449"/>
    <s v="Yes"/>
    <x v="0"/>
    <x v="2"/>
    <n v="1"/>
  </r>
  <r>
    <n v="14591"/>
    <x v="0"/>
    <n v="12"/>
    <n v="54"/>
    <s v="No"/>
    <x v="0"/>
    <x v="0"/>
    <n v="0"/>
  </r>
  <r>
    <n v="10782"/>
    <x v="1"/>
    <n v="9"/>
    <n v="327"/>
    <s v="No"/>
    <x v="0"/>
    <x v="3"/>
    <n v="0"/>
  </r>
  <r>
    <n v="16293"/>
    <x v="1"/>
    <n v="5"/>
    <n v="285"/>
    <s v="No"/>
    <x v="0"/>
    <x v="1"/>
    <n v="0"/>
  </r>
  <r>
    <n v="13409"/>
    <x v="1"/>
    <n v="7"/>
    <n v="147"/>
    <s v="No"/>
    <x v="1"/>
    <x v="1"/>
    <n v="0"/>
  </r>
  <r>
    <n v="15602"/>
    <x v="1"/>
    <n v="2"/>
    <n v="440"/>
    <s v="No"/>
    <x v="0"/>
    <x v="2"/>
    <n v="0"/>
  </r>
  <r>
    <n v="19618"/>
    <x v="1"/>
    <n v="14"/>
    <n v="70"/>
    <s v="No"/>
    <x v="0"/>
    <x v="3"/>
    <n v="0"/>
  </r>
  <r>
    <n v="17285"/>
    <x v="1"/>
    <n v="8"/>
    <n v="435"/>
    <s v="No"/>
    <x v="0"/>
    <x v="1"/>
    <n v="0"/>
  </r>
  <r>
    <n v="13061"/>
    <x v="0"/>
    <n v="8"/>
    <n v="408"/>
    <s v="No"/>
    <x v="0"/>
    <x v="1"/>
    <n v="0"/>
  </r>
  <r>
    <n v="13080"/>
    <x v="1"/>
    <n v="12"/>
    <n v="297"/>
    <s v="No"/>
    <x v="1"/>
    <x v="0"/>
    <n v="0"/>
  </r>
  <r>
    <n v="15015"/>
    <x v="1"/>
    <n v="1"/>
    <n v="325"/>
    <s v="No"/>
    <x v="0"/>
    <x v="0"/>
    <n v="0"/>
  </r>
  <r>
    <n v="15539"/>
    <x v="0"/>
    <n v="8"/>
    <n v="433"/>
    <s v="No"/>
    <x v="1"/>
    <x v="3"/>
    <n v="0"/>
  </r>
  <r>
    <n v="16171"/>
    <x v="1"/>
    <n v="8"/>
    <n v="191"/>
    <s v="No"/>
    <x v="0"/>
    <x v="0"/>
    <n v="0"/>
  </r>
  <r>
    <n v="12402"/>
    <x v="1"/>
    <n v="2"/>
    <n v="435"/>
    <s v="No"/>
    <x v="1"/>
    <x v="2"/>
    <n v="0"/>
  </r>
  <r>
    <n v="16085"/>
    <x v="1"/>
    <n v="8"/>
    <n v="298"/>
    <s v="No"/>
    <x v="1"/>
    <x v="2"/>
    <n v="0"/>
  </r>
  <r>
    <n v="19471"/>
    <x v="1"/>
    <n v="3"/>
    <n v="304"/>
    <s v="No"/>
    <x v="0"/>
    <x v="2"/>
    <n v="0"/>
  </r>
  <r>
    <n v="10633"/>
    <x v="1"/>
    <n v="1"/>
    <n v="50"/>
    <s v="No"/>
    <x v="0"/>
    <x v="1"/>
    <n v="0"/>
  </r>
  <r>
    <n v="11825"/>
    <x v="1"/>
    <n v="13"/>
    <n v="423"/>
    <s v="No"/>
    <x v="1"/>
    <x v="3"/>
    <n v="0"/>
  </r>
  <r>
    <n v="14974"/>
    <x v="1"/>
    <n v="13"/>
    <n v="292"/>
    <s v="No"/>
    <x v="0"/>
    <x v="0"/>
    <n v="0"/>
  </r>
  <r>
    <n v="10539"/>
    <x v="0"/>
    <n v="1"/>
    <n v="442"/>
    <s v="No"/>
    <x v="0"/>
    <x v="3"/>
    <n v="0"/>
  </r>
  <r>
    <n v="10451"/>
    <x v="1"/>
    <n v="4"/>
    <n v="261"/>
    <s v="No"/>
    <x v="0"/>
    <x v="2"/>
    <n v="0"/>
  </r>
  <r>
    <n v="10322"/>
    <x v="1"/>
    <n v="2"/>
    <n v="155"/>
    <s v="No"/>
    <x v="1"/>
    <x v="1"/>
    <n v="0"/>
  </r>
  <r>
    <n v="11544"/>
    <x v="0"/>
    <n v="10"/>
    <n v="417"/>
    <s v="No"/>
    <x v="1"/>
    <x v="1"/>
    <n v="0"/>
  </r>
  <r>
    <n v="13434"/>
    <x v="1"/>
    <n v="8"/>
    <n v="115"/>
    <s v="No"/>
    <x v="1"/>
    <x v="2"/>
    <n v="0"/>
  </r>
  <r>
    <n v="16291"/>
    <x v="1"/>
    <n v="8"/>
    <n v="304"/>
    <s v="No"/>
    <x v="1"/>
    <x v="2"/>
    <n v="0"/>
  </r>
  <r>
    <n v="11208"/>
    <x v="0"/>
    <n v="5"/>
    <n v="164"/>
    <s v="No"/>
    <x v="1"/>
    <x v="0"/>
    <n v="0"/>
  </r>
  <r>
    <n v="15024"/>
    <x v="0"/>
    <n v="10"/>
    <n v="318"/>
    <s v="Yes"/>
    <x v="1"/>
    <x v="1"/>
    <n v="1"/>
  </r>
  <r>
    <n v="17395"/>
    <x v="1"/>
    <n v="7"/>
    <n v="80"/>
    <s v="No"/>
    <x v="1"/>
    <x v="0"/>
    <n v="0"/>
  </r>
  <r>
    <n v="16829"/>
    <x v="1"/>
    <n v="12"/>
    <n v="273"/>
    <s v="No"/>
    <x v="1"/>
    <x v="2"/>
    <n v="0"/>
  </r>
  <r>
    <n v="15737"/>
    <x v="0"/>
    <n v="12"/>
    <n v="181"/>
    <s v="No"/>
    <x v="1"/>
    <x v="0"/>
    <n v="0"/>
  </r>
  <r>
    <n v="10101"/>
    <x v="0"/>
    <n v="1"/>
    <n v="139"/>
    <s v="No"/>
    <x v="1"/>
    <x v="2"/>
    <n v="0"/>
  </r>
  <r>
    <n v="10738"/>
    <x v="1"/>
    <n v="1"/>
    <n v="326"/>
    <s v="No"/>
    <x v="0"/>
    <x v="1"/>
    <n v="0"/>
  </r>
  <r>
    <n v="17433"/>
    <x v="1"/>
    <n v="2"/>
    <n v="379"/>
    <s v="No"/>
    <x v="0"/>
    <x v="2"/>
    <n v="0"/>
  </r>
  <r>
    <n v="11935"/>
    <x v="0"/>
    <n v="11"/>
    <n v="73"/>
    <s v="No"/>
    <x v="0"/>
    <x v="0"/>
    <n v="0"/>
  </r>
  <r>
    <n v="14887"/>
    <x v="1"/>
    <n v="4"/>
    <n v="82"/>
    <s v="No"/>
    <x v="1"/>
    <x v="2"/>
    <n v="0"/>
  </r>
  <r>
    <n v="17546"/>
    <x v="1"/>
    <n v="1"/>
    <n v="236"/>
    <s v="No"/>
    <x v="0"/>
    <x v="3"/>
    <n v="0"/>
  </r>
  <r>
    <n v="15140"/>
    <x v="0"/>
    <n v="8"/>
    <n v="420"/>
    <s v="Yes"/>
    <x v="1"/>
    <x v="3"/>
    <n v="1"/>
  </r>
  <r>
    <n v="12058"/>
    <x v="1"/>
    <n v="1"/>
    <n v="159"/>
    <s v="No"/>
    <x v="1"/>
    <x v="3"/>
    <n v="0"/>
  </r>
  <r>
    <n v="14804"/>
    <x v="0"/>
    <n v="2"/>
    <n v="276"/>
    <s v="No"/>
    <x v="0"/>
    <x v="2"/>
    <n v="0"/>
  </r>
  <r>
    <n v="12959"/>
    <x v="1"/>
    <n v="11"/>
    <n v="318"/>
    <s v="No"/>
    <x v="1"/>
    <x v="3"/>
    <n v="0"/>
  </r>
  <r>
    <n v="11324"/>
    <x v="1"/>
    <n v="7"/>
    <n v="406"/>
    <s v="No"/>
    <x v="0"/>
    <x v="1"/>
    <n v="0"/>
  </r>
  <r>
    <n v="12128"/>
    <x v="0"/>
    <n v="8"/>
    <n v="105"/>
    <s v="No"/>
    <x v="1"/>
    <x v="1"/>
    <n v="0"/>
  </r>
  <r>
    <n v="19249"/>
    <x v="0"/>
    <n v="4"/>
    <n v="268"/>
    <s v="No"/>
    <x v="1"/>
    <x v="2"/>
    <n v="0"/>
  </r>
  <r>
    <n v="17164"/>
    <x v="1"/>
    <n v="14"/>
    <n v="57"/>
    <s v="No"/>
    <x v="1"/>
    <x v="2"/>
    <n v="0"/>
  </r>
  <r>
    <n v="17377"/>
    <x v="1"/>
    <n v="11"/>
    <n v="222"/>
    <s v="No"/>
    <x v="0"/>
    <x v="0"/>
    <n v="0"/>
  </r>
  <r>
    <n v="15460"/>
    <x v="0"/>
    <n v="3"/>
    <n v="79"/>
    <s v="No"/>
    <x v="1"/>
    <x v="1"/>
    <n v="0"/>
  </r>
  <r>
    <n v="14819"/>
    <x v="1"/>
    <n v="12"/>
    <n v="148"/>
    <s v="No"/>
    <x v="0"/>
    <x v="1"/>
    <n v="0"/>
  </r>
  <r>
    <n v="11665"/>
    <x v="0"/>
    <n v="10"/>
    <n v="368"/>
    <s v="No"/>
    <x v="1"/>
    <x v="3"/>
    <n v="0"/>
  </r>
  <r>
    <n v="18891"/>
    <x v="0"/>
    <n v="10"/>
    <n v="255"/>
    <s v="No"/>
    <x v="0"/>
    <x v="3"/>
    <n v="0"/>
  </r>
  <r>
    <n v="11672"/>
    <x v="0"/>
    <n v="14"/>
    <n v="334"/>
    <s v="No"/>
    <x v="0"/>
    <x v="1"/>
    <n v="0"/>
  </r>
  <r>
    <n v="15699"/>
    <x v="0"/>
    <n v="9"/>
    <n v="204"/>
    <s v="No"/>
    <x v="1"/>
    <x v="1"/>
    <n v="0"/>
  </r>
  <r>
    <n v="17870"/>
    <x v="1"/>
    <n v="6"/>
    <n v="128"/>
    <s v="No"/>
    <x v="0"/>
    <x v="1"/>
    <n v="0"/>
  </r>
  <r>
    <n v="10358"/>
    <x v="0"/>
    <n v="7"/>
    <n v="234"/>
    <s v="No"/>
    <x v="0"/>
    <x v="2"/>
    <n v="0"/>
  </r>
  <r>
    <n v="12596"/>
    <x v="0"/>
    <n v="9"/>
    <n v="73"/>
    <s v="No"/>
    <x v="0"/>
    <x v="3"/>
    <n v="0"/>
  </r>
  <r>
    <n v="12363"/>
    <x v="0"/>
    <n v="1"/>
    <n v="292"/>
    <s v="No"/>
    <x v="0"/>
    <x v="0"/>
    <n v="0"/>
  </r>
  <r>
    <n v="12318"/>
    <x v="0"/>
    <n v="2"/>
    <n v="93"/>
    <s v="No"/>
    <x v="0"/>
    <x v="1"/>
    <n v="0"/>
  </r>
  <r>
    <n v="14338"/>
    <x v="0"/>
    <n v="12"/>
    <n v="176"/>
    <s v="No"/>
    <x v="0"/>
    <x v="2"/>
    <n v="0"/>
  </r>
  <r>
    <n v="18207"/>
    <x v="0"/>
    <n v="8"/>
    <n v="68"/>
    <s v="No"/>
    <x v="1"/>
    <x v="3"/>
    <n v="0"/>
  </r>
  <r>
    <n v="10597"/>
    <x v="0"/>
    <n v="2"/>
    <n v="405"/>
    <s v="No"/>
    <x v="1"/>
    <x v="2"/>
    <n v="0"/>
  </r>
  <r>
    <n v="12651"/>
    <x v="0"/>
    <n v="10"/>
    <n v="194"/>
    <s v="No"/>
    <x v="0"/>
    <x v="3"/>
    <n v="0"/>
  </r>
  <r>
    <n v="12433"/>
    <x v="1"/>
    <n v="13"/>
    <n v="60"/>
    <s v="No"/>
    <x v="0"/>
    <x v="1"/>
    <n v="0"/>
  </r>
  <r>
    <n v="18099"/>
    <x v="1"/>
    <n v="14"/>
    <n v="388"/>
    <s v="No"/>
    <x v="0"/>
    <x v="1"/>
    <n v="0"/>
  </r>
  <r>
    <n v="16066"/>
    <x v="0"/>
    <n v="3"/>
    <n v="313"/>
    <s v="No"/>
    <x v="1"/>
    <x v="3"/>
    <n v="0"/>
  </r>
  <r>
    <n v="16131"/>
    <x v="0"/>
    <n v="6"/>
    <n v="353"/>
    <s v="Yes"/>
    <x v="1"/>
    <x v="1"/>
    <n v="1"/>
  </r>
  <r>
    <n v="11726"/>
    <x v="1"/>
    <n v="4"/>
    <n v="65"/>
    <s v="No"/>
    <x v="0"/>
    <x v="0"/>
    <n v="0"/>
  </r>
  <r>
    <n v="12778"/>
    <x v="1"/>
    <n v="6"/>
    <n v="146"/>
    <s v="No"/>
    <x v="0"/>
    <x v="0"/>
    <n v="0"/>
  </r>
  <r>
    <n v="12344"/>
    <x v="1"/>
    <n v="13"/>
    <n v="383"/>
    <s v="No"/>
    <x v="0"/>
    <x v="1"/>
    <n v="0"/>
  </r>
  <r>
    <n v="16528"/>
    <x v="0"/>
    <n v="11"/>
    <n v="182"/>
    <s v="No"/>
    <x v="1"/>
    <x v="1"/>
    <n v="0"/>
  </r>
  <r>
    <n v="16750"/>
    <x v="1"/>
    <n v="1"/>
    <n v="137"/>
    <s v="No"/>
    <x v="0"/>
    <x v="1"/>
    <n v="0"/>
  </r>
  <r>
    <n v="11757"/>
    <x v="1"/>
    <n v="6"/>
    <n v="116"/>
    <s v="No"/>
    <x v="1"/>
    <x v="0"/>
    <n v="0"/>
  </r>
  <r>
    <n v="16739"/>
    <x v="0"/>
    <n v="6"/>
    <n v="50"/>
    <s v="No"/>
    <x v="0"/>
    <x v="0"/>
    <n v="0"/>
  </r>
  <r>
    <n v="16137"/>
    <x v="0"/>
    <n v="9"/>
    <n v="68"/>
    <s v="No"/>
    <x v="1"/>
    <x v="3"/>
    <n v="0"/>
  </r>
  <r>
    <n v="12428"/>
    <x v="0"/>
    <n v="13"/>
    <n v="248"/>
    <s v="No"/>
    <x v="0"/>
    <x v="2"/>
    <n v="0"/>
  </r>
  <r>
    <n v="12486"/>
    <x v="1"/>
    <n v="6"/>
    <n v="140"/>
    <s v="No"/>
    <x v="0"/>
    <x v="2"/>
    <n v="0"/>
  </r>
  <r>
    <n v="11749"/>
    <x v="0"/>
    <n v="5"/>
    <n v="65"/>
    <s v="No"/>
    <x v="0"/>
    <x v="1"/>
    <n v="0"/>
  </r>
  <r>
    <n v="18756"/>
    <x v="0"/>
    <n v="2"/>
    <n v="120"/>
    <s v="Yes"/>
    <x v="0"/>
    <x v="3"/>
    <n v="1"/>
  </r>
  <r>
    <n v="10735"/>
    <x v="0"/>
    <n v="12"/>
    <n v="80"/>
    <s v="No"/>
    <x v="0"/>
    <x v="1"/>
    <n v="0"/>
  </r>
  <r>
    <n v="12076"/>
    <x v="0"/>
    <n v="14"/>
    <n v="112"/>
    <s v="No"/>
    <x v="1"/>
    <x v="1"/>
    <n v="0"/>
  </r>
  <r>
    <n v="14993"/>
    <x v="0"/>
    <n v="14"/>
    <n v="360"/>
    <s v="No"/>
    <x v="0"/>
    <x v="2"/>
    <n v="0"/>
  </r>
  <r>
    <n v="15800"/>
    <x v="1"/>
    <n v="12"/>
    <n v="154"/>
    <s v="No"/>
    <x v="0"/>
    <x v="3"/>
    <n v="0"/>
  </r>
  <r>
    <n v="14037"/>
    <x v="0"/>
    <n v="1"/>
    <n v="312"/>
    <s v="No"/>
    <x v="0"/>
    <x v="0"/>
    <n v="0"/>
  </r>
  <r>
    <n v="14596"/>
    <x v="0"/>
    <n v="3"/>
    <n v="392"/>
    <s v="No"/>
    <x v="0"/>
    <x v="3"/>
    <n v="0"/>
  </r>
  <r>
    <n v="14009"/>
    <x v="1"/>
    <n v="8"/>
    <n v="128"/>
    <s v="Yes"/>
    <x v="1"/>
    <x v="2"/>
    <n v="1"/>
  </r>
  <r>
    <n v="10624"/>
    <x v="0"/>
    <n v="8"/>
    <n v="151"/>
    <s v="No"/>
    <x v="1"/>
    <x v="2"/>
    <n v="0"/>
  </r>
  <r>
    <n v="15494"/>
    <x v="1"/>
    <n v="14"/>
    <n v="260"/>
    <s v="No"/>
    <x v="1"/>
    <x v="1"/>
    <n v="0"/>
  </r>
  <r>
    <n v="17900"/>
    <x v="0"/>
    <n v="10"/>
    <n v="321"/>
    <s v="Yes"/>
    <x v="0"/>
    <x v="2"/>
    <n v="1"/>
  </r>
  <r>
    <n v="18216"/>
    <x v="0"/>
    <n v="12"/>
    <n v="210"/>
    <s v="No"/>
    <x v="0"/>
    <x v="0"/>
    <n v="0"/>
  </r>
  <r>
    <n v="13376"/>
    <x v="0"/>
    <n v="11"/>
    <n v="136"/>
    <s v="No"/>
    <x v="0"/>
    <x v="1"/>
    <n v="0"/>
  </r>
  <r>
    <n v="10089"/>
    <x v="0"/>
    <n v="7"/>
    <n v="433"/>
    <s v="No"/>
    <x v="0"/>
    <x v="1"/>
    <n v="0"/>
  </r>
  <r>
    <n v="10975"/>
    <x v="0"/>
    <n v="2"/>
    <n v="105"/>
    <s v="No"/>
    <x v="1"/>
    <x v="3"/>
    <n v="0"/>
  </r>
  <r>
    <n v="11035"/>
    <x v="0"/>
    <n v="6"/>
    <n v="147"/>
    <s v="No"/>
    <x v="1"/>
    <x v="1"/>
    <n v="0"/>
  </r>
  <r>
    <n v="19326"/>
    <x v="0"/>
    <n v="11"/>
    <n v="54"/>
    <s v="No"/>
    <x v="0"/>
    <x v="2"/>
    <n v="0"/>
  </r>
  <r>
    <n v="19716"/>
    <x v="1"/>
    <n v="10"/>
    <n v="98"/>
    <s v="No"/>
    <x v="1"/>
    <x v="0"/>
    <n v="0"/>
  </r>
  <r>
    <n v="10609"/>
    <x v="1"/>
    <n v="1"/>
    <n v="255"/>
    <s v="No"/>
    <x v="0"/>
    <x v="1"/>
    <n v="0"/>
  </r>
  <r>
    <n v="15515"/>
    <x v="0"/>
    <n v="1"/>
    <n v="437"/>
    <s v="No"/>
    <x v="0"/>
    <x v="0"/>
    <n v="0"/>
  </r>
  <r>
    <n v="10717"/>
    <x v="0"/>
    <n v="10"/>
    <n v="394"/>
    <s v="No"/>
    <x v="1"/>
    <x v="1"/>
    <n v="0"/>
  </r>
  <r>
    <n v="10011"/>
    <x v="1"/>
    <n v="6"/>
    <n v="183"/>
    <s v="No"/>
    <x v="1"/>
    <x v="2"/>
    <n v="0"/>
  </r>
  <r>
    <n v="12496"/>
    <x v="0"/>
    <n v="12"/>
    <n v="311"/>
    <s v="No"/>
    <x v="1"/>
    <x v="0"/>
    <n v="0"/>
  </r>
  <r>
    <n v="18958"/>
    <x v="0"/>
    <n v="10"/>
    <n v="153"/>
    <s v="No"/>
    <x v="0"/>
    <x v="2"/>
    <n v="0"/>
  </r>
  <r>
    <n v="13875"/>
    <x v="0"/>
    <n v="1"/>
    <n v="59"/>
    <s v="Yes"/>
    <x v="0"/>
    <x v="1"/>
    <n v="1"/>
  </r>
  <r>
    <n v="13894"/>
    <x v="0"/>
    <n v="7"/>
    <n v="149"/>
    <s v="No"/>
    <x v="0"/>
    <x v="3"/>
    <n v="0"/>
  </r>
  <r>
    <n v="11294"/>
    <x v="0"/>
    <n v="2"/>
    <n v="404"/>
    <s v="No"/>
    <x v="0"/>
    <x v="3"/>
    <n v="0"/>
  </r>
  <r>
    <n v="12349"/>
    <x v="0"/>
    <n v="13"/>
    <n v="274"/>
    <s v="No"/>
    <x v="0"/>
    <x v="0"/>
    <n v="0"/>
  </r>
  <r>
    <n v="13966"/>
    <x v="1"/>
    <n v="10"/>
    <n v="332"/>
    <s v="No"/>
    <x v="0"/>
    <x v="0"/>
    <n v="0"/>
  </r>
  <r>
    <n v="12513"/>
    <x v="1"/>
    <n v="8"/>
    <n v="367"/>
    <s v="No"/>
    <x v="1"/>
    <x v="0"/>
    <n v="0"/>
  </r>
  <r>
    <n v="19890"/>
    <x v="0"/>
    <n v="9"/>
    <n v="77"/>
    <s v="No"/>
    <x v="1"/>
    <x v="0"/>
    <n v="0"/>
  </r>
  <r>
    <n v="14209"/>
    <x v="0"/>
    <n v="13"/>
    <n v="234"/>
    <s v="No"/>
    <x v="1"/>
    <x v="0"/>
    <n v="0"/>
  </r>
  <r>
    <n v="10826"/>
    <x v="0"/>
    <n v="4"/>
    <n v="220"/>
    <s v="No"/>
    <x v="0"/>
    <x v="1"/>
    <n v="0"/>
  </r>
  <r>
    <n v="12757"/>
    <x v="0"/>
    <n v="7"/>
    <n v="356"/>
    <s v="Yes"/>
    <x v="0"/>
    <x v="3"/>
    <n v="1"/>
  </r>
  <r>
    <n v="16324"/>
    <x v="0"/>
    <n v="3"/>
    <n v="94"/>
    <s v="No"/>
    <x v="1"/>
    <x v="2"/>
    <n v="0"/>
  </r>
  <r>
    <n v="18018"/>
    <x v="0"/>
    <n v="7"/>
    <n v="426"/>
    <s v="No"/>
    <x v="1"/>
    <x v="0"/>
    <n v="0"/>
  </r>
  <r>
    <n v="16044"/>
    <x v="0"/>
    <n v="12"/>
    <n v="427"/>
    <s v="No"/>
    <x v="1"/>
    <x v="2"/>
    <n v="0"/>
  </r>
  <r>
    <n v="17559"/>
    <x v="1"/>
    <n v="10"/>
    <n v="377"/>
    <s v="No"/>
    <x v="0"/>
    <x v="2"/>
    <n v="0"/>
  </r>
  <r>
    <n v="11162"/>
    <x v="1"/>
    <n v="11"/>
    <n v="387"/>
    <s v="No"/>
    <x v="0"/>
    <x v="2"/>
    <n v="0"/>
  </r>
  <r>
    <n v="18006"/>
    <x v="1"/>
    <n v="1"/>
    <n v="248"/>
    <s v="No"/>
    <x v="0"/>
    <x v="0"/>
    <n v="0"/>
  </r>
  <r>
    <n v="12630"/>
    <x v="0"/>
    <n v="11"/>
    <n v="349"/>
    <s v="No"/>
    <x v="1"/>
    <x v="3"/>
    <n v="0"/>
  </r>
  <r>
    <n v="15475"/>
    <x v="1"/>
    <n v="7"/>
    <n v="164"/>
    <s v="No"/>
    <x v="0"/>
    <x v="3"/>
    <n v="0"/>
  </r>
  <r>
    <n v="19463"/>
    <x v="0"/>
    <n v="10"/>
    <n v="331"/>
    <s v="No"/>
    <x v="0"/>
    <x v="2"/>
    <n v="0"/>
  </r>
  <r>
    <n v="18687"/>
    <x v="1"/>
    <n v="6"/>
    <n v="215"/>
    <s v="No"/>
    <x v="0"/>
    <x v="0"/>
    <n v="0"/>
  </r>
  <r>
    <n v="19377"/>
    <x v="1"/>
    <n v="12"/>
    <n v="158"/>
    <s v="No"/>
    <x v="0"/>
    <x v="2"/>
    <n v="0"/>
  </r>
  <r>
    <n v="11769"/>
    <x v="0"/>
    <n v="11"/>
    <n v="225"/>
    <s v="No"/>
    <x v="0"/>
    <x v="3"/>
    <n v="0"/>
  </r>
  <r>
    <n v="11044"/>
    <x v="1"/>
    <n v="1"/>
    <n v="431"/>
    <s v="No"/>
    <x v="0"/>
    <x v="3"/>
    <n v="0"/>
  </r>
  <r>
    <n v="11502"/>
    <x v="0"/>
    <n v="13"/>
    <n v="285"/>
    <s v="Yes"/>
    <x v="0"/>
    <x v="2"/>
    <n v="1"/>
  </r>
  <r>
    <n v="12673"/>
    <x v="1"/>
    <n v="2"/>
    <n v="121"/>
    <s v="No"/>
    <x v="1"/>
    <x v="1"/>
    <n v="0"/>
  </r>
  <r>
    <n v="19179"/>
    <x v="0"/>
    <n v="12"/>
    <n v="217"/>
    <s v="No"/>
    <x v="0"/>
    <x v="1"/>
    <n v="0"/>
  </r>
  <r>
    <n v="10552"/>
    <x v="0"/>
    <n v="8"/>
    <n v="148"/>
    <s v="No"/>
    <x v="1"/>
    <x v="3"/>
    <n v="0"/>
  </r>
  <r>
    <n v="14238"/>
    <x v="1"/>
    <n v="8"/>
    <n v="45"/>
    <s v="No"/>
    <x v="1"/>
    <x v="2"/>
    <n v="0"/>
  </r>
  <r>
    <n v="15609"/>
    <x v="1"/>
    <n v="6"/>
    <n v="393"/>
    <s v="No"/>
    <x v="0"/>
    <x v="1"/>
    <n v="0"/>
  </r>
  <r>
    <n v="19235"/>
    <x v="1"/>
    <n v="4"/>
    <n v="128"/>
    <s v="No"/>
    <x v="0"/>
    <x v="3"/>
    <n v="0"/>
  </r>
  <r>
    <n v="19701"/>
    <x v="1"/>
    <n v="5"/>
    <n v="128"/>
    <s v="No"/>
    <x v="0"/>
    <x v="1"/>
    <n v="0"/>
  </r>
  <r>
    <n v="15342"/>
    <x v="1"/>
    <n v="9"/>
    <n v="291"/>
    <s v="No"/>
    <x v="1"/>
    <x v="0"/>
    <n v="0"/>
  </r>
  <r>
    <n v="17504"/>
    <x v="1"/>
    <n v="10"/>
    <n v="429"/>
    <s v="No"/>
    <x v="0"/>
    <x v="1"/>
    <n v="0"/>
  </r>
  <r>
    <n v="12906"/>
    <x v="0"/>
    <n v="6"/>
    <n v="69"/>
    <s v="No"/>
    <x v="1"/>
    <x v="3"/>
    <n v="0"/>
  </r>
  <r>
    <n v="14815"/>
    <x v="0"/>
    <n v="6"/>
    <n v="232"/>
    <s v="Yes"/>
    <x v="0"/>
    <x v="0"/>
    <n v="1"/>
  </r>
  <r>
    <n v="14539"/>
    <x v="1"/>
    <n v="14"/>
    <n v="158"/>
    <s v="Yes"/>
    <x v="0"/>
    <x v="0"/>
    <n v="1"/>
  </r>
  <r>
    <n v="15083"/>
    <x v="1"/>
    <n v="4"/>
    <n v="226"/>
    <s v="No"/>
    <x v="0"/>
    <x v="0"/>
    <n v="0"/>
  </r>
  <r>
    <n v="16821"/>
    <x v="0"/>
    <n v="13"/>
    <n v="88"/>
    <s v="No"/>
    <x v="0"/>
    <x v="2"/>
    <n v="0"/>
  </r>
  <r>
    <n v="10464"/>
    <x v="0"/>
    <n v="12"/>
    <n v="341"/>
    <s v="No"/>
    <x v="0"/>
    <x v="1"/>
    <n v="0"/>
  </r>
  <r>
    <n v="10818"/>
    <x v="0"/>
    <n v="8"/>
    <n v="338"/>
    <s v="No"/>
    <x v="1"/>
    <x v="0"/>
    <n v="0"/>
  </r>
  <r>
    <n v="16737"/>
    <x v="0"/>
    <n v="2"/>
    <n v="423"/>
    <s v="No"/>
    <x v="0"/>
    <x v="1"/>
    <n v="0"/>
  </r>
  <r>
    <n v="18262"/>
    <x v="1"/>
    <n v="11"/>
    <n v="234"/>
    <s v="No"/>
    <x v="1"/>
    <x v="1"/>
    <n v="0"/>
  </r>
  <r>
    <n v="14400"/>
    <x v="1"/>
    <n v="1"/>
    <n v="178"/>
    <s v="No"/>
    <x v="0"/>
    <x v="2"/>
    <n v="0"/>
  </r>
  <r>
    <n v="17703"/>
    <x v="0"/>
    <n v="6"/>
    <n v="106"/>
    <s v="No"/>
    <x v="1"/>
    <x v="2"/>
    <n v="0"/>
  </r>
  <r>
    <n v="13267"/>
    <x v="0"/>
    <n v="7"/>
    <n v="42"/>
    <s v="No"/>
    <x v="0"/>
    <x v="3"/>
    <n v="0"/>
  </r>
  <r>
    <n v="11140"/>
    <x v="1"/>
    <n v="12"/>
    <n v="186"/>
    <s v="No"/>
    <x v="0"/>
    <x v="2"/>
    <n v="0"/>
  </r>
  <r>
    <n v="10282"/>
    <x v="0"/>
    <n v="7"/>
    <n v="300"/>
    <s v="No"/>
    <x v="1"/>
    <x v="0"/>
    <n v="0"/>
  </r>
  <r>
    <n v="13836"/>
    <x v="1"/>
    <n v="9"/>
    <n v="435"/>
    <s v="No"/>
    <x v="0"/>
    <x v="1"/>
    <n v="0"/>
  </r>
  <r>
    <n v="10153"/>
    <x v="1"/>
    <n v="14"/>
    <n v="256"/>
    <s v="No"/>
    <x v="1"/>
    <x v="3"/>
    <n v="0"/>
  </r>
  <r>
    <n v="12868"/>
    <x v="0"/>
    <n v="2"/>
    <n v="243"/>
    <s v="No"/>
    <x v="0"/>
    <x v="2"/>
    <n v="0"/>
  </r>
  <r>
    <n v="11714"/>
    <x v="1"/>
    <n v="2"/>
    <n v="61"/>
    <s v="No"/>
    <x v="0"/>
    <x v="1"/>
    <n v="0"/>
  </r>
  <r>
    <n v="15517"/>
    <x v="0"/>
    <n v="11"/>
    <n v="366"/>
    <s v="Yes"/>
    <x v="0"/>
    <x v="2"/>
    <n v="1"/>
  </r>
  <r>
    <n v="16026"/>
    <x v="1"/>
    <n v="10"/>
    <n v="254"/>
    <s v="No"/>
    <x v="0"/>
    <x v="1"/>
    <n v="0"/>
  </r>
  <r>
    <n v="10884"/>
    <x v="1"/>
    <n v="6"/>
    <n v="92"/>
    <s v="No"/>
    <x v="0"/>
    <x v="0"/>
    <n v="0"/>
  </r>
  <r>
    <n v="14728"/>
    <x v="0"/>
    <n v="8"/>
    <n v="367"/>
    <s v="No"/>
    <x v="1"/>
    <x v="0"/>
    <n v="0"/>
  </r>
  <r>
    <n v="12151"/>
    <x v="1"/>
    <n v="11"/>
    <n v="423"/>
    <s v="No"/>
    <x v="1"/>
    <x v="1"/>
    <n v="0"/>
  </r>
  <r>
    <n v="19210"/>
    <x v="1"/>
    <n v="6"/>
    <n v="190"/>
    <s v="No"/>
    <x v="0"/>
    <x v="3"/>
    <n v="0"/>
  </r>
  <r>
    <n v="15244"/>
    <x v="1"/>
    <n v="9"/>
    <n v="137"/>
    <s v="No"/>
    <x v="1"/>
    <x v="0"/>
    <n v="0"/>
  </r>
  <r>
    <n v="11998"/>
    <x v="1"/>
    <n v="10"/>
    <n v="138"/>
    <s v="No"/>
    <x v="0"/>
    <x v="1"/>
    <n v="0"/>
  </r>
  <r>
    <n v="10237"/>
    <x v="0"/>
    <n v="13"/>
    <n v="421"/>
    <s v="Yes"/>
    <x v="1"/>
    <x v="3"/>
    <n v="1"/>
  </r>
  <r>
    <n v="16130"/>
    <x v="1"/>
    <n v="7"/>
    <n v="327"/>
    <s v="No"/>
    <x v="1"/>
    <x v="3"/>
    <n v="0"/>
  </r>
  <r>
    <n v="18027"/>
    <x v="0"/>
    <n v="10"/>
    <n v="155"/>
    <s v="No"/>
    <x v="1"/>
    <x v="1"/>
    <n v="0"/>
  </r>
  <r>
    <n v="18567"/>
    <x v="0"/>
    <n v="11"/>
    <n v="163"/>
    <s v="No"/>
    <x v="1"/>
    <x v="1"/>
    <n v="0"/>
  </r>
  <r>
    <n v="18353"/>
    <x v="1"/>
    <n v="2"/>
    <n v="407"/>
    <s v="No"/>
    <x v="0"/>
    <x v="0"/>
    <n v="0"/>
  </r>
  <r>
    <n v="17922"/>
    <x v="1"/>
    <n v="1"/>
    <n v="121"/>
    <s v="No"/>
    <x v="1"/>
    <x v="3"/>
    <n v="0"/>
  </r>
  <r>
    <n v="15280"/>
    <x v="0"/>
    <n v="9"/>
    <n v="197"/>
    <s v="No"/>
    <x v="0"/>
    <x v="1"/>
    <n v="0"/>
  </r>
  <r>
    <n v="15846"/>
    <x v="1"/>
    <n v="10"/>
    <n v="110"/>
    <s v="No"/>
    <x v="0"/>
    <x v="2"/>
    <n v="0"/>
  </r>
  <r>
    <n v="18735"/>
    <x v="0"/>
    <n v="3"/>
    <n v="166"/>
    <s v="No"/>
    <x v="0"/>
    <x v="3"/>
    <n v="0"/>
  </r>
  <r>
    <n v="14093"/>
    <x v="1"/>
    <n v="4"/>
    <n v="441"/>
    <s v="No"/>
    <x v="1"/>
    <x v="0"/>
    <n v="0"/>
  </r>
  <r>
    <n v="18146"/>
    <x v="0"/>
    <n v="12"/>
    <n v="152"/>
    <s v="Yes"/>
    <x v="0"/>
    <x v="3"/>
    <n v="1"/>
  </r>
  <r>
    <n v="18804"/>
    <x v="0"/>
    <n v="7"/>
    <n v="344"/>
    <s v="No"/>
    <x v="1"/>
    <x v="0"/>
    <n v="0"/>
  </r>
  <r>
    <n v="13093"/>
    <x v="0"/>
    <n v="6"/>
    <n v="431"/>
    <s v="No"/>
    <x v="1"/>
    <x v="0"/>
    <n v="0"/>
  </r>
  <r>
    <n v="13462"/>
    <x v="0"/>
    <n v="3"/>
    <n v="258"/>
    <s v="No"/>
    <x v="1"/>
    <x v="3"/>
    <n v="0"/>
  </r>
  <r>
    <n v="12756"/>
    <x v="0"/>
    <n v="4"/>
    <n v="94"/>
    <s v="No"/>
    <x v="1"/>
    <x v="2"/>
    <n v="0"/>
  </r>
  <r>
    <n v="19427"/>
    <x v="0"/>
    <n v="6"/>
    <n v="348"/>
    <s v="No"/>
    <x v="1"/>
    <x v="2"/>
    <n v="0"/>
  </r>
  <r>
    <n v="19156"/>
    <x v="0"/>
    <n v="12"/>
    <n v="218"/>
    <s v="No"/>
    <x v="1"/>
    <x v="1"/>
    <n v="0"/>
  </r>
  <r>
    <n v="10886"/>
    <x v="0"/>
    <n v="6"/>
    <n v="80"/>
    <s v="No"/>
    <x v="0"/>
    <x v="3"/>
    <n v="0"/>
  </r>
  <r>
    <n v="10946"/>
    <x v="0"/>
    <n v="13"/>
    <n v="367"/>
    <s v="No"/>
    <x v="1"/>
    <x v="2"/>
    <n v="0"/>
  </r>
  <r>
    <n v="18932"/>
    <x v="1"/>
    <n v="7"/>
    <n v="77"/>
    <s v="No"/>
    <x v="1"/>
    <x v="3"/>
    <n v="0"/>
  </r>
  <r>
    <n v="15482"/>
    <x v="1"/>
    <n v="8"/>
    <n v="136"/>
    <s v="No"/>
    <x v="0"/>
    <x v="1"/>
    <n v="0"/>
  </r>
  <r>
    <n v="13168"/>
    <x v="1"/>
    <n v="5"/>
    <n v="179"/>
    <s v="No"/>
    <x v="0"/>
    <x v="0"/>
    <n v="0"/>
  </r>
  <r>
    <n v="14759"/>
    <x v="0"/>
    <n v="7"/>
    <n v="56"/>
    <s v="No"/>
    <x v="1"/>
    <x v="0"/>
    <n v="0"/>
  </r>
  <r>
    <n v="14854"/>
    <x v="0"/>
    <n v="6"/>
    <n v="365"/>
    <s v="No"/>
    <x v="0"/>
    <x v="0"/>
    <n v="0"/>
  </r>
  <r>
    <n v="18644"/>
    <x v="1"/>
    <n v="9"/>
    <n v="63"/>
    <s v="No"/>
    <x v="0"/>
    <x v="3"/>
    <n v="0"/>
  </r>
  <r>
    <n v="12011"/>
    <x v="0"/>
    <n v="10"/>
    <n v="57"/>
    <s v="No"/>
    <x v="1"/>
    <x v="3"/>
    <n v="0"/>
  </r>
  <r>
    <n v="18519"/>
    <x v="1"/>
    <n v="3"/>
    <n v="91"/>
    <s v="Yes"/>
    <x v="0"/>
    <x v="2"/>
    <n v="1"/>
  </r>
  <r>
    <n v="17405"/>
    <x v="1"/>
    <n v="10"/>
    <n v="84"/>
    <s v="No"/>
    <x v="0"/>
    <x v="1"/>
    <n v="0"/>
  </r>
  <r>
    <n v="10650"/>
    <x v="0"/>
    <n v="1"/>
    <n v="166"/>
    <s v="No"/>
    <x v="1"/>
    <x v="2"/>
    <n v="0"/>
  </r>
  <r>
    <n v="19775"/>
    <x v="0"/>
    <n v="8"/>
    <n v="370"/>
    <s v="No"/>
    <x v="0"/>
    <x v="0"/>
    <n v="0"/>
  </r>
  <r>
    <n v="17427"/>
    <x v="0"/>
    <n v="4"/>
    <n v="64"/>
    <s v="No"/>
    <x v="0"/>
    <x v="0"/>
    <n v="0"/>
  </r>
  <r>
    <n v="12573"/>
    <x v="1"/>
    <n v="2"/>
    <n v="424"/>
    <s v="No"/>
    <x v="1"/>
    <x v="2"/>
    <n v="0"/>
  </r>
  <r>
    <n v="18970"/>
    <x v="0"/>
    <n v="12"/>
    <n v="381"/>
    <s v="No"/>
    <x v="0"/>
    <x v="1"/>
    <n v="0"/>
  </r>
  <r>
    <n v="14661"/>
    <x v="1"/>
    <n v="3"/>
    <n v="178"/>
    <s v="No"/>
    <x v="1"/>
    <x v="3"/>
    <n v="0"/>
  </r>
  <r>
    <n v="17566"/>
    <x v="1"/>
    <n v="6"/>
    <n v="388"/>
    <s v="No"/>
    <x v="1"/>
    <x v="2"/>
    <n v="0"/>
  </r>
  <r>
    <n v="14230"/>
    <x v="1"/>
    <n v="3"/>
    <n v="109"/>
    <s v="No"/>
    <x v="0"/>
    <x v="3"/>
    <n v="0"/>
  </r>
  <r>
    <n v="19419"/>
    <x v="0"/>
    <n v="2"/>
    <n v="442"/>
    <s v="No"/>
    <x v="0"/>
    <x v="0"/>
    <n v="0"/>
  </r>
  <r>
    <n v="10773"/>
    <x v="0"/>
    <n v="2"/>
    <n v="414"/>
    <s v="No"/>
    <x v="0"/>
    <x v="0"/>
    <n v="0"/>
  </r>
  <r>
    <n v="11225"/>
    <x v="0"/>
    <n v="2"/>
    <n v="82"/>
    <s v="Yes"/>
    <x v="0"/>
    <x v="2"/>
    <n v="1"/>
  </r>
  <r>
    <n v="12633"/>
    <x v="1"/>
    <n v="13"/>
    <n v="379"/>
    <s v="No"/>
    <x v="0"/>
    <x v="1"/>
    <n v="0"/>
  </r>
  <r>
    <n v="11903"/>
    <x v="0"/>
    <n v="4"/>
    <n v="202"/>
    <s v="Yes"/>
    <x v="1"/>
    <x v="3"/>
    <n v="1"/>
  </r>
  <r>
    <n v="12328"/>
    <x v="1"/>
    <n v="2"/>
    <n v="170"/>
    <s v="No"/>
    <x v="0"/>
    <x v="0"/>
    <n v="0"/>
  </r>
  <r>
    <n v="14879"/>
    <x v="0"/>
    <n v="12"/>
    <n v="329"/>
    <s v="No"/>
    <x v="1"/>
    <x v="3"/>
    <n v="0"/>
  </r>
  <r>
    <n v="10372"/>
    <x v="1"/>
    <n v="12"/>
    <n v="364"/>
    <s v="No"/>
    <x v="1"/>
    <x v="3"/>
    <n v="0"/>
  </r>
  <r>
    <n v="18671"/>
    <x v="1"/>
    <n v="2"/>
    <n v="116"/>
    <s v="No"/>
    <x v="1"/>
    <x v="0"/>
    <n v="0"/>
  </r>
  <r>
    <n v="16423"/>
    <x v="1"/>
    <n v="7"/>
    <n v="64"/>
    <s v="No"/>
    <x v="0"/>
    <x v="0"/>
    <n v="0"/>
  </r>
  <r>
    <n v="19973"/>
    <x v="1"/>
    <n v="11"/>
    <n v="358"/>
    <s v="No"/>
    <x v="1"/>
    <x v="3"/>
    <n v="0"/>
  </r>
  <r>
    <n v="16515"/>
    <x v="0"/>
    <n v="1"/>
    <n v="425"/>
    <s v="No"/>
    <x v="0"/>
    <x v="3"/>
    <n v="0"/>
  </r>
  <r>
    <n v="14188"/>
    <x v="1"/>
    <n v="9"/>
    <n v="312"/>
    <s v="No"/>
    <x v="0"/>
    <x v="1"/>
    <n v="0"/>
  </r>
  <r>
    <n v="18830"/>
    <x v="1"/>
    <n v="6"/>
    <n v="124"/>
    <s v="No"/>
    <x v="0"/>
    <x v="0"/>
    <n v="0"/>
  </r>
  <r>
    <n v="12288"/>
    <x v="1"/>
    <n v="13"/>
    <n v="414"/>
    <s v="No"/>
    <x v="1"/>
    <x v="0"/>
    <n v="0"/>
  </r>
  <r>
    <n v="12525"/>
    <x v="0"/>
    <n v="6"/>
    <n v="262"/>
    <s v="No"/>
    <x v="1"/>
    <x v="1"/>
    <n v="0"/>
  </r>
  <r>
    <n v="15900"/>
    <x v="1"/>
    <n v="5"/>
    <n v="327"/>
    <s v="No"/>
    <x v="1"/>
    <x v="0"/>
    <n v="0"/>
  </r>
  <r>
    <n v="13240"/>
    <x v="1"/>
    <n v="12"/>
    <n v="63"/>
    <s v="No"/>
    <x v="1"/>
    <x v="0"/>
    <n v="0"/>
  </r>
  <r>
    <n v="10048"/>
    <x v="1"/>
    <n v="4"/>
    <n v="343"/>
    <s v="No"/>
    <x v="1"/>
    <x v="1"/>
    <n v="0"/>
  </r>
  <r>
    <n v="19770"/>
    <x v="1"/>
    <n v="2"/>
    <n v="418"/>
    <s v="No"/>
    <x v="0"/>
    <x v="1"/>
    <n v="0"/>
  </r>
  <r>
    <n v="16807"/>
    <x v="1"/>
    <n v="12"/>
    <n v="309"/>
    <s v="No"/>
    <x v="0"/>
    <x v="1"/>
    <n v="0"/>
  </r>
  <r>
    <n v="10357"/>
    <x v="0"/>
    <n v="4"/>
    <n v="222"/>
    <s v="No"/>
    <x v="0"/>
    <x v="1"/>
    <n v="0"/>
  </r>
  <r>
    <n v="15288"/>
    <x v="0"/>
    <n v="7"/>
    <n v="83"/>
    <s v="No"/>
    <x v="1"/>
    <x v="1"/>
    <n v="0"/>
  </r>
  <r>
    <n v="15484"/>
    <x v="1"/>
    <n v="8"/>
    <n v="83"/>
    <s v="Yes"/>
    <x v="0"/>
    <x v="1"/>
    <n v="1"/>
  </r>
  <r>
    <n v="18056"/>
    <x v="0"/>
    <n v="13"/>
    <n v="420"/>
    <s v="No"/>
    <x v="0"/>
    <x v="1"/>
    <n v="0"/>
  </r>
  <r>
    <n v="16892"/>
    <x v="0"/>
    <n v="13"/>
    <n v="248"/>
    <s v="No"/>
    <x v="1"/>
    <x v="3"/>
    <n v="0"/>
  </r>
  <r>
    <n v="15182"/>
    <x v="0"/>
    <n v="4"/>
    <n v="83"/>
    <s v="No"/>
    <x v="1"/>
    <x v="0"/>
    <n v="0"/>
  </r>
  <r>
    <n v="17362"/>
    <x v="1"/>
    <n v="5"/>
    <n v="172"/>
    <s v="No"/>
    <x v="1"/>
    <x v="1"/>
    <n v="0"/>
  </r>
  <r>
    <n v="15105"/>
    <x v="0"/>
    <n v="1"/>
    <n v="335"/>
    <s v="No"/>
    <x v="0"/>
    <x v="3"/>
    <n v="0"/>
  </r>
  <r>
    <n v="18634"/>
    <x v="1"/>
    <n v="4"/>
    <n v="76"/>
    <s v="No"/>
    <x v="0"/>
    <x v="1"/>
    <n v="0"/>
  </r>
  <r>
    <n v="19537"/>
    <x v="1"/>
    <n v="3"/>
    <n v="231"/>
    <s v="No"/>
    <x v="1"/>
    <x v="2"/>
    <n v="0"/>
  </r>
  <r>
    <n v="18610"/>
    <x v="0"/>
    <n v="7"/>
    <n v="98"/>
    <s v="No"/>
    <x v="1"/>
    <x v="1"/>
    <n v="0"/>
  </r>
  <r>
    <n v="10452"/>
    <x v="1"/>
    <n v="14"/>
    <n v="165"/>
    <s v="No"/>
    <x v="0"/>
    <x v="0"/>
    <n v="0"/>
  </r>
  <r>
    <n v="19980"/>
    <x v="1"/>
    <n v="4"/>
    <n v="290"/>
    <s v="No"/>
    <x v="1"/>
    <x v="3"/>
    <n v="0"/>
  </r>
  <r>
    <n v="18799"/>
    <x v="0"/>
    <n v="12"/>
    <n v="238"/>
    <s v="No"/>
    <x v="1"/>
    <x v="0"/>
    <n v="0"/>
  </r>
  <r>
    <n v="17609"/>
    <x v="0"/>
    <n v="12"/>
    <n v="132"/>
    <s v="No"/>
    <x v="1"/>
    <x v="1"/>
    <n v="0"/>
  </r>
  <r>
    <n v="19683"/>
    <x v="1"/>
    <n v="12"/>
    <n v="75"/>
    <s v="No"/>
    <x v="0"/>
    <x v="0"/>
    <n v="0"/>
  </r>
  <r>
    <n v="10289"/>
    <x v="0"/>
    <n v="1"/>
    <n v="275"/>
    <s v="No"/>
    <x v="0"/>
    <x v="0"/>
    <n v="0"/>
  </r>
  <r>
    <n v="16978"/>
    <x v="0"/>
    <n v="6"/>
    <n v="264"/>
    <s v="No"/>
    <x v="1"/>
    <x v="3"/>
    <n v="0"/>
  </r>
  <r>
    <n v="10212"/>
    <x v="0"/>
    <n v="2"/>
    <n v="381"/>
    <s v="No"/>
    <x v="0"/>
    <x v="3"/>
    <n v="0"/>
  </r>
  <r>
    <n v="17578"/>
    <x v="0"/>
    <n v="12"/>
    <n v="408"/>
    <s v="Yes"/>
    <x v="1"/>
    <x v="2"/>
    <n v="1"/>
  </r>
  <r>
    <n v="19885"/>
    <x v="1"/>
    <n v="14"/>
    <n v="448"/>
    <s v="No"/>
    <x v="0"/>
    <x v="1"/>
    <n v="0"/>
  </r>
  <r>
    <n v="17633"/>
    <x v="0"/>
    <n v="5"/>
    <n v="55"/>
    <s v="No"/>
    <x v="1"/>
    <x v="2"/>
    <n v="0"/>
  </r>
  <r>
    <n v="10854"/>
    <x v="0"/>
    <n v="12"/>
    <n v="110"/>
    <s v="No"/>
    <x v="1"/>
    <x v="3"/>
    <n v="0"/>
  </r>
  <r>
    <n v="12629"/>
    <x v="1"/>
    <n v="4"/>
    <n v="95"/>
    <s v="No"/>
    <x v="1"/>
    <x v="2"/>
    <n v="0"/>
  </r>
  <r>
    <n v="10001"/>
    <x v="1"/>
    <n v="2"/>
    <n v="214"/>
    <s v="No"/>
    <x v="0"/>
    <x v="0"/>
    <n v="0"/>
  </r>
  <r>
    <n v="10502"/>
    <x v="1"/>
    <n v="1"/>
    <n v="187"/>
    <s v="No"/>
    <x v="1"/>
    <x v="0"/>
    <n v="0"/>
  </r>
  <r>
    <n v="15454"/>
    <x v="0"/>
    <n v="14"/>
    <n v="228"/>
    <s v="No"/>
    <x v="1"/>
    <x v="2"/>
    <n v="0"/>
  </r>
  <r>
    <n v="15793"/>
    <x v="0"/>
    <n v="9"/>
    <n v="375"/>
    <s v="No"/>
    <x v="1"/>
    <x v="3"/>
    <n v="0"/>
  </r>
  <r>
    <n v="13498"/>
    <x v="0"/>
    <n v="6"/>
    <n v="266"/>
    <s v="No"/>
    <x v="0"/>
    <x v="2"/>
    <n v="0"/>
  </r>
  <r>
    <n v="13247"/>
    <x v="0"/>
    <n v="2"/>
    <n v="147"/>
    <s v="No"/>
    <x v="1"/>
    <x v="2"/>
    <n v="0"/>
  </r>
  <r>
    <n v="11389"/>
    <x v="1"/>
    <n v="1"/>
    <n v="228"/>
    <s v="No"/>
    <x v="1"/>
    <x v="0"/>
    <n v="0"/>
  </r>
  <r>
    <n v="12451"/>
    <x v="0"/>
    <n v="14"/>
    <n v="188"/>
    <s v="No"/>
    <x v="1"/>
    <x v="1"/>
    <n v="0"/>
  </r>
  <r>
    <n v="19832"/>
    <x v="0"/>
    <n v="6"/>
    <n v="444"/>
    <s v="No"/>
    <x v="0"/>
    <x v="3"/>
    <n v="0"/>
  </r>
  <r>
    <n v="15109"/>
    <x v="0"/>
    <n v="11"/>
    <n v="67"/>
    <s v="No"/>
    <x v="0"/>
    <x v="0"/>
    <n v="0"/>
  </r>
  <r>
    <n v="16914"/>
    <x v="0"/>
    <n v="2"/>
    <n v="128"/>
    <s v="No"/>
    <x v="1"/>
    <x v="2"/>
    <n v="0"/>
  </r>
  <r>
    <n v="11833"/>
    <x v="0"/>
    <n v="5"/>
    <n v="187"/>
    <s v="No"/>
    <x v="1"/>
    <x v="0"/>
    <n v="0"/>
  </r>
  <r>
    <n v="19898"/>
    <x v="1"/>
    <n v="11"/>
    <n v="215"/>
    <s v="No"/>
    <x v="1"/>
    <x v="0"/>
    <n v="0"/>
  </r>
  <r>
    <n v="19073"/>
    <x v="0"/>
    <n v="8"/>
    <n v="314"/>
    <s v="Yes"/>
    <x v="1"/>
    <x v="1"/>
    <n v="1"/>
  </r>
  <r>
    <n v="15976"/>
    <x v="1"/>
    <n v="9"/>
    <n v="386"/>
    <s v="No"/>
    <x v="1"/>
    <x v="2"/>
    <n v="0"/>
  </r>
  <r>
    <n v="12467"/>
    <x v="1"/>
    <n v="10"/>
    <n v="434"/>
    <s v="No"/>
    <x v="0"/>
    <x v="0"/>
    <n v="0"/>
  </r>
  <r>
    <n v="18685"/>
    <x v="1"/>
    <n v="3"/>
    <n v="442"/>
    <s v="Yes"/>
    <x v="0"/>
    <x v="0"/>
    <n v="1"/>
  </r>
  <r>
    <n v="15901"/>
    <x v="0"/>
    <n v="10"/>
    <n v="96"/>
    <s v="Yes"/>
    <x v="0"/>
    <x v="2"/>
    <n v="1"/>
  </r>
  <r>
    <n v="15504"/>
    <x v="1"/>
    <n v="7"/>
    <n v="109"/>
    <s v="No"/>
    <x v="0"/>
    <x v="2"/>
    <n v="0"/>
  </r>
  <r>
    <n v="10207"/>
    <x v="1"/>
    <n v="9"/>
    <n v="365"/>
    <s v="No"/>
    <x v="1"/>
    <x v="3"/>
    <n v="0"/>
  </r>
  <r>
    <n v="17465"/>
    <x v="1"/>
    <n v="11"/>
    <n v="166"/>
    <s v="No"/>
    <x v="1"/>
    <x v="1"/>
    <n v="0"/>
  </r>
  <r>
    <n v="15488"/>
    <x v="1"/>
    <n v="12"/>
    <n v="378"/>
    <s v="No"/>
    <x v="1"/>
    <x v="0"/>
    <n v="0"/>
  </r>
  <r>
    <n v="11591"/>
    <x v="0"/>
    <n v="3"/>
    <n v="146"/>
    <s v="No"/>
    <x v="1"/>
    <x v="0"/>
    <n v="0"/>
  </r>
  <r>
    <n v="15086"/>
    <x v="1"/>
    <n v="12"/>
    <n v="236"/>
    <s v="No"/>
    <x v="0"/>
    <x v="1"/>
    <n v="0"/>
  </r>
  <r>
    <n v="10562"/>
    <x v="0"/>
    <n v="10"/>
    <n v="303"/>
    <s v="No"/>
    <x v="0"/>
    <x v="0"/>
    <n v="0"/>
  </r>
  <r>
    <n v="13220"/>
    <x v="0"/>
    <n v="7"/>
    <n v="308"/>
    <s v="No"/>
    <x v="1"/>
    <x v="0"/>
    <n v="0"/>
  </r>
  <r>
    <n v="13792"/>
    <x v="0"/>
    <n v="14"/>
    <n v="315"/>
    <s v="No"/>
    <x v="1"/>
    <x v="0"/>
    <n v="0"/>
  </r>
  <r>
    <n v="10197"/>
    <x v="1"/>
    <n v="14"/>
    <n v="300"/>
    <s v="No"/>
    <x v="1"/>
    <x v="2"/>
    <n v="0"/>
  </r>
  <r>
    <n v="13585"/>
    <x v="0"/>
    <n v="9"/>
    <n v="44"/>
    <s v="No"/>
    <x v="1"/>
    <x v="0"/>
    <n v="0"/>
  </r>
  <r>
    <n v="18884"/>
    <x v="1"/>
    <n v="7"/>
    <n v="333"/>
    <s v="No"/>
    <x v="1"/>
    <x v="1"/>
    <n v="0"/>
  </r>
  <r>
    <n v="18544"/>
    <x v="0"/>
    <n v="10"/>
    <n v="317"/>
    <s v="No"/>
    <x v="1"/>
    <x v="2"/>
    <n v="0"/>
  </r>
  <r>
    <n v="17301"/>
    <x v="1"/>
    <n v="1"/>
    <n v="379"/>
    <s v="No"/>
    <x v="1"/>
    <x v="2"/>
    <n v="0"/>
  </r>
  <r>
    <n v="10591"/>
    <x v="0"/>
    <n v="5"/>
    <n v="67"/>
    <s v="No"/>
    <x v="0"/>
    <x v="3"/>
    <n v="0"/>
  </r>
  <r>
    <n v="14314"/>
    <x v="1"/>
    <n v="11"/>
    <n v="105"/>
    <s v="No"/>
    <x v="1"/>
    <x v="1"/>
    <n v="0"/>
  </r>
  <r>
    <n v="17747"/>
    <x v="1"/>
    <n v="14"/>
    <n v="179"/>
    <s v="No"/>
    <x v="0"/>
    <x v="2"/>
    <n v="0"/>
  </r>
  <r>
    <n v="19336"/>
    <x v="1"/>
    <n v="12"/>
    <n v="225"/>
    <s v="No"/>
    <x v="0"/>
    <x v="1"/>
    <n v="0"/>
  </r>
  <r>
    <n v="17253"/>
    <x v="0"/>
    <n v="9"/>
    <n v="253"/>
    <s v="No"/>
    <x v="0"/>
    <x v="0"/>
    <n v="0"/>
  </r>
  <r>
    <n v="10254"/>
    <x v="1"/>
    <n v="9"/>
    <n v="181"/>
    <s v="No"/>
    <x v="0"/>
    <x v="1"/>
    <n v="0"/>
  </r>
  <r>
    <n v="13554"/>
    <x v="0"/>
    <n v="14"/>
    <n v="78"/>
    <s v="Yes"/>
    <x v="0"/>
    <x v="3"/>
    <n v="1"/>
  </r>
  <r>
    <n v="15655"/>
    <x v="1"/>
    <n v="10"/>
    <n v="262"/>
    <s v="No"/>
    <x v="0"/>
    <x v="3"/>
    <n v="0"/>
  </r>
  <r>
    <n v="18157"/>
    <x v="1"/>
    <n v="13"/>
    <n v="124"/>
    <s v="No"/>
    <x v="0"/>
    <x v="2"/>
    <n v="0"/>
  </r>
  <r>
    <n v="15691"/>
    <x v="1"/>
    <n v="2"/>
    <n v="222"/>
    <s v="No"/>
    <x v="1"/>
    <x v="3"/>
    <n v="0"/>
  </r>
  <r>
    <n v="16847"/>
    <x v="1"/>
    <n v="2"/>
    <n v="207"/>
    <s v="No"/>
    <x v="0"/>
    <x v="3"/>
    <n v="0"/>
  </r>
  <r>
    <n v="15106"/>
    <x v="0"/>
    <n v="13"/>
    <n v="135"/>
    <s v="No"/>
    <x v="0"/>
    <x v="0"/>
    <n v="0"/>
  </r>
  <r>
    <n v="13832"/>
    <x v="0"/>
    <n v="6"/>
    <n v="115"/>
    <s v="No"/>
    <x v="1"/>
    <x v="2"/>
    <n v="0"/>
  </r>
  <r>
    <n v="19544"/>
    <x v="0"/>
    <n v="11"/>
    <n v="147"/>
    <s v="Yes"/>
    <x v="0"/>
    <x v="0"/>
    <n v="1"/>
  </r>
  <r>
    <n v="13968"/>
    <x v="1"/>
    <n v="9"/>
    <n v="69"/>
    <s v="No"/>
    <x v="0"/>
    <x v="1"/>
    <n v="0"/>
  </r>
  <r>
    <n v="10947"/>
    <x v="0"/>
    <n v="5"/>
    <n v="302"/>
    <s v="No"/>
    <x v="1"/>
    <x v="3"/>
    <n v="0"/>
  </r>
  <r>
    <n v="18418"/>
    <x v="1"/>
    <n v="3"/>
    <n v="45"/>
    <s v="No"/>
    <x v="1"/>
    <x v="1"/>
    <n v="0"/>
  </r>
  <r>
    <n v="12164"/>
    <x v="0"/>
    <n v="4"/>
    <n v="285"/>
    <s v="No"/>
    <x v="1"/>
    <x v="2"/>
    <n v="0"/>
  </r>
  <r>
    <n v="11450"/>
    <x v="1"/>
    <n v="12"/>
    <n v="303"/>
    <s v="No"/>
    <x v="0"/>
    <x v="2"/>
    <n v="0"/>
  </r>
  <r>
    <n v="12050"/>
    <x v="1"/>
    <n v="3"/>
    <n v="93"/>
    <s v="No"/>
    <x v="1"/>
    <x v="0"/>
    <n v="0"/>
  </r>
  <r>
    <n v="19108"/>
    <x v="1"/>
    <n v="7"/>
    <n v="121"/>
    <s v="No"/>
    <x v="1"/>
    <x v="2"/>
    <n v="0"/>
  </r>
  <r>
    <n v="16051"/>
    <x v="1"/>
    <n v="7"/>
    <n v="134"/>
    <s v="No"/>
    <x v="0"/>
    <x v="1"/>
    <n v="0"/>
  </r>
  <r>
    <n v="15514"/>
    <x v="0"/>
    <n v="13"/>
    <n v="289"/>
    <s v="No"/>
    <x v="1"/>
    <x v="0"/>
    <n v="0"/>
  </r>
  <r>
    <n v="17424"/>
    <x v="0"/>
    <n v="8"/>
    <n v="88"/>
    <s v="No"/>
    <x v="0"/>
    <x v="2"/>
    <n v="0"/>
  </r>
  <r>
    <n v="15085"/>
    <x v="0"/>
    <n v="8"/>
    <n v="157"/>
    <s v="Yes"/>
    <x v="1"/>
    <x v="1"/>
    <n v="1"/>
  </r>
  <r>
    <n v="13983"/>
    <x v="1"/>
    <n v="1"/>
    <n v="396"/>
    <s v="No"/>
    <x v="0"/>
    <x v="1"/>
    <n v="0"/>
  </r>
  <r>
    <n v="11551"/>
    <x v="1"/>
    <n v="11"/>
    <n v="372"/>
    <s v="Yes"/>
    <x v="0"/>
    <x v="0"/>
    <n v="1"/>
  </r>
  <r>
    <n v="14512"/>
    <x v="1"/>
    <n v="2"/>
    <n v="401"/>
    <s v="No"/>
    <x v="1"/>
    <x v="0"/>
    <n v="0"/>
  </r>
  <r>
    <n v="16132"/>
    <x v="1"/>
    <n v="13"/>
    <n v="303"/>
    <s v="No"/>
    <x v="0"/>
    <x v="1"/>
    <n v="0"/>
  </r>
  <r>
    <n v="15633"/>
    <x v="1"/>
    <n v="4"/>
    <n v="319"/>
    <s v="No"/>
    <x v="0"/>
    <x v="3"/>
    <n v="0"/>
  </r>
  <r>
    <n v="11748"/>
    <x v="0"/>
    <n v="10"/>
    <n v="118"/>
    <s v="Yes"/>
    <x v="1"/>
    <x v="2"/>
    <n v="1"/>
  </r>
  <r>
    <n v="14734"/>
    <x v="1"/>
    <n v="10"/>
    <n v="103"/>
    <s v="No"/>
    <x v="1"/>
    <x v="0"/>
    <n v="0"/>
  </r>
  <r>
    <n v="17767"/>
    <x v="1"/>
    <n v="2"/>
    <n v="170"/>
    <s v="No"/>
    <x v="1"/>
    <x v="3"/>
    <n v="0"/>
  </r>
  <r>
    <n v="16603"/>
    <x v="1"/>
    <n v="11"/>
    <n v="176"/>
    <s v="No"/>
    <x v="1"/>
    <x v="1"/>
    <n v="0"/>
  </r>
  <r>
    <n v="15608"/>
    <x v="0"/>
    <n v="3"/>
    <n v="357"/>
    <s v="No"/>
    <x v="0"/>
    <x v="3"/>
    <n v="0"/>
  </r>
  <r>
    <n v="16263"/>
    <x v="1"/>
    <n v="2"/>
    <n v="307"/>
    <s v="No"/>
    <x v="0"/>
    <x v="1"/>
    <n v="0"/>
  </r>
  <r>
    <n v="15469"/>
    <x v="0"/>
    <n v="13"/>
    <n v="213"/>
    <s v="No"/>
    <x v="0"/>
    <x v="0"/>
    <n v="0"/>
  </r>
  <r>
    <n v="16961"/>
    <x v="1"/>
    <n v="6"/>
    <n v="89"/>
    <s v="No"/>
    <x v="1"/>
    <x v="1"/>
    <n v="0"/>
  </r>
  <r>
    <n v="16733"/>
    <x v="0"/>
    <n v="12"/>
    <n v="240"/>
    <s v="No"/>
    <x v="0"/>
    <x v="2"/>
    <n v="0"/>
  </r>
  <r>
    <n v="14267"/>
    <x v="1"/>
    <n v="9"/>
    <n v="292"/>
    <s v="Yes"/>
    <x v="0"/>
    <x v="3"/>
    <n v="1"/>
  </r>
  <r>
    <n v="15616"/>
    <x v="1"/>
    <n v="4"/>
    <n v="199"/>
    <s v="No"/>
    <x v="0"/>
    <x v="3"/>
    <n v="0"/>
  </r>
  <r>
    <n v="15262"/>
    <x v="1"/>
    <n v="2"/>
    <n v="368"/>
    <s v="No"/>
    <x v="1"/>
    <x v="1"/>
    <n v="0"/>
  </r>
  <r>
    <n v="10629"/>
    <x v="0"/>
    <n v="14"/>
    <n v="181"/>
    <s v="No"/>
    <x v="1"/>
    <x v="0"/>
    <n v="0"/>
  </r>
  <r>
    <n v="17370"/>
    <x v="0"/>
    <n v="5"/>
    <n v="47"/>
    <s v="No"/>
    <x v="1"/>
    <x v="0"/>
    <n v="0"/>
  </r>
  <r>
    <n v="14668"/>
    <x v="0"/>
    <n v="13"/>
    <n v="104"/>
    <s v="Yes"/>
    <x v="1"/>
    <x v="2"/>
    <n v="1"/>
  </r>
  <r>
    <n v="10560"/>
    <x v="0"/>
    <n v="3"/>
    <n v="78"/>
    <s v="Yes"/>
    <x v="0"/>
    <x v="1"/>
    <n v="1"/>
  </r>
  <r>
    <n v="12955"/>
    <x v="0"/>
    <n v="11"/>
    <n v="151"/>
    <s v="No"/>
    <x v="0"/>
    <x v="2"/>
    <n v="0"/>
  </r>
  <r>
    <n v="18434"/>
    <x v="0"/>
    <n v="3"/>
    <n v="164"/>
    <s v="No"/>
    <x v="1"/>
    <x v="1"/>
    <n v="0"/>
  </r>
  <r>
    <n v="12057"/>
    <x v="0"/>
    <n v="10"/>
    <n v="92"/>
    <s v="No"/>
    <x v="0"/>
    <x v="0"/>
    <n v="0"/>
  </r>
  <r>
    <n v="13353"/>
    <x v="1"/>
    <n v="7"/>
    <n v="251"/>
    <s v="No"/>
    <x v="1"/>
    <x v="3"/>
    <n v="0"/>
  </r>
  <r>
    <n v="13309"/>
    <x v="1"/>
    <n v="13"/>
    <n v="59"/>
    <s v="No"/>
    <x v="1"/>
    <x v="3"/>
    <n v="0"/>
  </r>
  <r>
    <n v="18164"/>
    <x v="1"/>
    <n v="11"/>
    <n v="305"/>
    <s v="No"/>
    <x v="0"/>
    <x v="0"/>
    <n v="0"/>
  </r>
  <r>
    <n v="12795"/>
    <x v="0"/>
    <n v="14"/>
    <n v="130"/>
    <s v="No"/>
    <x v="1"/>
    <x v="3"/>
    <n v="0"/>
  </r>
  <r>
    <n v="10676"/>
    <x v="1"/>
    <n v="13"/>
    <n v="414"/>
    <s v="Yes"/>
    <x v="1"/>
    <x v="3"/>
    <n v="1"/>
  </r>
  <r>
    <n v="19637"/>
    <x v="0"/>
    <n v="13"/>
    <n v="422"/>
    <s v="No"/>
    <x v="1"/>
    <x v="3"/>
    <n v="0"/>
  </r>
  <r>
    <n v="19480"/>
    <x v="0"/>
    <n v="9"/>
    <n v="143"/>
    <s v="No"/>
    <x v="1"/>
    <x v="1"/>
    <n v="0"/>
  </r>
  <r>
    <n v="16281"/>
    <x v="1"/>
    <n v="4"/>
    <n v="236"/>
    <s v="No"/>
    <x v="1"/>
    <x v="3"/>
    <n v="0"/>
  </r>
  <r>
    <n v="10249"/>
    <x v="0"/>
    <n v="9"/>
    <n v="139"/>
    <s v="No"/>
    <x v="0"/>
    <x v="3"/>
    <n v="0"/>
  </r>
  <r>
    <n v="12571"/>
    <x v="0"/>
    <n v="9"/>
    <n v="345"/>
    <s v="No"/>
    <x v="0"/>
    <x v="3"/>
    <n v="0"/>
  </r>
  <r>
    <n v="15631"/>
    <x v="1"/>
    <n v="5"/>
    <n v="120"/>
    <s v="No"/>
    <x v="1"/>
    <x v="0"/>
    <n v="0"/>
  </r>
  <r>
    <n v="14704"/>
    <x v="1"/>
    <n v="11"/>
    <n v="437"/>
    <s v="No"/>
    <x v="0"/>
    <x v="1"/>
    <n v="0"/>
  </r>
  <r>
    <n v="14771"/>
    <x v="1"/>
    <n v="6"/>
    <n v="70"/>
    <s v="No"/>
    <x v="1"/>
    <x v="0"/>
    <n v="0"/>
  </r>
  <r>
    <n v="12417"/>
    <x v="0"/>
    <n v="14"/>
    <n v="122"/>
    <s v="No"/>
    <x v="0"/>
    <x v="2"/>
    <n v="0"/>
  </r>
  <r>
    <n v="17632"/>
    <x v="1"/>
    <n v="11"/>
    <n v="114"/>
    <s v="No"/>
    <x v="1"/>
    <x v="1"/>
    <n v="0"/>
  </r>
  <r>
    <n v="17324"/>
    <x v="0"/>
    <n v="12"/>
    <n v="187"/>
    <s v="No"/>
    <x v="1"/>
    <x v="3"/>
    <n v="0"/>
  </r>
  <r>
    <n v="19046"/>
    <x v="1"/>
    <n v="7"/>
    <n v="72"/>
    <s v="No"/>
    <x v="0"/>
    <x v="3"/>
    <n v="0"/>
  </r>
  <r>
    <n v="11243"/>
    <x v="1"/>
    <n v="12"/>
    <n v="352"/>
    <s v="No"/>
    <x v="1"/>
    <x v="1"/>
    <n v="0"/>
  </r>
  <r>
    <n v="15802"/>
    <x v="0"/>
    <n v="5"/>
    <n v="156"/>
    <s v="No"/>
    <x v="1"/>
    <x v="1"/>
    <n v="0"/>
  </r>
  <r>
    <n v="15339"/>
    <x v="1"/>
    <n v="7"/>
    <n v="433"/>
    <s v="No"/>
    <x v="0"/>
    <x v="1"/>
    <n v="0"/>
  </r>
  <r>
    <n v="11597"/>
    <x v="0"/>
    <n v="7"/>
    <n v="156"/>
    <s v="Yes"/>
    <x v="1"/>
    <x v="3"/>
    <n v="1"/>
  </r>
  <r>
    <n v="16122"/>
    <x v="1"/>
    <n v="3"/>
    <n v="40"/>
    <s v="No"/>
    <x v="1"/>
    <x v="2"/>
    <n v="0"/>
  </r>
  <r>
    <n v="19585"/>
    <x v="0"/>
    <n v="13"/>
    <n v="354"/>
    <s v="No"/>
    <x v="0"/>
    <x v="2"/>
    <n v="0"/>
  </r>
  <r>
    <n v="14531"/>
    <x v="0"/>
    <n v="3"/>
    <n v="234"/>
    <s v="No"/>
    <x v="0"/>
    <x v="3"/>
    <n v="0"/>
  </r>
  <r>
    <n v="10262"/>
    <x v="0"/>
    <n v="5"/>
    <n v="337"/>
    <s v="No"/>
    <x v="0"/>
    <x v="3"/>
    <n v="0"/>
  </r>
  <r>
    <n v="17214"/>
    <x v="1"/>
    <n v="1"/>
    <n v="55"/>
    <s v="No"/>
    <x v="0"/>
    <x v="0"/>
    <n v="0"/>
  </r>
  <r>
    <n v="12459"/>
    <x v="0"/>
    <n v="2"/>
    <n v="323"/>
    <s v="No"/>
    <x v="0"/>
    <x v="0"/>
    <n v="0"/>
  </r>
  <r>
    <n v="10647"/>
    <x v="1"/>
    <n v="6"/>
    <n v="246"/>
    <s v="No"/>
    <x v="0"/>
    <x v="0"/>
    <n v="0"/>
  </r>
  <r>
    <n v="16803"/>
    <x v="0"/>
    <n v="13"/>
    <n v="217"/>
    <s v="Yes"/>
    <x v="1"/>
    <x v="2"/>
    <n v="1"/>
  </r>
  <r>
    <n v="17051"/>
    <x v="1"/>
    <n v="11"/>
    <n v="50"/>
    <s v="No"/>
    <x v="0"/>
    <x v="1"/>
    <n v="0"/>
  </r>
  <r>
    <n v="18258"/>
    <x v="1"/>
    <n v="1"/>
    <n v="288"/>
    <s v="No"/>
    <x v="1"/>
    <x v="0"/>
    <n v="0"/>
  </r>
  <r>
    <n v="15805"/>
    <x v="1"/>
    <n v="3"/>
    <n v="173"/>
    <s v="No"/>
    <x v="1"/>
    <x v="1"/>
    <n v="0"/>
  </r>
  <r>
    <n v="12867"/>
    <x v="1"/>
    <n v="12"/>
    <n v="195"/>
    <s v="No"/>
    <x v="0"/>
    <x v="2"/>
    <n v="0"/>
  </r>
  <r>
    <n v="15131"/>
    <x v="1"/>
    <n v="6"/>
    <n v="119"/>
    <s v="No"/>
    <x v="0"/>
    <x v="0"/>
    <n v="0"/>
  </r>
  <r>
    <n v="16612"/>
    <x v="0"/>
    <n v="10"/>
    <n v="447"/>
    <s v="No"/>
    <x v="0"/>
    <x v="2"/>
    <n v="0"/>
  </r>
  <r>
    <n v="14937"/>
    <x v="0"/>
    <n v="9"/>
    <n v="59"/>
    <s v="No"/>
    <x v="1"/>
    <x v="2"/>
    <n v="0"/>
  </r>
  <r>
    <n v="15034"/>
    <x v="1"/>
    <n v="2"/>
    <n v="369"/>
    <s v="No"/>
    <x v="1"/>
    <x v="2"/>
    <n v="0"/>
  </r>
  <r>
    <n v="15107"/>
    <x v="1"/>
    <n v="3"/>
    <n v="166"/>
    <s v="No"/>
    <x v="0"/>
    <x v="2"/>
    <n v="0"/>
  </r>
  <r>
    <n v="18293"/>
    <x v="0"/>
    <n v="1"/>
    <n v="52"/>
    <s v="No"/>
    <x v="0"/>
    <x v="1"/>
    <n v="0"/>
  </r>
  <r>
    <n v="17062"/>
    <x v="0"/>
    <n v="6"/>
    <n v="85"/>
    <s v="Yes"/>
    <x v="0"/>
    <x v="2"/>
    <n v="1"/>
  </r>
  <r>
    <n v="10752"/>
    <x v="1"/>
    <n v="9"/>
    <n v="111"/>
    <s v="No"/>
    <x v="0"/>
    <x v="1"/>
    <n v="0"/>
  </r>
  <r>
    <n v="18456"/>
    <x v="1"/>
    <n v="5"/>
    <n v="303"/>
    <s v="Yes"/>
    <x v="1"/>
    <x v="3"/>
    <n v="1"/>
  </r>
  <r>
    <n v="11392"/>
    <x v="0"/>
    <n v="14"/>
    <n v="360"/>
    <s v="No"/>
    <x v="1"/>
    <x v="1"/>
    <n v="0"/>
  </r>
  <r>
    <n v="13139"/>
    <x v="1"/>
    <n v="10"/>
    <n v="185"/>
    <s v="No"/>
    <x v="1"/>
    <x v="1"/>
    <n v="0"/>
  </r>
  <r>
    <n v="16552"/>
    <x v="1"/>
    <n v="2"/>
    <n v="374"/>
    <s v="No"/>
    <x v="0"/>
    <x v="2"/>
    <n v="0"/>
  </r>
  <r>
    <n v="10316"/>
    <x v="0"/>
    <n v="11"/>
    <n v="156"/>
    <s v="No"/>
    <x v="0"/>
    <x v="2"/>
    <n v="0"/>
  </r>
  <r>
    <n v="13618"/>
    <x v="1"/>
    <n v="10"/>
    <n v="179"/>
    <s v="No"/>
    <x v="1"/>
    <x v="3"/>
    <n v="0"/>
  </r>
  <r>
    <n v="19813"/>
    <x v="1"/>
    <n v="3"/>
    <n v="328"/>
    <s v="No"/>
    <x v="0"/>
    <x v="3"/>
    <n v="0"/>
  </r>
  <r>
    <n v="16860"/>
    <x v="0"/>
    <n v="8"/>
    <n v="279"/>
    <s v="No"/>
    <x v="0"/>
    <x v="1"/>
    <n v="0"/>
  </r>
  <r>
    <n v="18693"/>
    <x v="0"/>
    <n v="6"/>
    <n v="277"/>
    <s v="No"/>
    <x v="0"/>
    <x v="1"/>
    <n v="0"/>
  </r>
  <r>
    <n v="11108"/>
    <x v="1"/>
    <n v="6"/>
    <n v="405"/>
    <s v="No"/>
    <x v="1"/>
    <x v="0"/>
    <n v="0"/>
  </r>
  <r>
    <n v="12003"/>
    <x v="0"/>
    <n v="4"/>
    <n v="78"/>
    <s v="Yes"/>
    <x v="0"/>
    <x v="1"/>
    <n v="1"/>
  </r>
  <r>
    <n v="19403"/>
    <x v="1"/>
    <n v="12"/>
    <n v="447"/>
    <s v="No"/>
    <x v="1"/>
    <x v="3"/>
    <n v="0"/>
  </r>
  <r>
    <n v="12103"/>
    <x v="1"/>
    <n v="11"/>
    <n v="137"/>
    <s v="No"/>
    <x v="0"/>
    <x v="1"/>
    <n v="0"/>
  </r>
  <r>
    <n v="17049"/>
    <x v="0"/>
    <n v="2"/>
    <n v="71"/>
    <s v="No"/>
    <x v="0"/>
    <x v="0"/>
    <n v="0"/>
  </r>
  <r>
    <n v="17452"/>
    <x v="1"/>
    <n v="14"/>
    <n v="225"/>
    <s v="No"/>
    <x v="0"/>
    <x v="0"/>
    <n v="0"/>
  </r>
  <r>
    <n v="17755"/>
    <x v="0"/>
    <n v="14"/>
    <n v="318"/>
    <s v="No"/>
    <x v="0"/>
    <x v="2"/>
    <n v="0"/>
  </r>
  <r>
    <n v="11663"/>
    <x v="1"/>
    <n v="7"/>
    <n v="137"/>
    <s v="No"/>
    <x v="1"/>
    <x v="0"/>
    <n v="0"/>
  </r>
  <r>
    <n v="13949"/>
    <x v="0"/>
    <n v="2"/>
    <n v="258"/>
    <s v="No"/>
    <x v="1"/>
    <x v="3"/>
    <n v="0"/>
  </r>
  <r>
    <n v="10177"/>
    <x v="0"/>
    <n v="2"/>
    <n v="359"/>
    <s v="No"/>
    <x v="1"/>
    <x v="0"/>
    <n v="0"/>
  </r>
  <r>
    <n v="14455"/>
    <x v="1"/>
    <n v="13"/>
    <n v="266"/>
    <s v="No"/>
    <x v="0"/>
    <x v="1"/>
    <n v="0"/>
  </r>
  <r>
    <n v="11217"/>
    <x v="0"/>
    <n v="9"/>
    <n v="289"/>
    <s v="No"/>
    <x v="1"/>
    <x v="1"/>
    <n v="0"/>
  </r>
  <r>
    <n v="17485"/>
    <x v="1"/>
    <n v="2"/>
    <n v="100"/>
    <s v="No"/>
    <x v="1"/>
    <x v="0"/>
    <n v="0"/>
  </r>
  <r>
    <n v="15356"/>
    <x v="1"/>
    <n v="14"/>
    <n v="197"/>
    <s v="No"/>
    <x v="1"/>
    <x v="2"/>
    <n v="0"/>
  </r>
  <r>
    <n v="12804"/>
    <x v="0"/>
    <n v="3"/>
    <n v="428"/>
    <s v="No"/>
    <x v="1"/>
    <x v="2"/>
    <n v="0"/>
  </r>
  <r>
    <n v="14041"/>
    <x v="0"/>
    <n v="5"/>
    <n v="404"/>
    <s v="Yes"/>
    <x v="1"/>
    <x v="3"/>
    <n v="1"/>
  </r>
  <r>
    <n v="15256"/>
    <x v="0"/>
    <n v="9"/>
    <n v="234"/>
    <s v="No"/>
    <x v="1"/>
    <x v="3"/>
    <n v="0"/>
  </r>
  <r>
    <n v="19393"/>
    <x v="1"/>
    <n v="5"/>
    <n v="142"/>
    <s v="No"/>
    <x v="0"/>
    <x v="2"/>
    <n v="0"/>
  </r>
  <r>
    <n v="10073"/>
    <x v="1"/>
    <n v="10"/>
    <n v="85"/>
    <s v="No"/>
    <x v="0"/>
    <x v="1"/>
    <n v="0"/>
  </r>
  <r>
    <n v="15964"/>
    <x v="0"/>
    <n v="6"/>
    <n v="298"/>
    <s v="No"/>
    <x v="1"/>
    <x v="0"/>
    <n v="0"/>
  </r>
  <r>
    <n v="14110"/>
    <x v="0"/>
    <n v="2"/>
    <n v="110"/>
    <s v="Yes"/>
    <x v="0"/>
    <x v="2"/>
    <n v="1"/>
  </r>
  <r>
    <n v="15877"/>
    <x v="0"/>
    <n v="5"/>
    <n v="198"/>
    <s v="Yes"/>
    <x v="1"/>
    <x v="1"/>
    <n v="1"/>
  </r>
  <r>
    <n v="10865"/>
    <x v="1"/>
    <n v="11"/>
    <n v="378"/>
    <s v="No"/>
    <x v="1"/>
    <x v="0"/>
    <n v="0"/>
  </r>
  <r>
    <n v="11594"/>
    <x v="0"/>
    <n v="8"/>
    <n v="47"/>
    <s v="No"/>
    <x v="1"/>
    <x v="0"/>
    <n v="0"/>
  </r>
  <r>
    <n v="10453"/>
    <x v="1"/>
    <n v="4"/>
    <n v="170"/>
    <s v="No"/>
    <x v="0"/>
    <x v="2"/>
    <n v="0"/>
  </r>
  <r>
    <n v="15897"/>
    <x v="0"/>
    <n v="10"/>
    <n v="239"/>
    <s v="No"/>
    <x v="1"/>
    <x v="3"/>
    <n v="0"/>
  </r>
  <r>
    <n v="12200"/>
    <x v="0"/>
    <n v="8"/>
    <n v="411"/>
    <s v="Yes"/>
    <x v="1"/>
    <x v="3"/>
    <n v="1"/>
  </r>
  <r>
    <n v="19626"/>
    <x v="0"/>
    <n v="5"/>
    <n v="274"/>
    <s v="No"/>
    <x v="1"/>
    <x v="1"/>
    <n v="0"/>
  </r>
  <r>
    <n v="13758"/>
    <x v="1"/>
    <n v="12"/>
    <n v="81"/>
    <s v="No"/>
    <x v="1"/>
    <x v="1"/>
    <n v="0"/>
  </r>
  <r>
    <n v="14106"/>
    <x v="0"/>
    <n v="4"/>
    <n v="218"/>
    <s v="Yes"/>
    <x v="0"/>
    <x v="3"/>
    <n v="1"/>
  </r>
  <r>
    <n v="12720"/>
    <x v="1"/>
    <n v="13"/>
    <n v="243"/>
    <s v="No"/>
    <x v="1"/>
    <x v="1"/>
    <n v="0"/>
  </r>
  <r>
    <n v="18368"/>
    <x v="0"/>
    <n v="10"/>
    <n v="399"/>
    <s v="No"/>
    <x v="0"/>
    <x v="1"/>
    <n v="0"/>
  </r>
  <r>
    <n v="10266"/>
    <x v="1"/>
    <n v="7"/>
    <n v="346"/>
    <s v="No"/>
    <x v="0"/>
    <x v="0"/>
    <n v="0"/>
  </r>
  <r>
    <n v="13510"/>
    <x v="1"/>
    <n v="14"/>
    <n v="162"/>
    <s v="No"/>
    <x v="0"/>
    <x v="3"/>
    <n v="0"/>
  </r>
  <r>
    <n v="12040"/>
    <x v="0"/>
    <n v="12"/>
    <n v="101"/>
    <s v="No"/>
    <x v="1"/>
    <x v="0"/>
    <n v="0"/>
  </r>
  <r>
    <n v="10122"/>
    <x v="1"/>
    <n v="10"/>
    <n v="61"/>
    <s v="No"/>
    <x v="0"/>
    <x v="3"/>
    <n v="0"/>
  </r>
  <r>
    <n v="10090"/>
    <x v="0"/>
    <n v="9"/>
    <n v="401"/>
    <s v="No"/>
    <x v="1"/>
    <x v="1"/>
    <n v="0"/>
  </r>
  <r>
    <n v="13344"/>
    <x v="0"/>
    <n v="6"/>
    <n v="351"/>
    <s v="No"/>
    <x v="0"/>
    <x v="2"/>
    <n v="0"/>
  </r>
  <r>
    <n v="11577"/>
    <x v="1"/>
    <n v="1"/>
    <n v="114"/>
    <s v="No"/>
    <x v="0"/>
    <x v="1"/>
    <n v="0"/>
  </r>
  <r>
    <n v="14924"/>
    <x v="1"/>
    <n v="2"/>
    <n v="47"/>
    <s v="No"/>
    <x v="0"/>
    <x v="3"/>
    <n v="0"/>
  </r>
  <r>
    <n v="19808"/>
    <x v="0"/>
    <n v="4"/>
    <n v="317"/>
    <s v="No"/>
    <x v="0"/>
    <x v="3"/>
    <n v="0"/>
  </r>
  <r>
    <n v="18102"/>
    <x v="1"/>
    <n v="9"/>
    <n v="365"/>
    <s v="No"/>
    <x v="1"/>
    <x v="0"/>
    <n v="0"/>
  </r>
  <r>
    <n v="16849"/>
    <x v="1"/>
    <n v="5"/>
    <n v="61"/>
    <s v="No"/>
    <x v="0"/>
    <x v="2"/>
    <n v="0"/>
  </r>
  <r>
    <n v="19175"/>
    <x v="1"/>
    <n v="6"/>
    <n v="261"/>
    <s v="Yes"/>
    <x v="0"/>
    <x v="2"/>
    <n v="1"/>
  </r>
  <r>
    <n v="11476"/>
    <x v="0"/>
    <n v="10"/>
    <n v="293"/>
    <s v="No"/>
    <x v="1"/>
    <x v="0"/>
    <n v="0"/>
  </r>
  <r>
    <n v="16666"/>
    <x v="1"/>
    <n v="4"/>
    <n v="410"/>
    <s v="No"/>
    <x v="1"/>
    <x v="3"/>
    <n v="0"/>
  </r>
  <r>
    <n v="11472"/>
    <x v="1"/>
    <n v="9"/>
    <n v="63"/>
    <s v="No"/>
    <x v="1"/>
    <x v="2"/>
    <n v="0"/>
  </r>
  <r>
    <n v="12123"/>
    <x v="1"/>
    <n v="8"/>
    <n v="434"/>
    <s v="No"/>
    <x v="1"/>
    <x v="0"/>
    <n v="0"/>
  </r>
  <r>
    <n v="18910"/>
    <x v="0"/>
    <n v="1"/>
    <n v="156"/>
    <s v="No"/>
    <x v="1"/>
    <x v="2"/>
    <n v="0"/>
  </r>
  <r>
    <n v="10583"/>
    <x v="0"/>
    <n v="6"/>
    <n v="394"/>
    <s v="No"/>
    <x v="0"/>
    <x v="3"/>
    <n v="0"/>
  </r>
  <r>
    <n v="16217"/>
    <x v="0"/>
    <n v="13"/>
    <n v="61"/>
    <s v="No"/>
    <x v="1"/>
    <x v="0"/>
    <n v="0"/>
  </r>
  <r>
    <n v="19368"/>
    <x v="1"/>
    <n v="12"/>
    <n v="167"/>
    <s v="No"/>
    <x v="1"/>
    <x v="1"/>
    <n v="0"/>
  </r>
  <r>
    <n v="17645"/>
    <x v="1"/>
    <n v="3"/>
    <n v="199"/>
    <s v="No"/>
    <x v="1"/>
    <x v="3"/>
    <n v="0"/>
  </r>
  <r>
    <n v="17564"/>
    <x v="1"/>
    <n v="1"/>
    <n v="311"/>
    <s v="No"/>
    <x v="1"/>
    <x v="2"/>
    <n v="0"/>
  </r>
  <r>
    <n v="16544"/>
    <x v="0"/>
    <n v="12"/>
    <n v="275"/>
    <s v="No"/>
    <x v="0"/>
    <x v="3"/>
    <n v="0"/>
  </r>
  <r>
    <n v="16837"/>
    <x v="0"/>
    <n v="6"/>
    <n v="389"/>
    <s v="No"/>
    <x v="1"/>
    <x v="0"/>
    <n v="0"/>
  </r>
  <r>
    <n v="11888"/>
    <x v="0"/>
    <n v="3"/>
    <n v="287"/>
    <s v="Yes"/>
    <x v="1"/>
    <x v="1"/>
    <n v="1"/>
  </r>
  <r>
    <n v="18004"/>
    <x v="0"/>
    <n v="1"/>
    <n v="431"/>
    <s v="No"/>
    <x v="0"/>
    <x v="3"/>
    <n v="0"/>
  </r>
  <r>
    <n v="19624"/>
    <x v="0"/>
    <n v="8"/>
    <n v="185"/>
    <s v="No"/>
    <x v="0"/>
    <x v="1"/>
    <n v="0"/>
  </r>
  <r>
    <n v="17322"/>
    <x v="0"/>
    <n v="6"/>
    <n v="155"/>
    <s v="No"/>
    <x v="0"/>
    <x v="1"/>
    <n v="0"/>
  </r>
  <r>
    <n v="10314"/>
    <x v="0"/>
    <n v="3"/>
    <n v="348"/>
    <s v="No"/>
    <x v="0"/>
    <x v="2"/>
    <n v="0"/>
  </r>
  <r>
    <n v="17016"/>
    <x v="0"/>
    <n v="2"/>
    <n v="340"/>
    <s v="No"/>
    <x v="1"/>
    <x v="3"/>
    <n v="0"/>
  </r>
  <r>
    <n v="14541"/>
    <x v="0"/>
    <n v="11"/>
    <n v="336"/>
    <s v="No"/>
    <x v="1"/>
    <x v="0"/>
    <n v="0"/>
  </r>
  <r>
    <n v="16935"/>
    <x v="1"/>
    <n v="3"/>
    <n v="368"/>
    <s v="No"/>
    <x v="1"/>
    <x v="2"/>
    <n v="0"/>
  </r>
  <r>
    <n v="12526"/>
    <x v="1"/>
    <n v="5"/>
    <n v="310"/>
    <s v="No"/>
    <x v="1"/>
    <x v="3"/>
    <n v="0"/>
  </r>
  <r>
    <n v="17025"/>
    <x v="1"/>
    <n v="14"/>
    <n v="356"/>
    <s v="No"/>
    <x v="1"/>
    <x v="3"/>
    <n v="0"/>
  </r>
  <r>
    <n v="12472"/>
    <x v="0"/>
    <n v="5"/>
    <n v="306"/>
    <s v="No"/>
    <x v="0"/>
    <x v="0"/>
    <n v="0"/>
  </r>
  <r>
    <n v="16005"/>
    <x v="1"/>
    <n v="4"/>
    <n v="198"/>
    <s v="No"/>
    <x v="1"/>
    <x v="1"/>
    <n v="0"/>
  </r>
  <r>
    <n v="18987"/>
    <x v="0"/>
    <n v="11"/>
    <n v="248"/>
    <s v="Yes"/>
    <x v="0"/>
    <x v="3"/>
    <n v="1"/>
  </r>
  <r>
    <n v="16773"/>
    <x v="0"/>
    <n v="6"/>
    <n v="215"/>
    <s v="No"/>
    <x v="0"/>
    <x v="1"/>
    <n v="0"/>
  </r>
  <r>
    <n v="13865"/>
    <x v="1"/>
    <n v="7"/>
    <n v="400"/>
    <s v="No"/>
    <x v="0"/>
    <x v="0"/>
    <n v="0"/>
  </r>
  <r>
    <n v="12669"/>
    <x v="0"/>
    <n v="13"/>
    <n v="291"/>
    <s v="No"/>
    <x v="0"/>
    <x v="0"/>
    <n v="0"/>
  </r>
  <r>
    <n v="17159"/>
    <x v="0"/>
    <n v="10"/>
    <n v="66"/>
    <s v="No"/>
    <x v="0"/>
    <x v="3"/>
    <n v="0"/>
  </r>
  <r>
    <n v="15000"/>
    <x v="0"/>
    <n v="11"/>
    <n v="227"/>
    <s v="No"/>
    <x v="0"/>
    <x v="2"/>
    <n v="0"/>
  </r>
  <r>
    <n v="11379"/>
    <x v="0"/>
    <n v="11"/>
    <n v="333"/>
    <s v="No"/>
    <x v="1"/>
    <x v="2"/>
    <n v="0"/>
  </r>
  <r>
    <n v="14286"/>
    <x v="0"/>
    <n v="1"/>
    <n v="223"/>
    <s v="Yes"/>
    <x v="0"/>
    <x v="0"/>
    <n v="1"/>
  </r>
  <r>
    <n v="18174"/>
    <x v="0"/>
    <n v="7"/>
    <n v="355"/>
    <s v="No"/>
    <x v="0"/>
    <x v="1"/>
    <n v="0"/>
  </r>
  <r>
    <n v="13380"/>
    <x v="0"/>
    <n v="5"/>
    <n v="191"/>
    <s v="No"/>
    <x v="1"/>
    <x v="1"/>
    <n v="0"/>
  </r>
  <r>
    <n v="16439"/>
    <x v="0"/>
    <n v="12"/>
    <n v="164"/>
    <s v="No"/>
    <x v="0"/>
    <x v="2"/>
    <n v="0"/>
  </r>
  <r>
    <n v="18226"/>
    <x v="0"/>
    <n v="2"/>
    <n v="388"/>
    <s v="No"/>
    <x v="0"/>
    <x v="1"/>
    <n v="0"/>
  </r>
  <r>
    <n v="16542"/>
    <x v="0"/>
    <n v="12"/>
    <n v="392"/>
    <s v="No"/>
    <x v="1"/>
    <x v="2"/>
    <n v="0"/>
  </r>
  <r>
    <n v="17856"/>
    <x v="0"/>
    <n v="13"/>
    <n v="309"/>
    <s v="No"/>
    <x v="1"/>
    <x v="1"/>
    <n v="0"/>
  </r>
  <r>
    <n v="19132"/>
    <x v="1"/>
    <n v="14"/>
    <n v="434"/>
    <s v="No"/>
    <x v="0"/>
    <x v="2"/>
    <n v="0"/>
  </r>
  <r>
    <n v="13318"/>
    <x v="1"/>
    <n v="14"/>
    <n v="76"/>
    <s v="No"/>
    <x v="1"/>
    <x v="3"/>
    <n v="0"/>
  </r>
  <r>
    <n v="11578"/>
    <x v="0"/>
    <n v="14"/>
    <n v="379"/>
    <s v="No"/>
    <x v="0"/>
    <x v="1"/>
    <n v="0"/>
  </r>
  <r>
    <n v="12030"/>
    <x v="0"/>
    <n v="1"/>
    <n v="398"/>
    <s v="No"/>
    <x v="1"/>
    <x v="2"/>
    <n v="0"/>
  </r>
  <r>
    <n v="11690"/>
    <x v="1"/>
    <n v="1"/>
    <n v="219"/>
    <s v="No"/>
    <x v="0"/>
    <x v="0"/>
    <n v="0"/>
  </r>
  <r>
    <n v="13657"/>
    <x v="1"/>
    <n v="13"/>
    <n v="312"/>
    <s v="No"/>
    <x v="1"/>
    <x v="1"/>
    <n v="0"/>
  </r>
  <r>
    <n v="17826"/>
    <x v="1"/>
    <n v="12"/>
    <n v="100"/>
    <s v="No"/>
    <x v="1"/>
    <x v="3"/>
    <n v="0"/>
  </r>
  <r>
    <n v="16762"/>
    <x v="0"/>
    <n v="3"/>
    <n v="176"/>
    <s v="Yes"/>
    <x v="0"/>
    <x v="1"/>
    <n v="1"/>
  </r>
  <r>
    <n v="11595"/>
    <x v="1"/>
    <n v="10"/>
    <n v="133"/>
    <s v="No"/>
    <x v="0"/>
    <x v="3"/>
    <n v="0"/>
  </r>
  <r>
    <n v="15060"/>
    <x v="1"/>
    <n v="3"/>
    <n v="231"/>
    <s v="No"/>
    <x v="0"/>
    <x v="0"/>
    <n v="0"/>
  </r>
  <r>
    <n v="13920"/>
    <x v="1"/>
    <n v="13"/>
    <n v="188"/>
    <s v="Yes"/>
    <x v="1"/>
    <x v="3"/>
    <n v="1"/>
  </r>
  <r>
    <n v="17877"/>
    <x v="1"/>
    <n v="12"/>
    <n v="110"/>
    <s v="No"/>
    <x v="0"/>
    <x v="3"/>
    <n v="0"/>
  </r>
  <r>
    <n v="13009"/>
    <x v="0"/>
    <n v="11"/>
    <n v="449"/>
    <s v="No"/>
    <x v="0"/>
    <x v="2"/>
    <n v="0"/>
  </r>
  <r>
    <n v="14378"/>
    <x v="0"/>
    <n v="3"/>
    <n v="197"/>
    <s v="No"/>
    <x v="0"/>
    <x v="2"/>
    <n v="0"/>
  </r>
  <r>
    <n v="19658"/>
    <x v="0"/>
    <n v="5"/>
    <n v="58"/>
    <s v="No"/>
    <x v="1"/>
    <x v="1"/>
    <n v="0"/>
  </r>
  <r>
    <n v="16974"/>
    <x v="1"/>
    <n v="14"/>
    <n v="209"/>
    <s v="No"/>
    <x v="0"/>
    <x v="0"/>
    <n v="0"/>
  </r>
  <r>
    <n v="10496"/>
    <x v="0"/>
    <n v="1"/>
    <n v="199"/>
    <s v="No"/>
    <x v="1"/>
    <x v="1"/>
    <n v="0"/>
  </r>
  <r>
    <n v="11164"/>
    <x v="0"/>
    <n v="5"/>
    <n v="225"/>
    <s v="No"/>
    <x v="0"/>
    <x v="0"/>
    <n v="0"/>
  </r>
  <r>
    <n v="19056"/>
    <x v="0"/>
    <n v="5"/>
    <n v="216"/>
    <s v="No"/>
    <x v="0"/>
    <x v="1"/>
    <n v="0"/>
  </r>
  <r>
    <n v="18185"/>
    <x v="1"/>
    <n v="4"/>
    <n v="314"/>
    <s v="No"/>
    <x v="0"/>
    <x v="3"/>
    <n v="0"/>
  </r>
  <r>
    <n v="15974"/>
    <x v="1"/>
    <n v="13"/>
    <n v="429"/>
    <s v="No"/>
    <x v="0"/>
    <x v="2"/>
    <n v="0"/>
  </r>
  <r>
    <n v="17063"/>
    <x v="0"/>
    <n v="8"/>
    <n v="324"/>
    <s v="No"/>
    <x v="1"/>
    <x v="1"/>
    <n v="0"/>
  </r>
  <r>
    <n v="11304"/>
    <x v="0"/>
    <n v="10"/>
    <n v="389"/>
    <s v="No"/>
    <x v="1"/>
    <x v="1"/>
    <n v="0"/>
  </r>
  <r>
    <n v="15073"/>
    <x v="1"/>
    <n v="4"/>
    <n v="361"/>
    <s v="No"/>
    <x v="0"/>
    <x v="3"/>
    <n v="0"/>
  </r>
  <r>
    <n v="12293"/>
    <x v="1"/>
    <n v="7"/>
    <n v="411"/>
    <s v="No"/>
    <x v="0"/>
    <x v="2"/>
    <n v="0"/>
  </r>
  <r>
    <n v="15944"/>
    <x v="0"/>
    <n v="6"/>
    <n v="282"/>
    <s v="Yes"/>
    <x v="1"/>
    <x v="1"/>
    <n v="1"/>
  </r>
  <r>
    <n v="12034"/>
    <x v="0"/>
    <n v="7"/>
    <n v="138"/>
    <s v="No"/>
    <x v="0"/>
    <x v="0"/>
    <n v="0"/>
  </r>
  <r>
    <n v="17431"/>
    <x v="0"/>
    <n v="3"/>
    <n v="83"/>
    <s v="No"/>
    <x v="1"/>
    <x v="2"/>
    <n v="0"/>
  </r>
  <r>
    <n v="18211"/>
    <x v="0"/>
    <n v="7"/>
    <n v="280"/>
    <s v="No"/>
    <x v="1"/>
    <x v="1"/>
    <n v="0"/>
  </r>
  <r>
    <n v="17679"/>
    <x v="1"/>
    <n v="12"/>
    <n v="416"/>
    <s v="No"/>
    <x v="1"/>
    <x v="0"/>
    <n v="0"/>
  </r>
  <r>
    <n v="17002"/>
    <x v="0"/>
    <n v="12"/>
    <n v="55"/>
    <s v="No"/>
    <x v="1"/>
    <x v="2"/>
    <n v="0"/>
  </r>
  <r>
    <n v="19079"/>
    <x v="1"/>
    <n v="9"/>
    <n v="46"/>
    <s v="No"/>
    <x v="1"/>
    <x v="0"/>
    <n v="0"/>
  </r>
  <r>
    <n v="14085"/>
    <x v="1"/>
    <n v="2"/>
    <n v="135"/>
    <s v="No"/>
    <x v="0"/>
    <x v="3"/>
    <n v="0"/>
  </r>
  <r>
    <n v="16950"/>
    <x v="0"/>
    <n v="10"/>
    <n v="233"/>
    <s v="No"/>
    <x v="0"/>
    <x v="1"/>
    <n v="0"/>
  </r>
  <r>
    <n v="17437"/>
    <x v="0"/>
    <n v="12"/>
    <n v="124"/>
    <s v="No"/>
    <x v="0"/>
    <x v="2"/>
    <n v="0"/>
  </r>
  <r>
    <n v="15300"/>
    <x v="1"/>
    <n v="1"/>
    <n v="153"/>
    <s v="No"/>
    <x v="0"/>
    <x v="3"/>
    <n v="0"/>
  </r>
  <r>
    <n v="12217"/>
    <x v="0"/>
    <n v="13"/>
    <n v="132"/>
    <s v="No"/>
    <x v="1"/>
    <x v="0"/>
    <n v="0"/>
  </r>
  <r>
    <n v="13485"/>
    <x v="1"/>
    <n v="3"/>
    <n v="316"/>
    <s v="No"/>
    <x v="1"/>
    <x v="0"/>
    <n v="0"/>
  </r>
  <r>
    <n v="19651"/>
    <x v="1"/>
    <n v="7"/>
    <n v="104"/>
    <s v="No"/>
    <x v="1"/>
    <x v="3"/>
    <n v="0"/>
  </r>
  <r>
    <n v="10318"/>
    <x v="0"/>
    <n v="11"/>
    <n v="414"/>
    <s v="No"/>
    <x v="1"/>
    <x v="2"/>
    <n v="0"/>
  </r>
  <r>
    <n v="17893"/>
    <x v="0"/>
    <n v="11"/>
    <n v="365"/>
    <s v="No"/>
    <x v="0"/>
    <x v="2"/>
    <n v="0"/>
  </r>
  <r>
    <n v="17288"/>
    <x v="1"/>
    <n v="6"/>
    <n v="198"/>
    <s v="No"/>
    <x v="1"/>
    <x v="1"/>
    <n v="0"/>
  </r>
  <r>
    <n v="13494"/>
    <x v="1"/>
    <n v="2"/>
    <n v="108"/>
    <s v="No"/>
    <x v="1"/>
    <x v="2"/>
    <n v="0"/>
  </r>
  <r>
    <n v="19670"/>
    <x v="1"/>
    <n v="4"/>
    <n v="112"/>
    <s v="No"/>
    <x v="0"/>
    <x v="2"/>
    <n v="0"/>
  </r>
  <r>
    <n v="10855"/>
    <x v="1"/>
    <n v="5"/>
    <n v="300"/>
    <s v="No"/>
    <x v="0"/>
    <x v="2"/>
    <n v="0"/>
  </r>
  <r>
    <n v="17518"/>
    <x v="0"/>
    <n v="4"/>
    <n v="303"/>
    <s v="Yes"/>
    <x v="0"/>
    <x v="1"/>
    <n v="1"/>
  </r>
  <r>
    <n v="11900"/>
    <x v="0"/>
    <n v="1"/>
    <n v="369"/>
    <s v="No"/>
    <x v="1"/>
    <x v="3"/>
    <n v="0"/>
  </r>
  <r>
    <n v="18296"/>
    <x v="0"/>
    <n v="3"/>
    <n v="382"/>
    <s v="No"/>
    <x v="1"/>
    <x v="1"/>
    <n v="0"/>
  </r>
  <r>
    <n v="15078"/>
    <x v="0"/>
    <n v="6"/>
    <n v="294"/>
    <s v="Yes"/>
    <x v="0"/>
    <x v="2"/>
    <n v="1"/>
  </r>
  <r>
    <n v="18432"/>
    <x v="1"/>
    <n v="10"/>
    <n v="355"/>
    <s v="No"/>
    <x v="0"/>
    <x v="3"/>
    <n v="0"/>
  </r>
  <r>
    <n v="17069"/>
    <x v="0"/>
    <n v="11"/>
    <n v="242"/>
    <s v="No"/>
    <x v="1"/>
    <x v="0"/>
    <n v="0"/>
  </r>
  <r>
    <n v="14183"/>
    <x v="1"/>
    <n v="8"/>
    <n v="447"/>
    <s v="No"/>
    <x v="0"/>
    <x v="2"/>
    <n v="0"/>
  </r>
  <r>
    <n v="12603"/>
    <x v="1"/>
    <n v="8"/>
    <n v="334"/>
    <s v="No"/>
    <x v="1"/>
    <x v="0"/>
    <n v="0"/>
  </r>
  <r>
    <n v="16226"/>
    <x v="0"/>
    <n v="11"/>
    <n v="351"/>
    <s v="No"/>
    <x v="1"/>
    <x v="1"/>
    <n v="0"/>
  </r>
  <r>
    <n v="13762"/>
    <x v="0"/>
    <n v="6"/>
    <n v="222"/>
    <s v="No"/>
    <x v="0"/>
    <x v="1"/>
    <n v="0"/>
  </r>
  <r>
    <n v="17507"/>
    <x v="0"/>
    <n v="4"/>
    <n v="79"/>
    <s v="No"/>
    <x v="1"/>
    <x v="1"/>
    <n v="0"/>
  </r>
  <r>
    <n v="10023"/>
    <x v="1"/>
    <n v="13"/>
    <n v="78"/>
    <s v="No"/>
    <x v="1"/>
    <x v="0"/>
    <n v="0"/>
  </r>
  <r>
    <n v="16618"/>
    <x v="0"/>
    <n v="9"/>
    <n v="275"/>
    <s v="Yes"/>
    <x v="1"/>
    <x v="0"/>
    <n v="1"/>
  </r>
  <r>
    <n v="16342"/>
    <x v="0"/>
    <n v="6"/>
    <n v="50"/>
    <s v="No"/>
    <x v="1"/>
    <x v="1"/>
    <n v="0"/>
  </r>
  <r>
    <n v="16156"/>
    <x v="0"/>
    <n v="11"/>
    <n v="369"/>
    <s v="No"/>
    <x v="0"/>
    <x v="1"/>
    <n v="0"/>
  </r>
  <r>
    <n v="16574"/>
    <x v="1"/>
    <n v="11"/>
    <n v="405"/>
    <s v="No"/>
    <x v="0"/>
    <x v="3"/>
    <n v="0"/>
  </r>
  <r>
    <n v="10488"/>
    <x v="1"/>
    <n v="8"/>
    <n v="335"/>
    <s v="No"/>
    <x v="1"/>
    <x v="1"/>
    <n v="0"/>
  </r>
  <r>
    <n v="14191"/>
    <x v="0"/>
    <n v="13"/>
    <n v="284"/>
    <s v="No"/>
    <x v="1"/>
    <x v="2"/>
    <n v="0"/>
  </r>
  <r>
    <n v="19967"/>
    <x v="0"/>
    <n v="1"/>
    <n v="274"/>
    <s v="No"/>
    <x v="1"/>
    <x v="2"/>
    <n v="0"/>
  </r>
  <r>
    <n v="18592"/>
    <x v="1"/>
    <n v="14"/>
    <n v="198"/>
    <s v="No"/>
    <x v="1"/>
    <x v="0"/>
    <n v="0"/>
  </r>
  <r>
    <n v="15511"/>
    <x v="1"/>
    <n v="10"/>
    <n v="409"/>
    <s v="No"/>
    <x v="0"/>
    <x v="1"/>
    <n v="0"/>
  </r>
  <r>
    <n v="18710"/>
    <x v="0"/>
    <n v="4"/>
    <n v="364"/>
    <s v="No"/>
    <x v="0"/>
    <x v="2"/>
    <n v="0"/>
  </r>
  <r>
    <n v="17461"/>
    <x v="1"/>
    <n v="13"/>
    <n v="50"/>
    <s v="No"/>
    <x v="1"/>
    <x v="1"/>
    <n v="0"/>
  </r>
  <r>
    <n v="15103"/>
    <x v="0"/>
    <n v="4"/>
    <n v="379"/>
    <s v="No"/>
    <x v="1"/>
    <x v="1"/>
    <n v="0"/>
  </r>
  <r>
    <n v="11877"/>
    <x v="1"/>
    <n v="2"/>
    <n v="168"/>
    <s v="No"/>
    <x v="1"/>
    <x v="0"/>
    <n v="0"/>
  </r>
  <r>
    <n v="12274"/>
    <x v="1"/>
    <n v="14"/>
    <n v="379"/>
    <s v="No"/>
    <x v="0"/>
    <x v="0"/>
    <n v="0"/>
  </r>
  <r>
    <n v="12971"/>
    <x v="1"/>
    <n v="3"/>
    <n v="436"/>
    <s v="No"/>
    <x v="1"/>
    <x v="1"/>
    <n v="0"/>
  </r>
  <r>
    <n v="18966"/>
    <x v="0"/>
    <n v="3"/>
    <n v="64"/>
    <s v="Yes"/>
    <x v="1"/>
    <x v="3"/>
    <n v="1"/>
  </r>
  <r>
    <n v="10283"/>
    <x v="0"/>
    <n v="1"/>
    <n v="405"/>
    <s v="No"/>
    <x v="0"/>
    <x v="0"/>
    <n v="0"/>
  </r>
  <r>
    <n v="13720"/>
    <x v="0"/>
    <n v="11"/>
    <n v="280"/>
    <s v="No"/>
    <x v="1"/>
    <x v="1"/>
    <n v="0"/>
  </r>
  <r>
    <n v="15968"/>
    <x v="1"/>
    <n v="10"/>
    <n v="249"/>
    <s v="No"/>
    <x v="0"/>
    <x v="0"/>
    <n v="0"/>
  </r>
  <r>
    <n v="13765"/>
    <x v="0"/>
    <n v="8"/>
    <n v="185"/>
    <s v="No"/>
    <x v="0"/>
    <x v="0"/>
    <n v="0"/>
  </r>
  <r>
    <n v="11032"/>
    <x v="1"/>
    <n v="9"/>
    <n v="350"/>
    <s v="No"/>
    <x v="1"/>
    <x v="0"/>
    <n v="0"/>
  </r>
  <r>
    <n v="12252"/>
    <x v="0"/>
    <n v="8"/>
    <n v="60"/>
    <s v="No"/>
    <x v="0"/>
    <x v="3"/>
    <n v="0"/>
  </r>
  <r>
    <n v="11333"/>
    <x v="0"/>
    <n v="1"/>
    <n v="197"/>
    <s v="Yes"/>
    <x v="1"/>
    <x v="1"/>
    <n v="1"/>
  </r>
  <r>
    <n v="19361"/>
    <x v="1"/>
    <n v="14"/>
    <n v="282"/>
    <s v="No"/>
    <x v="1"/>
    <x v="1"/>
    <n v="0"/>
  </r>
  <r>
    <n v="12355"/>
    <x v="1"/>
    <n v="8"/>
    <n v="176"/>
    <s v="No"/>
    <x v="1"/>
    <x v="3"/>
    <n v="0"/>
  </r>
  <r>
    <n v="13919"/>
    <x v="0"/>
    <n v="13"/>
    <n v="80"/>
    <s v="No"/>
    <x v="0"/>
    <x v="1"/>
    <n v="0"/>
  </r>
  <r>
    <n v="12592"/>
    <x v="0"/>
    <n v="7"/>
    <n v="309"/>
    <s v="Yes"/>
    <x v="1"/>
    <x v="0"/>
    <n v="1"/>
  </r>
  <r>
    <n v="11151"/>
    <x v="0"/>
    <n v="5"/>
    <n v="449"/>
    <s v="No"/>
    <x v="0"/>
    <x v="2"/>
    <n v="0"/>
  </r>
  <r>
    <n v="13372"/>
    <x v="1"/>
    <n v="1"/>
    <n v="325"/>
    <s v="Yes"/>
    <x v="0"/>
    <x v="1"/>
    <n v="1"/>
  </r>
  <r>
    <n v="16155"/>
    <x v="1"/>
    <n v="4"/>
    <n v="137"/>
    <s v="No"/>
    <x v="1"/>
    <x v="2"/>
    <n v="0"/>
  </r>
  <r>
    <n v="18978"/>
    <x v="1"/>
    <n v="3"/>
    <n v="95"/>
    <s v="No"/>
    <x v="0"/>
    <x v="3"/>
    <n v="0"/>
  </r>
  <r>
    <n v="15136"/>
    <x v="1"/>
    <n v="5"/>
    <n v="64"/>
    <s v="No"/>
    <x v="1"/>
    <x v="2"/>
    <n v="0"/>
  </r>
  <r>
    <n v="17572"/>
    <x v="1"/>
    <n v="5"/>
    <n v="444"/>
    <s v="No"/>
    <x v="0"/>
    <x v="2"/>
    <n v="0"/>
  </r>
  <r>
    <n v="12768"/>
    <x v="1"/>
    <n v="13"/>
    <n v="311"/>
    <s v="No"/>
    <x v="1"/>
    <x v="0"/>
    <n v="0"/>
  </r>
  <r>
    <n v="10233"/>
    <x v="1"/>
    <n v="13"/>
    <n v="169"/>
    <s v="No"/>
    <x v="1"/>
    <x v="0"/>
    <n v="0"/>
  </r>
  <r>
    <n v="18335"/>
    <x v="0"/>
    <n v="8"/>
    <n v="306"/>
    <s v="No"/>
    <x v="1"/>
    <x v="2"/>
    <n v="0"/>
  </r>
  <r>
    <n v="14198"/>
    <x v="1"/>
    <n v="1"/>
    <n v="421"/>
    <s v="No"/>
    <x v="1"/>
    <x v="1"/>
    <n v="0"/>
  </r>
  <r>
    <n v="15620"/>
    <x v="0"/>
    <n v="2"/>
    <n v="179"/>
    <s v="Yes"/>
    <x v="0"/>
    <x v="1"/>
    <n v="1"/>
  </r>
  <r>
    <n v="13290"/>
    <x v="1"/>
    <n v="10"/>
    <n v="249"/>
    <s v="No"/>
    <x v="1"/>
    <x v="2"/>
    <n v="0"/>
  </r>
  <r>
    <n v="10083"/>
    <x v="0"/>
    <n v="7"/>
    <n v="247"/>
    <s v="No"/>
    <x v="0"/>
    <x v="3"/>
    <n v="0"/>
  </r>
  <r>
    <n v="14409"/>
    <x v="1"/>
    <n v="13"/>
    <n v="447"/>
    <s v="No"/>
    <x v="0"/>
    <x v="1"/>
    <n v="0"/>
  </r>
  <r>
    <n v="19028"/>
    <x v="0"/>
    <n v="2"/>
    <n v="336"/>
    <s v="No"/>
    <x v="1"/>
    <x v="2"/>
    <n v="0"/>
  </r>
  <r>
    <n v="12936"/>
    <x v="0"/>
    <n v="13"/>
    <n v="280"/>
    <s v="No"/>
    <x v="0"/>
    <x v="0"/>
    <n v="0"/>
  </r>
  <r>
    <n v="19538"/>
    <x v="1"/>
    <n v="12"/>
    <n v="80"/>
    <s v="No"/>
    <x v="0"/>
    <x v="1"/>
    <n v="0"/>
  </r>
  <r>
    <n v="19545"/>
    <x v="1"/>
    <n v="8"/>
    <n v="267"/>
    <s v="No"/>
    <x v="1"/>
    <x v="0"/>
    <n v="0"/>
  </r>
  <r>
    <n v="14139"/>
    <x v="0"/>
    <n v="4"/>
    <n v="241"/>
    <s v="No"/>
    <x v="1"/>
    <x v="3"/>
    <n v="0"/>
  </r>
  <r>
    <n v="19602"/>
    <x v="0"/>
    <n v="10"/>
    <n v="49"/>
    <s v="No"/>
    <x v="1"/>
    <x v="2"/>
    <n v="0"/>
  </r>
  <r>
    <n v="10535"/>
    <x v="0"/>
    <n v="9"/>
    <n v="233"/>
    <s v="No"/>
    <x v="0"/>
    <x v="3"/>
    <n v="0"/>
  </r>
  <r>
    <n v="19664"/>
    <x v="0"/>
    <n v="8"/>
    <n v="51"/>
    <s v="Yes"/>
    <x v="1"/>
    <x v="3"/>
    <n v="1"/>
  </r>
  <r>
    <n v="19474"/>
    <x v="1"/>
    <n v="6"/>
    <n v="88"/>
    <s v="No"/>
    <x v="0"/>
    <x v="3"/>
    <n v="0"/>
  </r>
  <r>
    <n v="18991"/>
    <x v="1"/>
    <n v="6"/>
    <n v="161"/>
    <s v="No"/>
    <x v="1"/>
    <x v="3"/>
    <n v="0"/>
  </r>
  <r>
    <n v="16519"/>
    <x v="0"/>
    <n v="6"/>
    <n v="224"/>
    <s v="No"/>
    <x v="0"/>
    <x v="1"/>
    <n v="0"/>
  </r>
  <r>
    <n v="11868"/>
    <x v="1"/>
    <n v="9"/>
    <n v="145"/>
    <s v="Yes"/>
    <x v="1"/>
    <x v="1"/>
    <n v="1"/>
  </r>
  <r>
    <n v="13159"/>
    <x v="1"/>
    <n v="12"/>
    <n v="172"/>
    <s v="No"/>
    <x v="0"/>
    <x v="3"/>
    <n v="0"/>
  </r>
  <r>
    <n v="15191"/>
    <x v="1"/>
    <n v="1"/>
    <n v="368"/>
    <s v="No"/>
    <x v="0"/>
    <x v="3"/>
    <n v="0"/>
  </r>
  <r>
    <n v="16193"/>
    <x v="1"/>
    <n v="14"/>
    <n v="291"/>
    <s v="No"/>
    <x v="1"/>
    <x v="3"/>
    <n v="0"/>
  </r>
  <r>
    <n v="13684"/>
    <x v="0"/>
    <n v="10"/>
    <n v="439"/>
    <s v="No"/>
    <x v="1"/>
    <x v="3"/>
    <n v="0"/>
  </r>
  <r>
    <n v="14985"/>
    <x v="0"/>
    <n v="8"/>
    <n v="165"/>
    <s v="No"/>
    <x v="1"/>
    <x v="3"/>
    <n v="0"/>
  </r>
  <r>
    <n v="13367"/>
    <x v="0"/>
    <n v="3"/>
    <n v="82"/>
    <s v="No"/>
    <x v="1"/>
    <x v="0"/>
    <n v="0"/>
  </r>
  <r>
    <n v="10013"/>
    <x v="1"/>
    <n v="8"/>
    <n v="367"/>
    <s v="No"/>
    <x v="0"/>
    <x v="1"/>
    <n v="0"/>
  </r>
  <r>
    <n v="14646"/>
    <x v="0"/>
    <n v="10"/>
    <n v="184"/>
    <s v="No"/>
    <x v="1"/>
    <x v="0"/>
    <n v="0"/>
  </r>
  <r>
    <n v="14820"/>
    <x v="0"/>
    <n v="8"/>
    <n v="80"/>
    <s v="Yes"/>
    <x v="0"/>
    <x v="0"/>
    <n v="1"/>
  </r>
  <r>
    <n v="12373"/>
    <x v="1"/>
    <n v="8"/>
    <n v="158"/>
    <s v="No"/>
    <x v="1"/>
    <x v="0"/>
    <n v="0"/>
  </r>
  <r>
    <n v="14249"/>
    <x v="1"/>
    <n v="14"/>
    <n v="180"/>
    <s v="No"/>
    <x v="0"/>
    <x v="3"/>
    <n v="0"/>
  </r>
  <r>
    <n v="19318"/>
    <x v="1"/>
    <n v="14"/>
    <n v="354"/>
    <s v="No"/>
    <x v="0"/>
    <x v="0"/>
    <n v="0"/>
  </r>
  <r>
    <n v="12409"/>
    <x v="1"/>
    <n v="1"/>
    <n v="110"/>
    <s v="No"/>
    <x v="0"/>
    <x v="0"/>
    <n v="0"/>
  </r>
  <r>
    <n v="14961"/>
    <x v="1"/>
    <n v="12"/>
    <n v="403"/>
    <s v="No"/>
    <x v="0"/>
    <x v="3"/>
    <n v="0"/>
  </r>
  <r>
    <n v="15092"/>
    <x v="0"/>
    <n v="4"/>
    <n v="192"/>
    <s v="No"/>
    <x v="1"/>
    <x v="1"/>
    <n v="0"/>
  </r>
  <r>
    <n v="12292"/>
    <x v="0"/>
    <n v="12"/>
    <n v="80"/>
    <s v="No"/>
    <x v="0"/>
    <x v="0"/>
    <n v="0"/>
  </r>
  <r>
    <n v="19717"/>
    <x v="1"/>
    <n v="10"/>
    <n v="170"/>
    <s v="No"/>
    <x v="0"/>
    <x v="1"/>
    <n v="0"/>
  </r>
  <r>
    <n v="16142"/>
    <x v="0"/>
    <n v="4"/>
    <n v="212"/>
    <s v="No"/>
    <x v="1"/>
    <x v="3"/>
    <n v="0"/>
  </r>
  <r>
    <n v="14764"/>
    <x v="0"/>
    <n v="13"/>
    <n v="282"/>
    <s v="No"/>
    <x v="1"/>
    <x v="2"/>
    <n v="0"/>
  </r>
  <r>
    <n v="10509"/>
    <x v="0"/>
    <n v="11"/>
    <n v="326"/>
    <s v="No"/>
    <x v="1"/>
    <x v="0"/>
    <n v="0"/>
  </r>
  <r>
    <n v="10261"/>
    <x v="1"/>
    <n v="8"/>
    <n v="439"/>
    <s v="No"/>
    <x v="1"/>
    <x v="1"/>
    <n v="0"/>
  </r>
  <r>
    <n v="18047"/>
    <x v="0"/>
    <n v="6"/>
    <n v="323"/>
    <s v="No"/>
    <x v="1"/>
    <x v="3"/>
    <n v="0"/>
  </r>
  <r>
    <n v="17553"/>
    <x v="1"/>
    <n v="8"/>
    <n v="156"/>
    <s v="No"/>
    <x v="1"/>
    <x v="3"/>
    <n v="0"/>
  </r>
  <r>
    <n v="14463"/>
    <x v="1"/>
    <n v="10"/>
    <n v="121"/>
    <s v="No"/>
    <x v="0"/>
    <x v="2"/>
    <n v="0"/>
  </r>
  <r>
    <n v="11051"/>
    <x v="0"/>
    <n v="13"/>
    <n v="237"/>
    <s v="No"/>
    <x v="1"/>
    <x v="1"/>
    <n v="0"/>
  </r>
  <r>
    <n v="13603"/>
    <x v="0"/>
    <n v="13"/>
    <n v="118"/>
    <s v="Yes"/>
    <x v="0"/>
    <x v="1"/>
    <n v="1"/>
  </r>
  <r>
    <n v="15200"/>
    <x v="1"/>
    <n v="5"/>
    <n v="156"/>
    <s v="No"/>
    <x v="1"/>
    <x v="0"/>
    <n v="0"/>
  </r>
  <r>
    <n v="10210"/>
    <x v="0"/>
    <n v="11"/>
    <n v="145"/>
    <s v="No"/>
    <x v="0"/>
    <x v="2"/>
    <n v="0"/>
  </r>
  <r>
    <n v="17515"/>
    <x v="1"/>
    <n v="11"/>
    <n v="130"/>
    <s v="No"/>
    <x v="0"/>
    <x v="3"/>
    <n v="0"/>
  </r>
  <r>
    <n v="15306"/>
    <x v="0"/>
    <n v="13"/>
    <n v="408"/>
    <s v="Yes"/>
    <x v="1"/>
    <x v="0"/>
    <n v="1"/>
  </r>
  <r>
    <n v="19780"/>
    <x v="0"/>
    <n v="6"/>
    <n v="126"/>
    <s v="No"/>
    <x v="1"/>
    <x v="3"/>
    <n v="0"/>
  </r>
  <r>
    <n v="19556"/>
    <x v="1"/>
    <n v="7"/>
    <n v="167"/>
    <s v="No"/>
    <x v="1"/>
    <x v="1"/>
    <n v="0"/>
  </r>
  <r>
    <n v="18591"/>
    <x v="0"/>
    <n v="10"/>
    <n v="210"/>
    <s v="No"/>
    <x v="0"/>
    <x v="1"/>
    <n v="0"/>
  </r>
  <r>
    <n v="17128"/>
    <x v="1"/>
    <n v="2"/>
    <n v="230"/>
    <s v="No"/>
    <x v="0"/>
    <x v="2"/>
    <n v="0"/>
  </r>
  <r>
    <n v="16622"/>
    <x v="0"/>
    <n v="10"/>
    <n v="308"/>
    <s v="No"/>
    <x v="0"/>
    <x v="3"/>
    <n v="0"/>
  </r>
  <r>
    <n v="16159"/>
    <x v="0"/>
    <n v="14"/>
    <n v="396"/>
    <s v="No"/>
    <x v="1"/>
    <x v="1"/>
    <n v="0"/>
  </r>
  <r>
    <n v="12211"/>
    <x v="0"/>
    <n v="2"/>
    <n v="402"/>
    <s v="No"/>
    <x v="0"/>
    <x v="2"/>
    <n v="0"/>
  </r>
  <r>
    <n v="10809"/>
    <x v="0"/>
    <n v="6"/>
    <n v="395"/>
    <s v="No"/>
    <x v="1"/>
    <x v="3"/>
    <n v="0"/>
  </r>
  <r>
    <n v="16001"/>
    <x v="1"/>
    <n v="8"/>
    <n v="420"/>
    <s v="No"/>
    <x v="1"/>
    <x v="3"/>
    <n v="0"/>
  </r>
  <r>
    <n v="17475"/>
    <x v="0"/>
    <n v="4"/>
    <n v="105"/>
    <s v="No"/>
    <x v="0"/>
    <x v="2"/>
    <n v="0"/>
  </r>
  <r>
    <n v="13775"/>
    <x v="1"/>
    <n v="9"/>
    <n v="434"/>
    <s v="No"/>
    <x v="0"/>
    <x v="3"/>
    <n v="0"/>
  </r>
  <r>
    <n v="18460"/>
    <x v="0"/>
    <n v="9"/>
    <n v="265"/>
    <s v="No"/>
    <x v="0"/>
    <x v="0"/>
    <n v="0"/>
  </r>
  <r>
    <n v="16135"/>
    <x v="0"/>
    <n v="8"/>
    <n v="366"/>
    <s v="No"/>
    <x v="0"/>
    <x v="3"/>
    <n v="0"/>
  </r>
  <r>
    <n v="12535"/>
    <x v="0"/>
    <n v="14"/>
    <n v="442"/>
    <s v="Yes"/>
    <x v="1"/>
    <x v="1"/>
    <n v="1"/>
  </r>
  <r>
    <n v="11673"/>
    <x v="0"/>
    <n v="10"/>
    <n v="241"/>
    <s v="No"/>
    <x v="0"/>
    <x v="0"/>
    <n v="0"/>
  </r>
  <r>
    <n v="12779"/>
    <x v="1"/>
    <n v="5"/>
    <n v="267"/>
    <s v="No"/>
    <x v="1"/>
    <x v="3"/>
    <n v="0"/>
  </r>
  <r>
    <n v="19162"/>
    <x v="0"/>
    <n v="2"/>
    <n v="245"/>
    <s v="No"/>
    <x v="0"/>
    <x v="2"/>
    <n v="0"/>
  </r>
  <r>
    <n v="14197"/>
    <x v="0"/>
    <n v="3"/>
    <n v="356"/>
    <s v="No"/>
    <x v="0"/>
    <x v="2"/>
    <n v="0"/>
  </r>
  <r>
    <n v="19026"/>
    <x v="1"/>
    <n v="2"/>
    <n v="185"/>
    <s v="No"/>
    <x v="0"/>
    <x v="2"/>
    <n v="0"/>
  </r>
  <r>
    <n v="11359"/>
    <x v="0"/>
    <n v="4"/>
    <n v="330"/>
    <s v="No"/>
    <x v="1"/>
    <x v="3"/>
    <n v="0"/>
  </r>
  <r>
    <n v="11763"/>
    <x v="1"/>
    <n v="5"/>
    <n v="175"/>
    <s v="No"/>
    <x v="1"/>
    <x v="1"/>
    <n v="0"/>
  </r>
  <r>
    <n v="13129"/>
    <x v="1"/>
    <n v="8"/>
    <n v="99"/>
    <s v="No"/>
    <x v="0"/>
    <x v="2"/>
    <n v="0"/>
  </r>
  <r>
    <n v="14560"/>
    <x v="0"/>
    <n v="12"/>
    <n v="149"/>
    <s v="No"/>
    <x v="0"/>
    <x v="3"/>
    <n v="0"/>
  </r>
  <r>
    <n v="12653"/>
    <x v="0"/>
    <n v="14"/>
    <n v="50"/>
    <s v="No"/>
    <x v="1"/>
    <x v="3"/>
    <n v="0"/>
  </r>
  <r>
    <n v="12120"/>
    <x v="0"/>
    <n v="7"/>
    <n v="45"/>
    <s v="No"/>
    <x v="1"/>
    <x v="0"/>
    <n v="0"/>
  </r>
  <r>
    <n v="10180"/>
    <x v="1"/>
    <n v="8"/>
    <n v="313"/>
    <s v="No"/>
    <x v="1"/>
    <x v="2"/>
    <n v="0"/>
  </r>
  <r>
    <n v="12047"/>
    <x v="1"/>
    <n v="9"/>
    <n v="223"/>
    <s v="No"/>
    <x v="1"/>
    <x v="0"/>
    <n v="0"/>
  </r>
  <r>
    <n v="11195"/>
    <x v="0"/>
    <n v="11"/>
    <n v="406"/>
    <s v="No"/>
    <x v="1"/>
    <x v="3"/>
    <n v="0"/>
  </r>
  <r>
    <n v="15746"/>
    <x v="1"/>
    <n v="8"/>
    <n v="78"/>
    <s v="No"/>
    <x v="1"/>
    <x v="3"/>
    <n v="0"/>
  </r>
  <r>
    <n v="18196"/>
    <x v="0"/>
    <n v="10"/>
    <n v="443"/>
    <s v="No"/>
    <x v="0"/>
    <x v="3"/>
    <n v="0"/>
  </r>
  <r>
    <n v="13050"/>
    <x v="0"/>
    <n v="3"/>
    <n v="139"/>
    <s v="No"/>
    <x v="0"/>
    <x v="2"/>
    <n v="0"/>
  </r>
  <r>
    <n v="14965"/>
    <x v="0"/>
    <n v="13"/>
    <n v="347"/>
    <s v="No"/>
    <x v="1"/>
    <x v="3"/>
    <n v="0"/>
  </r>
  <r>
    <n v="12566"/>
    <x v="0"/>
    <n v="6"/>
    <n v="379"/>
    <s v="No"/>
    <x v="1"/>
    <x v="2"/>
    <n v="0"/>
  </r>
  <r>
    <n v="17840"/>
    <x v="0"/>
    <n v="11"/>
    <n v="257"/>
    <s v="No"/>
    <x v="1"/>
    <x v="1"/>
    <n v="0"/>
  </r>
  <r>
    <n v="13393"/>
    <x v="1"/>
    <n v="1"/>
    <n v="191"/>
    <s v="Yes"/>
    <x v="1"/>
    <x v="2"/>
    <n v="1"/>
  </r>
  <r>
    <n v="17595"/>
    <x v="1"/>
    <n v="9"/>
    <n v="125"/>
    <s v="No"/>
    <x v="0"/>
    <x v="1"/>
    <n v="0"/>
  </r>
  <r>
    <n v="15524"/>
    <x v="1"/>
    <n v="12"/>
    <n v="407"/>
    <s v="No"/>
    <x v="1"/>
    <x v="1"/>
    <n v="0"/>
  </r>
  <r>
    <n v="14881"/>
    <x v="0"/>
    <n v="5"/>
    <n v="293"/>
    <s v="No"/>
    <x v="1"/>
    <x v="0"/>
    <n v="0"/>
  </r>
  <r>
    <n v="10348"/>
    <x v="0"/>
    <n v="8"/>
    <n v="397"/>
    <s v="Yes"/>
    <x v="0"/>
    <x v="0"/>
    <n v="1"/>
  </r>
  <r>
    <n v="11625"/>
    <x v="1"/>
    <n v="8"/>
    <n v="136"/>
    <s v="No"/>
    <x v="1"/>
    <x v="2"/>
    <n v="0"/>
  </r>
  <r>
    <n v="16164"/>
    <x v="1"/>
    <n v="5"/>
    <n v="378"/>
    <s v="No"/>
    <x v="0"/>
    <x v="2"/>
    <n v="0"/>
  </r>
  <r>
    <n v="15760"/>
    <x v="0"/>
    <n v="4"/>
    <n v="393"/>
    <s v="No"/>
    <x v="1"/>
    <x v="1"/>
    <n v="0"/>
  </r>
  <r>
    <n v="13149"/>
    <x v="1"/>
    <n v="5"/>
    <n v="126"/>
    <s v="No"/>
    <x v="0"/>
    <x v="3"/>
    <n v="0"/>
  </r>
  <r>
    <n v="14653"/>
    <x v="0"/>
    <n v="3"/>
    <n v="260"/>
    <s v="Yes"/>
    <x v="1"/>
    <x v="2"/>
    <n v="1"/>
  </r>
  <r>
    <n v="19241"/>
    <x v="0"/>
    <n v="2"/>
    <n v="422"/>
    <s v="No"/>
    <x v="1"/>
    <x v="3"/>
    <n v="0"/>
  </r>
  <r>
    <n v="18048"/>
    <x v="1"/>
    <n v="8"/>
    <n v="315"/>
    <s v="No"/>
    <x v="0"/>
    <x v="1"/>
    <n v="0"/>
  </r>
  <r>
    <n v="16591"/>
    <x v="0"/>
    <n v="6"/>
    <n v="207"/>
    <s v="No"/>
    <x v="0"/>
    <x v="3"/>
    <n v="0"/>
  </r>
  <r>
    <n v="18563"/>
    <x v="1"/>
    <n v="10"/>
    <n v="155"/>
    <s v="No"/>
    <x v="0"/>
    <x v="0"/>
    <n v="0"/>
  </r>
  <r>
    <n v="18547"/>
    <x v="0"/>
    <n v="10"/>
    <n v="109"/>
    <s v="Yes"/>
    <x v="0"/>
    <x v="1"/>
    <n v="1"/>
  </r>
  <r>
    <n v="14054"/>
    <x v="1"/>
    <n v="8"/>
    <n v="53"/>
    <s v="No"/>
    <x v="0"/>
    <x v="3"/>
    <n v="0"/>
  </r>
  <r>
    <n v="15322"/>
    <x v="0"/>
    <n v="6"/>
    <n v="276"/>
    <s v="No"/>
    <x v="1"/>
    <x v="3"/>
    <n v="0"/>
  </r>
  <r>
    <n v="12145"/>
    <x v="1"/>
    <n v="2"/>
    <n v="258"/>
    <s v="No"/>
    <x v="1"/>
    <x v="1"/>
    <n v="0"/>
  </r>
  <r>
    <n v="11518"/>
    <x v="1"/>
    <n v="1"/>
    <n v="312"/>
    <s v="No"/>
    <x v="0"/>
    <x v="1"/>
    <n v="0"/>
  </r>
  <r>
    <n v="10091"/>
    <x v="0"/>
    <n v="13"/>
    <n v="288"/>
    <s v="Yes"/>
    <x v="0"/>
    <x v="0"/>
    <n v="1"/>
  </r>
  <r>
    <n v="19442"/>
    <x v="1"/>
    <n v="14"/>
    <n v="295"/>
    <s v="No"/>
    <x v="1"/>
    <x v="2"/>
    <n v="0"/>
  </r>
  <r>
    <n v="10936"/>
    <x v="1"/>
    <n v="14"/>
    <n v="446"/>
    <s v="No"/>
    <x v="1"/>
    <x v="0"/>
    <n v="0"/>
  </r>
  <r>
    <n v="12922"/>
    <x v="0"/>
    <n v="3"/>
    <n v="120"/>
    <s v="Yes"/>
    <x v="1"/>
    <x v="0"/>
    <n v="1"/>
  </r>
  <r>
    <n v="12943"/>
    <x v="1"/>
    <n v="3"/>
    <n v="397"/>
    <s v="No"/>
    <x v="0"/>
    <x v="0"/>
    <n v="0"/>
  </r>
  <r>
    <n v="14073"/>
    <x v="1"/>
    <n v="6"/>
    <n v="398"/>
    <s v="No"/>
    <x v="0"/>
    <x v="0"/>
    <n v="0"/>
  </r>
  <r>
    <n v="16573"/>
    <x v="0"/>
    <n v="8"/>
    <n v="253"/>
    <s v="No"/>
    <x v="0"/>
    <x v="3"/>
    <n v="0"/>
  </r>
  <r>
    <n v="10242"/>
    <x v="1"/>
    <n v="2"/>
    <n v="130"/>
    <s v="No"/>
    <x v="1"/>
    <x v="2"/>
    <n v="0"/>
  </r>
  <r>
    <n v="17108"/>
    <x v="1"/>
    <n v="13"/>
    <n v="231"/>
    <s v="No"/>
    <x v="0"/>
    <x v="3"/>
    <n v="0"/>
  </r>
  <r>
    <n v="14112"/>
    <x v="0"/>
    <n v="8"/>
    <n v="296"/>
    <s v="No"/>
    <x v="0"/>
    <x v="2"/>
    <n v="0"/>
  </r>
  <r>
    <n v="13177"/>
    <x v="1"/>
    <n v="12"/>
    <n v="78"/>
    <s v="No"/>
    <x v="1"/>
    <x v="1"/>
    <n v="0"/>
  </r>
  <r>
    <n v="18472"/>
    <x v="1"/>
    <n v="3"/>
    <n v="63"/>
    <s v="No"/>
    <x v="0"/>
    <x v="0"/>
    <n v="0"/>
  </r>
  <r>
    <n v="12808"/>
    <x v="1"/>
    <n v="8"/>
    <n v="354"/>
    <s v="No"/>
    <x v="1"/>
    <x v="2"/>
    <n v="0"/>
  </r>
  <r>
    <n v="11886"/>
    <x v="0"/>
    <n v="4"/>
    <n v="369"/>
    <s v="No"/>
    <x v="0"/>
    <x v="2"/>
    <n v="0"/>
  </r>
  <r>
    <n v="12479"/>
    <x v="1"/>
    <n v="14"/>
    <n v="437"/>
    <s v="No"/>
    <x v="0"/>
    <x v="3"/>
    <n v="0"/>
  </r>
  <r>
    <n v="11173"/>
    <x v="1"/>
    <n v="7"/>
    <n v="359"/>
    <s v="No"/>
    <x v="0"/>
    <x v="0"/>
    <n v="0"/>
  </r>
  <r>
    <n v="17584"/>
    <x v="0"/>
    <n v="12"/>
    <n v="148"/>
    <s v="No"/>
    <x v="0"/>
    <x v="0"/>
    <n v="0"/>
  </r>
  <r>
    <n v="13521"/>
    <x v="0"/>
    <n v="2"/>
    <n v="260"/>
    <s v="Yes"/>
    <x v="1"/>
    <x v="3"/>
    <n v="1"/>
  </r>
  <r>
    <n v="17034"/>
    <x v="1"/>
    <n v="5"/>
    <n v="446"/>
    <s v="No"/>
    <x v="1"/>
    <x v="2"/>
    <n v="0"/>
  </r>
  <r>
    <n v="15913"/>
    <x v="1"/>
    <n v="9"/>
    <n v="333"/>
    <s v="No"/>
    <x v="0"/>
    <x v="2"/>
    <n v="0"/>
  </r>
  <r>
    <n v="14113"/>
    <x v="0"/>
    <n v="9"/>
    <n v="295"/>
    <s v="No"/>
    <x v="1"/>
    <x v="1"/>
    <n v="0"/>
  </r>
  <r>
    <n v="15040"/>
    <x v="0"/>
    <n v="11"/>
    <n v="230"/>
    <s v="No"/>
    <x v="0"/>
    <x v="0"/>
    <n v="0"/>
  </r>
  <r>
    <n v="17186"/>
    <x v="0"/>
    <n v="1"/>
    <n v="177"/>
    <s v="No"/>
    <x v="1"/>
    <x v="1"/>
    <n v="0"/>
  </r>
  <r>
    <n v="11704"/>
    <x v="1"/>
    <n v="4"/>
    <n v="359"/>
    <s v="Yes"/>
    <x v="1"/>
    <x v="2"/>
    <n v="1"/>
  </r>
  <r>
    <n v="19251"/>
    <x v="0"/>
    <n v="9"/>
    <n v="222"/>
    <s v="Yes"/>
    <x v="1"/>
    <x v="2"/>
    <n v="1"/>
  </r>
  <r>
    <n v="12420"/>
    <x v="0"/>
    <n v="8"/>
    <n v="175"/>
    <s v="No"/>
    <x v="0"/>
    <x v="0"/>
    <n v="0"/>
  </r>
  <r>
    <n v="18887"/>
    <x v="1"/>
    <n v="9"/>
    <n v="180"/>
    <s v="No"/>
    <x v="1"/>
    <x v="3"/>
    <n v="0"/>
  </r>
  <r>
    <n v="16597"/>
    <x v="0"/>
    <n v="8"/>
    <n v="344"/>
    <s v="No"/>
    <x v="0"/>
    <x v="2"/>
    <n v="0"/>
  </r>
  <r>
    <n v="18423"/>
    <x v="1"/>
    <n v="2"/>
    <n v="357"/>
    <s v="No"/>
    <x v="0"/>
    <x v="2"/>
    <n v="0"/>
  </r>
  <r>
    <n v="16970"/>
    <x v="1"/>
    <n v="6"/>
    <n v="102"/>
    <s v="No"/>
    <x v="0"/>
    <x v="1"/>
    <n v="0"/>
  </r>
  <r>
    <n v="13064"/>
    <x v="0"/>
    <n v="8"/>
    <n v="286"/>
    <s v="No"/>
    <x v="1"/>
    <x v="1"/>
    <n v="0"/>
  </r>
  <r>
    <n v="17967"/>
    <x v="1"/>
    <n v="6"/>
    <n v="187"/>
    <s v="No"/>
    <x v="1"/>
    <x v="3"/>
    <n v="0"/>
  </r>
  <r>
    <n v="14437"/>
    <x v="1"/>
    <n v="12"/>
    <n v="252"/>
    <s v="No"/>
    <x v="0"/>
    <x v="3"/>
    <n v="0"/>
  </r>
  <r>
    <n v="19045"/>
    <x v="0"/>
    <n v="3"/>
    <n v="121"/>
    <s v="No"/>
    <x v="1"/>
    <x v="1"/>
    <n v="0"/>
  </r>
  <r>
    <n v="17616"/>
    <x v="0"/>
    <n v="7"/>
    <n v="318"/>
    <s v="No"/>
    <x v="1"/>
    <x v="0"/>
    <n v="0"/>
  </r>
  <r>
    <n v="15459"/>
    <x v="1"/>
    <n v="11"/>
    <n v="277"/>
    <s v="No"/>
    <x v="0"/>
    <x v="2"/>
    <n v="0"/>
  </r>
  <r>
    <n v="12165"/>
    <x v="1"/>
    <n v="11"/>
    <n v="198"/>
    <s v="No"/>
    <x v="1"/>
    <x v="1"/>
    <n v="0"/>
  </r>
  <r>
    <n v="17363"/>
    <x v="0"/>
    <n v="1"/>
    <n v="158"/>
    <s v="No"/>
    <x v="1"/>
    <x v="3"/>
    <n v="0"/>
  </r>
  <r>
    <n v="13143"/>
    <x v="0"/>
    <n v="8"/>
    <n v="214"/>
    <s v="Yes"/>
    <x v="1"/>
    <x v="0"/>
    <n v="1"/>
  </r>
  <r>
    <n v="12028"/>
    <x v="0"/>
    <n v="5"/>
    <n v="262"/>
    <s v="Yes"/>
    <x v="0"/>
    <x v="0"/>
    <n v="1"/>
  </r>
  <r>
    <n v="11745"/>
    <x v="1"/>
    <n v="11"/>
    <n v="424"/>
    <s v="No"/>
    <x v="1"/>
    <x v="3"/>
    <n v="0"/>
  </r>
  <r>
    <n v="10353"/>
    <x v="1"/>
    <n v="1"/>
    <n v="347"/>
    <s v="No"/>
    <x v="1"/>
    <x v="3"/>
    <n v="0"/>
  </r>
  <r>
    <n v="11670"/>
    <x v="1"/>
    <n v="13"/>
    <n v="402"/>
    <s v="No"/>
    <x v="1"/>
    <x v="0"/>
    <n v="0"/>
  </r>
  <r>
    <n v="17692"/>
    <x v="1"/>
    <n v="12"/>
    <n v="83"/>
    <s v="No"/>
    <x v="0"/>
    <x v="2"/>
    <n v="0"/>
  </r>
  <r>
    <n v="16852"/>
    <x v="1"/>
    <n v="13"/>
    <n v="444"/>
    <s v="No"/>
    <x v="0"/>
    <x v="0"/>
    <n v="0"/>
  </r>
  <r>
    <n v="16766"/>
    <x v="1"/>
    <n v="7"/>
    <n v="217"/>
    <s v="No"/>
    <x v="1"/>
    <x v="2"/>
    <n v="0"/>
  </r>
  <r>
    <n v="13312"/>
    <x v="1"/>
    <n v="11"/>
    <n v="152"/>
    <s v="No"/>
    <x v="1"/>
    <x v="2"/>
    <n v="0"/>
  </r>
  <r>
    <n v="19116"/>
    <x v="0"/>
    <n v="8"/>
    <n v="435"/>
    <s v="Yes"/>
    <x v="1"/>
    <x v="3"/>
    <n v="1"/>
  </r>
  <r>
    <n v="10436"/>
    <x v="0"/>
    <n v="11"/>
    <n v="41"/>
    <s v="No"/>
    <x v="1"/>
    <x v="3"/>
    <n v="0"/>
  </r>
  <r>
    <n v="15278"/>
    <x v="1"/>
    <n v="6"/>
    <n v="224"/>
    <s v="No"/>
    <x v="1"/>
    <x v="3"/>
    <n v="0"/>
  </r>
  <r>
    <n v="11921"/>
    <x v="1"/>
    <n v="10"/>
    <n v="138"/>
    <s v="No"/>
    <x v="0"/>
    <x v="1"/>
    <n v="0"/>
  </r>
  <r>
    <n v="15606"/>
    <x v="1"/>
    <n v="1"/>
    <n v="248"/>
    <s v="No"/>
    <x v="0"/>
    <x v="2"/>
    <n v="0"/>
  </r>
  <r>
    <n v="12816"/>
    <x v="1"/>
    <n v="12"/>
    <n v="127"/>
    <s v="No"/>
    <x v="0"/>
    <x v="0"/>
    <n v="0"/>
  </r>
  <r>
    <n v="19174"/>
    <x v="0"/>
    <n v="3"/>
    <n v="136"/>
    <s v="No"/>
    <x v="0"/>
    <x v="3"/>
    <n v="0"/>
  </r>
  <r>
    <n v="10460"/>
    <x v="0"/>
    <n v="13"/>
    <n v="231"/>
    <s v="No"/>
    <x v="1"/>
    <x v="3"/>
    <n v="0"/>
  </r>
  <r>
    <n v="19738"/>
    <x v="0"/>
    <n v="14"/>
    <n v="111"/>
    <s v="No"/>
    <x v="1"/>
    <x v="3"/>
    <n v="0"/>
  </r>
  <r>
    <n v="10939"/>
    <x v="0"/>
    <n v="8"/>
    <n v="51"/>
    <s v="No"/>
    <x v="0"/>
    <x v="1"/>
    <n v="0"/>
  </r>
  <r>
    <n v="10874"/>
    <x v="1"/>
    <n v="4"/>
    <n v="113"/>
    <s v="No"/>
    <x v="1"/>
    <x v="1"/>
    <n v="0"/>
  </r>
  <r>
    <n v="12361"/>
    <x v="1"/>
    <n v="4"/>
    <n v="369"/>
    <s v="No"/>
    <x v="0"/>
    <x v="1"/>
    <n v="0"/>
  </r>
  <r>
    <n v="12856"/>
    <x v="0"/>
    <n v="4"/>
    <n v="149"/>
    <s v="No"/>
    <x v="0"/>
    <x v="0"/>
    <n v="0"/>
  </r>
  <r>
    <n v="17748"/>
    <x v="0"/>
    <n v="10"/>
    <n v="395"/>
    <s v="No"/>
    <x v="0"/>
    <x v="1"/>
    <n v="0"/>
  </r>
  <r>
    <n v="13769"/>
    <x v="1"/>
    <n v="14"/>
    <n v="145"/>
    <s v="No"/>
    <x v="0"/>
    <x v="1"/>
    <n v="0"/>
  </r>
  <r>
    <n v="13158"/>
    <x v="1"/>
    <n v="10"/>
    <n v="240"/>
    <s v="No"/>
    <x v="0"/>
    <x v="3"/>
    <n v="0"/>
  </r>
  <r>
    <n v="13856"/>
    <x v="1"/>
    <n v="9"/>
    <n v="178"/>
    <s v="No"/>
    <x v="1"/>
    <x v="0"/>
    <n v="0"/>
  </r>
  <r>
    <n v="14130"/>
    <x v="1"/>
    <n v="11"/>
    <n v="174"/>
    <s v="No"/>
    <x v="1"/>
    <x v="3"/>
    <n v="0"/>
  </r>
  <r>
    <n v="14601"/>
    <x v="1"/>
    <n v="2"/>
    <n v="176"/>
    <s v="No"/>
    <x v="1"/>
    <x v="1"/>
    <n v="0"/>
  </r>
  <r>
    <n v="17772"/>
    <x v="1"/>
    <n v="6"/>
    <n v="247"/>
    <s v="No"/>
    <x v="0"/>
    <x v="1"/>
    <n v="0"/>
  </r>
  <r>
    <n v="15470"/>
    <x v="1"/>
    <n v="1"/>
    <n v="221"/>
    <s v="Yes"/>
    <x v="1"/>
    <x v="1"/>
    <n v="1"/>
  </r>
  <r>
    <n v="12382"/>
    <x v="0"/>
    <n v="11"/>
    <n v="225"/>
    <s v="No"/>
    <x v="0"/>
    <x v="2"/>
    <n v="0"/>
  </r>
  <r>
    <n v="14318"/>
    <x v="0"/>
    <n v="10"/>
    <n v="214"/>
    <s v="No"/>
    <x v="1"/>
    <x v="0"/>
    <n v="0"/>
  </r>
  <r>
    <n v="19148"/>
    <x v="1"/>
    <n v="3"/>
    <n v="319"/>
    <s v="No"/>
    <x v="1"/>
    <x v="2"/>
    <n v="0"/>
  </r>
  <r>
    <n v="14283"/>
    <x v="1"/>
    <n v="13"/>
    <n v="269"/>
    <s v="No"/>
    <x v="0"/>
    <x v="2"/>
    <n v="0"/>
  </r>
  <r>
    <n v="10477"/>
    <x v="0"/>
    <n v="4"/>
    <n v="256"/>
    <s v="No"/>
    <x v="1"/>
    <x v="3"/>
    <n v="0"/>
  </r>
  <r>
    <n v="19365"/>
    <x v="0"/>
    <n v="7"/>
    <n v="210"/>
    <s v="No"/>
    <x v="0"/>
    <x v="2"/>
    <n v="0"/>
  </r>
  <r>
    <n v="15650"/>
    <x v="0"/>
    <n v="7"/>
    <n v="205"/>
    <s v="No"/>
    <x v="1"/>
    <x v="3"/>
    <n v="0"/>
  </r>
  <r>
    <n v="15293"/>
    <x v="0"/>
    <n v="10"/>
    <n v="47"/>
    <s v="No"/>
    <x v="0"/>
    <x v="2"/>
    <n v="0"/>
  </r>
  <r>
    <n v="10298"/>
    <x v="0"/>
    <n v="6"/>
    <n v="282"/>
    <s v="No"/>
    <x v="1"/>
    <x v="1"/>
    <n v="0"/>
  </r>
  <r>
    <n v="15782"/>
    <x v="1"/>
    <n v="3"/>
    <n v="64"/>
    <s v="No"/>
    <x v="0"/>
    <x v="1"/>
    <n v="0"/>
  </r>
  <r>
    <n v="11925"/>
    <x v="1"/>
    <n v="4"/>
    <n v="357"/>
    <s v="No"/>
    <x v="1"/>
    <x v="1"/>
    <n v="0"/>
  </r>
  <r>
    <n v="10287"/>
    <x v="1"/>
    <n v="4"/>
    <n v="105"/>
    <s v="No"/>
    <x v="0"/>
    <x v="2"/>
    <n v="0"/>
  </r>
  <r>
    <n v="19883"/>
    <x v="1"/>
    <n v="11"/>
    <n v="76"/>
    <s v="No"/>
    <x v="0"/>
    <x v="1"/>
    <n v="0"/>
  </r>
  <r>
    <n v="12477"/>
    <x v="0"/>
    <n v="10"/>
    <n v="48"/>
    <s v="No"/>
    <x v="0"/>
    <x v="2"/>
    <n v="0"/>
  </r>
  <r>
    <n v="12763"/>
    <x v="1"/>
    <n v="1"/>
    <n v="310"/>
    <s v="Yes"/>
    <x v="1"/>
    <x v="0"/>
    <n v="1"/>
  </r>
  <r>
    <n v="11974"/>
    <x v="0"/>
    <n v="9"/>
    <n v="87"/>
    <s v="Yes"/>
    <x v="0"/>
    <x v="3"/>
    <n v="1"/>
  </r>
  <r>
    <n v="10580"/>
    <x v="0"/>
    <n v="2"/>
    <n v="46"/>
    <s v="No"/>
    <x v="0"/>
    <x v="0"/>
    <n v="0"/>
  </r>
  <r>
    <n v="15548"/>
    <x v="1"/>
    <n v="2"/>
    <n v="280"/>
    <s v="No"/>
    <x v="1"/>
    <x v="2"/>
    <n v="0"/>
  </r>
  <r>
    <n v="19536"/>
    <x v="0"/>
    <n v="11"/>
    <n v="192"/>
    <s v="No"/>
    <x v="0"/>
    <x v="2"/>
    <n v="0"/>
  </r>
  <r>
    <n v="13204"/>
    <x v="0"/>
    <n v="9"/>
    <n v="128"/>
    <s v="No"/>
    <x v="1"/>
    <x v="3"/>
    <n v="0"/>
  </r>
  <r>
    <n v="19041"/>
    <x v="1"/>
    <n v="6"/>
    <n v="108"/>
    <s v="No"/>
    <x v="0"/>
    <x v="1"/>
    <n v="0"/>
  </r>
  <r>
    <n v="18182"/>
    <x v="0"/>
    <n v="10"/>
    <n v="204"/>
    <s v="No"/>
    <x v="1"/>
    <x v="1"/>
    <n v="0"/>
  </r>
  <r>
    <n v="14620"/>
    <x v="0"/>
    <n v="3"/>
    <n v="107"/>
    <s v="No"/>
    <x v="1"/>
    <x v="3"/>
    <n v="0"/>
  </r>
  <r>
    <n v="13398"/>
    <x v="0"/>
    <n v="1"/>
    <n v="63"/>
    <s v="No"/>
    <x v="1"/>
    <x v="2"/>
    <n v="0"/>
  </r>
  <r>
    <n v="17552"/>
    <x v="1"/>
    <n v="11"/>
    <n v="439"/>
    <s v="No"/>
    <x v="0"/>
    <x v="2"/>
    <n v="0"/>
  </r>
  <r>
    <n v="17727"/>
    <x v="1"/>
    <n v="4"/>
    <n v="329"/>
    <s v="No"/>
    <x v="1"/>
    <x v="2"/>
    <n v="0"/>
  </r>
  <r>
    <n v="13429"/>
    <x v="1"/>
    <n v="7"/>
    <n v="323"/>
    <s v="No"/>
    <x v="0"/>
    <x v="0"/>
    <n v="0"/>
  </r>
  <r>
    <n v="16457"/>
    <x v="0"/>
    <n v="11"/>
    <n v="379"/>
    <s v="No"/>
    <x v="0"/>
    <x v="1"/>
    <n v="0"/>
  </r>
  <r>
    <n v="12670"/>
    <x v="1"/>
    <n v="14"/>
    <n v="397"/>
    <s v="No"/>
    <x v="1"/>
    <x v="2"/>
    <n v="0"/>
  </r>
  <r>
    <n v="17254"/>
    <x v="1"/>
    <n v="6"/>
    <n v="370"/>
    <s v="No"/>
    <x v="1"/>
    <x v="2"/>
    <n v="0"/>
  </r>
  <r>
    <n v="16577"/>
    <x v="1"/>
    <n v="3"/>
    <n v="370"/>
    <s v="No"/>
    <x v="1"/>
    <x v="3"/>
    <n v="0"/>
  </r>
  <r>
    <n v="17982"/>
    <x v="1"/>
    <n v="8"/>
    <n v="314"/>
    <s v="No"/>
    <x v="1"/>
    <x v="2"/>
    <n v="0"/>
  </r>
  <r>
    <n v="12065"/>
    <x v="1"/>
    <n v="4"/>
    <n v="416"/>
    <s v="No"/>
    <x v="1"/>
    <x v="3"/>
    <n v="0"/>
  </r>
  <r>
    <n v="12195"/>
    <x v="1"/>
    <n v="7"/>
    <n v="138"/>
    <s v="No"/>
    <x v="1"/>
    <x v="1"/>
    <n v="0"/>
  </r>
  <r>
    <n v="11395"/>
    <x v="1"/>
    <n v="8"/>
    <n v="399"/>
    <s v="No"/>
    <x v="1"/>
    <x v="1"/>
    <n v="0"/>
  </r>
  <r>
    <n v="19473"/>
    <x v="0"/>
    <n v="11"/>
    <n v="296"/>
    <s v="No"/>
    <x v="1"/>
    <x v="2"/>
    <n v="0"/>
  </r>
  <r>
    <n v="10205"/>
    <x v="1"/>
    <n v="8"/>
    <n v="174"/>
    <s v="No"/>
    <x v="0"/>
    <x v="2"/>
    <n v="0"/>
  </r>
  <r>
    <n v="18268"/>
    <x v="0"/>
    <n v="1"/>
    <n v="295"/>
    <s v="Yes"/>
    <x v="0"/>
    <x v="0"/>
    <n v="1"/>
  </r>
  <r>
    <n v="17962"/>
    <x v="0"/>
    <n v="8"/>
    <n v="389"/>
    <s v="Yes"/>
    <x v="0"/>
    <x v="0"/>
    <n v="1"/>
  </r>
  <r>
    <n v="13430"/>
    <x v="1"/>
    <n v="14"/>
    <n v="59"/>
    <s v="No"/>
    <x v="1"/>
    <x v="1"/>
    <n v="0"/>
  </r>
  <r>
    <n v="19565"/>
    <x v="0"/>
    <n v="10"/>
    <n v="197"/>
    <s v="No"/>
    <x v="1"/>
    <x v="1"/>
    <n v="0"/>
  </r>
  <r>
    <n v="16680"/>
    <x v="1"/>
    <n v="11"/>
    <n v="257"/>
    <s v="No"/>
    <x v="1"/>
    <x v="0"/>
    <n v="0"/>
  </r>
  <r>
    <n v="13712"/>
    <x v="0"/>
    <n v="2"/>
    <n v="155"/>
    <s v="Yes"/>
    <x v="1"/>
    <x v="3"/>
    <n v="1"/>
  </r>
  <r>
    <n v="14752"/>
    <x v="1"/>
    <n v="9"/>
    <n v="238"/>
    <s v="No"/>
    <x v="1"/>
    <x v="1"/>
    <n v="0"/>
  </r>
  <r>
    <n v="19561"/>
    <x v="0"/>
    <n v="2"/>
    <n v="399"/>
    <s v="No"/>
    <x v="0"/>
    <x v="1"/>
    <n v="0"/>
  </r>
  <r>
    <n v="10935"/>
    <x v="1"/>
    <n v="2"/>
    <n v="101"/>
    <s v="No"/>
    <x v="0"/>
    <x v="0"/>
    <n v="0"/>
  </r>
  <r>
    <n v="11171"/>
    <x v="0"/>
    <n v="10"/>
    <n v="248"/>
    <s v="No"/>
    <x v="1"/>
    <x v="0"/>
    <n v="0"/>
  </r>
  <r>
    <n v="15718"/>
    <x v="0"/>
    <n v="5"/>
    <n v="51"/>
    <s v="No"/>
    <x v="1"/>
    <x v="1"/>
    <n v="0"/>
  </r>
  <r>
    <n v="13893"/>
    <x v="0"/>
    <n v="2"/>
    <n v="143"/>
    <s v="Yes"/>
    <x v="0"/>
    <x v="1"/>
    <n v="1"/>
  </r>
  <r>
    <n v="11766"/>
    <x v="0"/>
    <n v="12"/>
    <n v="318"/>
    <s v="No"/>
    <x v="1"/>
    <x v="2"/>
    <n v="0"/>
  </r>
  <r>
    <n v="18850"/>
    <x v="1"/>
    <n v="4"/>
    <n v="54"/>
    <s v="No"/>
    <x v="1"/>
    <x v="2"/>
    <n v="0"/>
  </r>
  <r>
    <n v="19920"/>
    <x v="0"/>
    <n v="4"/>
    <n v="227"/>
    <s v="No"/>
    <x v="0"/>
    <x v="2"/>
    <n v="0"/>
  </r>
  <r>
    <n v="13601"/>
    <x v="1"/>
    <n v="9"/>
    <n v="157"/>
    <s v="No"/>
    <x v="0"/>
    <x v="1"/>
    <n v="0"/>
  </r>
  <r>
    <n v="14537"/>
    <x v="0"/>
    <n v="6"/>
    <n v="406"/>
    <s v="No"/>
    <x v="1"/>
    <x v="3"/>
    <n v="0"/>
  </r>
  <r>
    <n v="15331"/>
    <x v="0"/>
    <n v="4"/>
    <n v="436"/>
    <s v="No"/>
    <x v="1"/>
    <x v="1"/>
    <n v="0"/>
  </r>
  <r>
    <n v="12340"/>
    <x v="0"/>
    <n v="3"/>
    <n v="41"/>
    <s v="No"/>
    <x v="0"/>
    <x v="2"/>
    <n v="0"/>
  </r>
  <r>
    <n v="16461"/>
    <x v="0"/>
    <n v="4"/>
    <n v="262"/>
    <s v="No"/>
    <x v="0"/>
    <x v="1"/>
    <n v="0"/>
  </r>
  <r>
    <n v="10288"/>
    <x v="1"/>
    <n v="9"/>
    <n v="88"/>
    <s v="No"/>
    <x v="1"/>
    <x v="3"/>
    <n v="0"/>
  </r>
  <r>
    <n v="17032"/>
    <x v="0"/>
    <n v="5"/>
    <n v="198"/>
    <s v="No"/>
    <x v="0"/>
    <x v="2"/>
    <n v="0"/>
  </r>
  <r>
    <n v="13371"/>
    <x v="0"/>
    <n v="10"/>
    <n v="146"/>
    <s v="No"/>
    <x v="1"/>
    <x v="2"/>
    <n v="0"/>
  </r>
  <r>
    <n v="13260"/>
    <x v="0"/>
    <n v="11"/>
    <n v="225"/>
    <s v="No"/>
    <x v="1"/>
    <x v="0"/>
    <n v="0"/>
  </r>
  <r>
    <n v="18390"/>
    <x v="1"/>
    <n v="12"/>
    <n v="377"/>
    <s v="No"/>
    <x v="1"/>
    <x v="2"/>
    <n v="0"/>
  </r>
  <r>
    <n v="15721"/>
    <x v="1"/>
    <n v="7"/>
    <n v="439"/>
    <s v="Yes"/>
    <x v="1"/>
    <x v="2"/>
    <n v="1"/>
  </r>
  <r>
    <n v="19214"/>
    <x v="1"/>
    <n v="1"/>
    <n v="386"/>
    <s v="No"/>
    <x v="1"/>
    <x v="1"/>
    <n v="0"/>
  </r>
  <r>
    <n v="13809"/>
    <x v="0"/>
    <n v="5"/>
    <n v="436"/>
    <s v="Yes"/>
    <x v="0"/>
    <x v="0"/>
    <n v="1"/>
  </r>
  <r>
    <n v="17891"/>
    <x v="1"/>
    <n v="9"/>
    <n v="209"/>
    <s v="No"/>
    <x v="0"/>
    <x v="1"/>
    <n v="0"/>
  </r>
  <r>
    <n v="14155"/>
    <x v="0"/>
    <n v="5"/>
    <n v="213"/>
    <s v="No"/>
    <x v="0"/>
    <x v="1"/>
    <n v="0"/>
  </r>
  <r>
    <n v="11679"/>
    <x v="0"/>
    <n v="1"/>
    <n v="403"/>
    <s v="No"/>
    <x v="0"/>
    <x v="0"/>
    <n v="0"/>
  </r>
  <r>
    <n v="16029"/>
    <x v="1"/>
    <n v="11"/>
    <n v="178"/>
    <s v="No"/>
    <x v="1"/>
    <x v="2"/>
    <n v="0"/>
  </r>
  <r>
    <n v="10627"/>
    <x v="1"/>
    <n v="8"/>
    <n v="75"/>
    <s v="No"/>
    <x v="1"/>
    <x v="1"/>
    <n v="0"/>
  </r>
  <r>
    <n v="10607"/>
    <x v="0"/>
    <n v="8"/>
    <n v="149"/>
    <s v="No"/>
    <x v="1"/>
    <x v="0"/>
    <n v="0"/>
  </r>
  <r>
    <n v="19865"/>
    <x v="1"/>
    <n v="8"/>
    <n v="104"/>
    <s v="No"/>
    <x v="0"/>
    <x v="0"/>
    <n v="0"/>
  </r>
  <r>
    <n v="16362"/>
    <x v="1"/>
    <n v="7"/>
    <n v="261"/>
    <s v="No"/>
    <x v="1"/>
    <x v="2"/>
    <n v="0"/>
  </r>
  <r>
    <n v="12257"/>
    <x v="1"/>
    <n v="12"/>
    <n v="236"/>
    <s v="No"/>
    <x v="0"/>
    <x v="0"/>
    <n v="0"/>
  </r>
  <r>
    <n v="12302"/>
    <x v="1"/>
    <n v="11"/>
    <n v="40"/>
    <s v="No"/>
    <x v="1"/>
    <x v="1"/>
    <n v="0"/>
  </r>
  <r>
    <n v="13099"/>
    <x v="1"/>
    <n v="3"/>
    <n v="426"/>
    <s v="No"/>
    <x v="1"/>
    <x v="3"/>
    <n v="0"/>
  </r>
  <r>
    <n v="19160"/>
    <x v="0"/>
    <n v="8"/>
    <n v="403"/>
    <s v="No"/>
    <x v="1"/>
    <x v="0"/>
    <n v="0"/>
  </r>
  <r>
    <n v="10814"/>
    <x v="1"/>
    <n v="14"/>
    <n v="93"/>
    <s v="No"/>
    <x v="1"/>
    <x v="0"/>
    <n v="0"/>
  </r>
  <r>
    <n v="11668"/>
    <x v="0"/>
    <n v="6"/>
    <n v="189"/>
    <s v="No"/>
    <x v="0"/>
    <x v="1"/>
    <n v="0"/>
  </r>
  <r>
    <n v="17796"/>
    <x v="0"/>
    <n v="4"/>
    <n v="375"/>
    <s v="No"/>
    <x v="1"/>
    <x v="0"/>
    <n v="0"/>
  </r>
  <r>
    <n v="15768"/>
    <x v="0"/>
    <n v="1"/>
    <n v="192"/>
    <s v="No"/>
    <x v="0"/>
    <x v="1"/>
    <n v="0"/>
  </r>
  <r>
    <n v="19001"/>
    <x v="1"/>
    <n v="2"/>
    <n v="437"/>
    <s v="No"/>
    <x v="1"/>
    <x v="1"/>
    <n v="0"/>
  </r>
  <r>
    <n v="14057"/>
    <x v="0"/>
    <n v="10"/>
    <n v="89"/>
    <s v="Yes"/>
    <x v="1"/>
    <x v="3"/>
    <n v="1"/>
  </r>
  <r>
    <n v="11806"/>
    <x v="1"/>
    <n v="3"/>
    <n v="381"/>
    <s v="No"/>
    <x v="1"/>
    <x v="1"/>
    <n v="0"/>
  </r>
  <r>
    <n v="19337"/>
    <x v="0"/>
    <n v="6"/>
    <n v="354"/>
    <s v="Yes"/>
    <x v="0"/>
    <x v="2"/>
    <n v="1"/>
  </r>
  <r>
    <n v="17674"/>
    <x v="0"/>
    <n v="10"/>
    <n v="403"/>
    <s v="No"/>
    <x v="0"/>
    <x v="0"/>
    <n v="0"/>
  </r>
  <r>
    <n v="12392"/>
    <x v="0"/>
    <n v="10"/>
    <n v="311"/>
    <s v="No"/>
    <x v="0"/>
    <x v="3"/>
    <n v="0"/>
  </r>
  <r>
    <n v="13447"/>
    <x v="0"/>
    <n v="5"/>
    <n v="61"/>
    <s v="No"/>
    <x v="0"/>
    <x v="2"/>
    <n v="0"/>
  </r>
  <r>
    <n v="18503"/>
    <x v="0"/>
    <n v="7"/>
    <n v="108"/>
    <s v="No"/>
    <x v="1"/>
    <x v="3"/>
    <n v="0"/>
  </r>
  <r>
    <n v="19583"/>
    <x v="0"/>
    <n v="5"/>
    <n v="313"/>
    <s v="No"/>
    <x v="0"/>
    <x v="2"/>
    <n v="0"/>
  </r>
  <r>
    <n v="18413"/>
    <x v="1"/>
    <n v="1"/>
    <n v="293"/>
    <s v="No"/>
    <x v="0"/>
    <x v="0"/>
    <n v="0"/>
  </r>
  <r>
    <n v="18367"/>
    <x v="0"/>
    <n v="5"/>
    <n v="93"/>
    <s v="No"/>
    <x v="1"/>
    <x v="2"/>
    <n v="0"/>
  </r>
  <r>
    <n v="19837"/>
    <x v="0"/>
    <n v="7"/>
    <n v="449"/>
    <s v="Yes"/>
    <x v="0"/>
    <x v="1"/>
    <n v="1"/>
  </r>
  <r>
    <n v="12999"/>
    <x v="0"/>
    <n v="4"/>
    <n v="289"/>
    <s v="No"/>
    <x v="1"/>
    <x v="0"/>
    <n v="0"/>
  </r>
  <r>
    <n v="17561"/>
    <x v="1"/>
    <n v="5"/>
    <n v="445"/>
    <s v="No"/>
    <x v="0"/>
    <x v="3"/>
    <n v="0"/>
  </r>
  <r>
    <n v="18310"/>
    <x v="0"/>
    <n v="4"/>
    <n v="348"/>
    <s v="No"/>
    <x v="0"/>
    <x v="3"/>
    <n v="0"/>
  </r>
  <r>
    <n v="15747"/>
    <x v="1"/>
    <n v="14"/>
    <n v="40"/>
    <s v="No"/>
    <x v="0"/>
    <x v="0"/>
    <n v="0"/>
  </r>
  <r>
    <n v="12384"/>
    <x v="0"/>
    <n v="10"/>
    <n v="138"/>
    <s v="No"/>
    <x v="0"/>
    <x v="3"/>
    <n v="0"/>
  </r>
  <r>
    <n v="18488"/>
    <x v="1"/>
    <n v="10"/>
    <n v="139"/>
    <s v="No"/>
    <x v="1"/>
    <x v="1"/>
    <n v="0"/>
  </r>
  <r>
    <n v="16897"/>
    <x v="1"/>
    <n v="5"/>
    <n v="306"/>
    <s v="No"/>
    <x v="1"/>
    <x v="2"/>
    <n v="0"/>
  </r>
  <r>
    <n v="14912"/>
    <x v="1"/>
    <n v="1"/>
    <n v="114"/>
    <s v="Yes"/>
    <x v="1"/>
    <x v="0"/>
    <n v="1"/>
  </r>
  <r>
    <n v="15529"/>
    <x v="0"/>
    <n v="9"/>
    <n v="341"/>
    <s v="No"/>
    <x v="0"/>
    <x v="0"/>
    <n v="0"/>
  </r>
  <r>
    <n v="13899"/>
    <x v="0"/>
    <n v="4"/>
    <n v="84"/>
    <s v="No"/>
    <x v="1"/>
    <x v="2"/>
    <n v="0"/>
  </r>
  <r>
    <n v="13843"/>
    <x v="0"/>
    <n v="8"/>
    <n v="396"/>
    <s v="No"/>
    <x v="1"/>
    <x v="1"/>
    <n v="0"/>
  </r>
  <r>
    <n v="16827"/>
    <x v="1"/>
    <n v="13"/>
    <n v="312"/>
    <s v="No"/>
    <x v="1"/>
    <x v="3"/>
    <n v="0"/>
  </r>
  <r>
    <n v="17513"/>
    <x v="0"/>
    <n v="7"/>
    <n v="114"/>
    <s v="No"/>
    <x v="1"/>
    <x v="1"/>
    <n v="0"/>
  </r>
  <r>
    <n v="15114"/>
    <x v="0"/>
    <n v="12"/>
    <n v="112"/>
    <s v="Yes"/>
    <x v="1"/>
    <x v="3"/>
    <n v="1"/>
  </r>
  <r>
    <n v="16868"/>
    <x v="0"/>
    <n v="9"/>
    <n v="232"/>
    <s v="Yes"/>
    <x v="0"/>
    <x v="2"/>
    <n v="1"/>
  </r>
  <r>
    <n v="12540"/>
    <x v="1"/>
    <n v="10"/>
    <n v="402"/>
    <s v="No"/>
    <x v="0"/>
    <x v="1"/>
    <n v="0"/>
  </r>
  <r>
    <n v="18625"/>
    <x v="0"/>
    <n v="1"/>
    <n v="173"/>
    <s v="No"/>
    <x v="1"/>
    <x v="0"/>
    <n v="0"/>
  </r>
  <r>
    <n v="18451"/>
    <x v="0"/>
    <n v="12"/>
    <n v="426"/>
    <s v="Yes"/>
    <x v="0"/>
    <x v="3"/>
    <n v="1"/>
  </r>
  <r>
    <n v="15447"/>
    <x v="1"/>
    <n v="2"/>
    <n v="230"/>
    <s v="No"/>
    <x v="0"/>
    <x v="0"/>
    <n v="0"/>
  </r>
  <r>
    <n v="13445"/>
    <x v="0"/>
    <n v="13"/>
    <n v="339"/>
    <s v="No"/>
    <x v="1"/>
    <x v="1"/>
    <n v="0"/>
  </r>
  <r>
    <n v="13586"/>
    <x v="1"/>
    <n v="2"/>
    <n v="286"/>
    <s v="No"/>
    <x v="1"/>
    <x v="1"/>
    <n v="0"/>
  </r>
  <r>
    <n v="10779"/>
    <x v="0"/>
    <n v="11"/>
    <n v="325"/>
    <s v="No"/>
    <x v="0"/>
    <x v="3"/>
    <n v="0"/>
  </r>
  <r>
    <n v="16383"/>
    <x v="0"/>
    <n v="10"/>
    <n v="114"/>
    <s v="No"/>
    <x v="0"/>
    <x v="3"/>
    <n v="0"/>
  </r>
  <r>
    <n v="14049"/>
    <x v="1"/>
    <n v="11"/>
    <n v="308"/>
    <s v="No"/>
    <x v="1"/>
    <x v="2"/>
    <n v="0"/>
  </r>
  <r>
    <n v="14579"/>
    <x v="1"/>
    <n v="9"/>
    <n v="274"/>
    <s v="No"/>
    <x v="1"/>
    <x v="2"/>
    <n v="0"/>
  </r>
  <r>
    <n v="11801"/>
    <x v="1"/>
    <n v="12"/>
    <n v="406"/>
    <s v="No"/>
    <x v="0"/>
    <x v="0"/>
    <n v="0"/>
  </r>
  <r>
    <n v="16319"/>
    <x v="1"/>
    <n v="8"/>
    <n v="78"/>
    <s v="No"/>
    <x v="1"/>
    <x v="2"/>
    <n v="0"/>
  </r>
  <r>
    <n v="15132"/>
    <x v="1"/>
    <n v="5"/>
    <n v="401"/>
    <s v="No"/>
    <x v="1"/>
    <x v="1"/>
    <n v="0"/>
  </r>
  <r>
    <n v="12704"/>
    <x v="1"/>
    <n v="1"/>
    <n v="105"/>
    <s v="No"/>
    <x v="1"/>
    <x v="1"/>
    <n v="0"/>
  </r>
  <r>
    <n v="14424"/>
    <x v="1"/>
    <n v="8"/>
    <n v="397"/>
    <s v="No"/>
    <x v="1"/>
    <x v="0"/>
    <n v="0"/>
  </r>
  <r>
    <n v="19989"/>
    <x v="0"/>
    <n v="9"/>
    <n v="433"/>
    <s v="Yes"/>
    <x v="0"/>
    <x v="1"/>
    <n v="1"/>
  </r>
  <r>
    <n v="15303"/>
    <x v="0"/>
    <n v="10"/>
    <n v="141"/>
    <s v="No"/>
    <x v="0"/>
    <x v="3"/>
    <n v="0"/>
  </r>
  <r>
    <n v="19635"/>
    <x v="1"/>
    <n v="4"/>
    <n v="292"/>
    <s v="No"/>
    <x v="1"/>
    <x v="0"/>
    <n v="0"/>
  </r>
  <r>
    <n v="17142"/>
    <x v="0"/>
    <n v="11"/>
    <n v="130"/>
    <s v="No"/>
    <x v="1"/>
    <x v="2"/>
    <n v="0"/>
  </r>
  <r>
    <n v="11521"/>
    <x v="0"/>
    <n v="10"/>
    <n v="114"/>
    <s v="No"/>
    <x v="0"/>
    <x v="2"/>
    <n v="0"/>
  </r>
  <r>
    <n v="16707"/>
    <x v="1"/>
    <n v="12"/>
    <n v="164"/>
    <s v="No"/>
    <x v="0"/>
    <x v="3"/>
    <n v="0"/>
  </r>
  <r>
    <n v="13238"/>
    <x v="1"/>
    <n v="6"/>
    <n v="391"/>
    <s v="No"/>
    <x v="1"/>
    <x v="2"/>
    <n v="0"/>
  </r>
  <r>
    <n v="11254"/>
    <x v="0"/>
    <n v="12"/>
    <n v="211"/>
    <s v="No"/>
    <x v="0"/>
    <x v="0"/>
    <n v="0"/>
  </r>
  <r>
    <n v="12702"/>
    <x v="1"/>
    <n v="2"/>
    <n v="286"/>
    <s v="Yes"/>
    <x v="0"/>
    <x v="0"/>
    <n v="1"/>
  </r>
  <r>
    <n v="16357"/>
    <x v="1"/>
    <n v="4"/>
    <n v="423"/>
    <s v="No"/>
    <x v="1"/>
    <x v="1"/>
    <n v="0"/>
  </r>
  <r>
    <n v="12569"/>
    <x v="1"/>
    <n v="4"/>
    <n v="391"/>
    <s v="No"/>
    <x v="0"/>
    <x v="2"/>
    <n v="0"/>
  </r>
  <r>
    <n v="13886"/>
    <x v="1"/>
    <n v="8"/>
    <n v="94"/>
    <s v="No"/>
    <x v="0"/>
    <x v="0"/>
    <n v="0"/>
  </r>
  <r>
    <n v="10521"/>
    <x v="1"/>
    <n v="1"/>
    <n v="185"/>
    <s v="No"/>
    <x v="1"/>
    <x v="1"/>
    <n v="0"/>
  </r>
  <r>
    <n v="18573"/>
    <x v="0"/>
    <n v="3"/>
    <n v="422"/>
    <s v="Yes"/>
    <x v="1"/>
    <x v="0"/>
    <n v="1"/>
  </r>
  <r>
    <n v="13734"/>
    <x v="0"/>
    <n v="12"/>
    <n v="377"/>
    <s v="No"/>
    <x v="0"/>
    <x v="0"/>
    <n v="0"/>
  </r>
  <r>
    <n v="10040"/>
    <x v="1"/>
    <n v="3"/>
    <n v="112"/>
    <s v="No"/>
    <x v="1"/>
    <x v="3"/>
    <n v="0"/>
  </r>
  <r>
    <n v="17488"/>
    <x v="0"/>
    <n v="10"/>
    <n v="445"/>
    <s v="Yes"/>
    <x v="1"/>
    <x v="1"/>
    <n v="1"/>
  </r>
  <r>
    <n v="12812"/>
    <x v="0"/>
    <n v="3"/>
    <n v="261"/>
    <s v="No"/>
    <x v="1"/>
    <x v="2"/>
    <n v="0"/>
  </r>
  <r>
    <n v="12743"/>
    <x v="1"/>
    <n v="13"/>
    <n v="428"/>
    <s v="No"/>
    <x v="1"/>
    <x v="3"/>
    <n v="0"/>
  </r>
  <r>
    <n v="10155"/>
    <x v="0"/>
    <n v="10"/>
    <n v="266"/>
    <s v="No"/>
    <x v="0"/>
    <x v="1"/>
    <n v="0"/>
  </r>
  <r>
    <n v="11259"/>
    <x v="0"/>
    <n v="1"/>
    <n v="279"/>
    <s v="No"/>
    <x v="1"/>
    <x v="0"/>
    <n v="0"/>
  </r>
  <r>
    <n v="11515"/>
    <x v="1"/>
    <n v="14"/>
    <n v="258"/>
    <s v="No"/>
    <x v="0"/>
    <x v="1"/>
    <n v="0"/>
  </r>
  <r>
    <n v="12156"/>
    <x v="0"/>
    <n v="2"/>
    <n v="272"/>
    <s v="No"/>
    <x v="1"/>
    <x v="2"/>
    <n v="0"/>
  </r>
  <r>
    <n v="14316"/>
    <x v="1"/>
    <n v="11"/>
    <n v="149"/>
    <s v="No"/>
    <x v="0"/>
    <x v="2"/>
    <n v="0"/>
  </r>
  <r>
    <n v="14559"/>
    <x v="1"/>
    <n v="1"/>
    <n v="320"/>
    <s v="No"/>
    <x v="0"/>
    <x v="2"/>
    <n v="0"/>
  </r>
  <r>
    <n v="18549"/>
    <x v="0"/>
    <n v="7"/>
    <n v="326"/>
    <s v="No"/>
    <x v="0"/>
    <x v="1"/>
    <n v="0"/>
  </r>
  <r>
    <n v="13435"/>
    <x v="0"/>
    <n v="12"/>
    <n v="162"/>
    <s v="No"/>
    <x v="0"/>
    <x v="2"/>
    <n v="0"/>
  </r>
  <r>
    <n v="18821"/>
    <x v="0"/>
    <n v="7"/>
    <n v="351"/>
    <s v="No"/>
    <x v="1"/>
    <x v="1"/>
    <n v="0"/>
  </r>
  <r>
    <n v="12872"/>
    <x v="1"/>
    <n v="7"/>
    <n v="129"/>
    <s v="No"/>
    <x v="0"/>
    <x v="1"/>
    <n v="0"/>
  </r>
  <r>
    <n v="15075"/>
    <x v="1"/>
    <n v="7"/>
    <n v="359"/>
    <s v="No"/>
    <x v="1"/>
    <x v="2"/>
    <n v="0"/>
  </r>
  <r>
    <n v="18608"/>
    <x v="1"/>
    <n v="13"/>
    <n v="105"/>
    <s v="Yes"/>
    <x v="0"/>
    <x v="2"/>
    <n v="1"/>
  </r>
  <r>
    <n v="14787"/>
    <x v="1"/>
    <n v="7"/>
    <n v="158"/>
    <s v="No"/>
    <x v="1"/>
    <x v="2"/>
    <n v="0"/>
  </r>
  <r>
    <n v="11857"/>
    <x v="0"/>
    <n v="8"/>
    <n v="239"/>
    <s v="No"/>
    <x v="1"/>
    <x v="2"/>
    <n v="0"/>
  </r>
  <r>
    <n v="18329"/>
    <x v="1"/>
    <n v="6"/>
    <n v="109"/>
    <s v="No"/>
    <x v="1"/>
    <x v="0"/>
    <n v="0"/>
  </r>
  <r>
    <n v="14558"/>
    <x v="0"/>
    <n v="1"/>
    <n v="64"/>
    <s v="Yes"/>
    <x v="0"/>
    <x v="3"/>
    <n v="1"/>
  </r>
  <r>
    <n v="19395"/>
    <x v="0"/>
    <n v="10"/>
    <n v="114"/>
    <s v="No"/>
    <x v="0"/>
    <x v="1"/>
    <n v="0"/>
  </r>
  <r>
    <n v="13644"/>
    <x v="1"/>
    <n v="3"/>
    <n v="189"/>
    <s v="Yes"/>
    <x v="0"/>
    <x v="3"/>
    <n v="1"/>
  </r>
  <r>
    <n v="18446"/>
    <x v="0"/>
    <n v="4"/>
    <n v="181"/>
    <s v="No"/>
    <x v="1"/>
    <x v="2"/>
    <n v="0"/>
  </r>
  <r>
    <n v="17293"/>
    <x v="1"/>
    <n v="13"/>
    <n v="381"/>
    <s v="No"/>
    <x v="1"/>
    <x v="3"/>
    <n v="0"/>
  </r>
  <r>
    <n v="18057"/>
    <x v="1"/>
    <n v="10"/>
    <n v="188"/>
    <s v="No"/>
    <x v="1"/>
    <x v="3"/>
    <n v="0"/>
  </r>
  <r>
    <n v="10427"/>
    <x v="1"/>
    <n v="4"/>
    <n v="213"/>
    <s v="No"/>
    <x v="1"/>
    <x v="3"/>
    <n v="0"/>
  </r>
  <r>
    <n v="16881"/>
    <x v="1"/>
    <n v="11"/>
    <n v="223"/>
    <s v="No"/>
    <x v="0"/>
    <x v="0"/>
    <n v="0"/>
  </r>
  <r>
    <n v="17080"/>
    <x v="0"/>
    <n v="6"/>
    <n v="169"/>
    <s v="Yes"/>
    <x v="1"/>
    <x v="2"/>
    <n v="1"/>
  </r>
  <r>
    <n v="19600"/>
    <x v="1"/>
    <n v="13"/>
    <n v="401"/>
    <s v="No"/>
    <x v="0"/>
    <x v="1"/>
    <n v="0"/>
  </r>
  <r>
    <n v="18151"/>
    <x v="0"/>
    <n v="12"/>
    <n v="436"/>
    <s v="No"/>
    <x v="0"/>
    <x v="3"/>
    <n v="0"/>
  </r>
  <r>
    <n v="18338"/>
    <x v="1"/>
    <n v="2"/>
    <n v="211"/>
    <s v="No"/>
    <x v="0"/>
    <x v="3"/>
    <n v="0"/>
  </r>
  <r>
    <n v="13811"/>
    <x v="0"/>
    <n v="4"/>
    <n v="127"/>
    <s v="No"/>
    <x v="0"/>
    <x v="0"/>
    <n v="0"/>
  </r>
  <r>
    <n v="12029"/>
    <x v="0"/>
    <n v="5"/>
    <n v="263"/>
    <s v="No"/>
    <x v="0"/>
    <x v="3"/>
    <n v="0"/>
  </r>
  <r>
    <n v="13053"/>
    <x v="1"/>
    <n v="13"/>
    <n v="144"/>
    <s v="No"/>
    <x v="1"/>
    <x v="0"/>
    <n v="0"/>
  </r>
  <r>
    <n v="15723"/>
    <x v="1"/>
    <n v="7"/>
    <n v="373"/>
    <s v="No"/>
    <x v="1"/>
    <x v="2"/>
    <n v="0"/>
  </r>
  <r>
    <n v="17993"/>
    <x v="1"/>
    <n v="7"/>
    <n v="314"/>
    <s v="No"/>
    <x v="0"/>
    <x v="2"/>
    <n v="0"/>
  </r>
  <r>
    <n v="19652"/>
    <x v="1"/>
    <n v="13"/>
    <n v="302"/>
    <s v="No"/>
    <x v="0"/>
    <x v="2"/>
    <n v="0"/>
  </r>
  <r>
    <n v="13979"/>
    <x v="0"/>
    <n v="2"/>
    <n v="386"/>
    <s v="No"/>
    <x v="1"/>
    <x v="0"/>
    <n v="0"/>
  </r>
  <r>
    <n v="18886"/>
    <x v="1"/>
    <n v="1"/>
    <n v="434"/>
    <s v="No"/>
    <x v="0"/>
    <x v="2"/>
    <n v="0"/>
  </r>
  <r>
    <n v="15710"/>
    <x v="0"/>
    <n v="11"/>
    <n v="61"/>
    <s v="No"/>
    <x v="1"/>
    <x v="1"/>
    <n v="0"/>
  </r>
  <r>
    <n v="19869"/>
    <x v="0"/>
    <n v="13"/>
    <n v="59"/>
    <s v="No"/>
    <x v="1"/>
    <x v="1"/>
    <n v="0"/>
  </r>
  <r>
    <n v="13048"/>
    <x v="0"/>
    <n v="14"/>
    <n v="204"/>
    <s v="No"/>
    <x v="1"/>
    <x v="0"/>
    <n v="0"/>
  </r>
  <r>
    <n v="19341"/>
    <x v="0"/>
    <n v="5"/>
    <n v="315"/>
    <s v="No"/>
    <x v="0"/>
    <x v="0"/>
    <n v="0"/>
  </r>
  <r>
    <n v="17378"/>
    <x v="0"/>
    <n v="14"/>
    <n v="310"/>
    <s v="Yes"/>
    <x v="0"/>
    <x v="1"/>
    <n v="1"/>
  </r>
  <r>
    <n v="16676"/>
    <x v="1"/>
    <n v="9"/>
    <n v="418"/>
    <s v="No"/>
    <x v="1"/>
    <x v="3"/>
    <n v="0"/>
  </r>
  <r>
    <n v="19091"/>
    <x v="0"/>
    <n v="3"/>
    <n v="346"/>
    <s v="No"/>
    <x v="0"/>
    <x v="1"/>
    <n v="0"/>
  </r>
  <r>
    <n v="10812"/>
    <x v="0"/>
    <n v="6"/>
    <n v="53"/>
    <s v="No"/>
    <x v="0"/>
    <x v="3"/>
    <n v="0"/>
  </r>
  <r>
    <n v="16039"/>
    <x v="0"/>
    <n v="9"/>
    <n v="308"/>
    <s v="No"/>
    <x v="0"/>
    <x v="2"/>
    <n v="0"/>
  </r>
  <r>
    <n v="12749"/>
    <x v="0"/>
    <n v="5"/>
    <n v="175"/>
    <s v="No"/>
    <x v="1"/>
    <x v="2"/>
    <n v="0"/>
  </r>
  <r>
    <n v="15497"/>
    <x v="1"/>
    <n v="11"/>
    <n v="195"/>
    <s v="No"/>
    <x v="0"/>
    <x v="0"/>
    <n v="0"/>
  </r>
  <r>
    <n v="17998"/>
    <x v="0"/>
    <n v="11"/>
    <n v="341"/>
    <s v="No"/>
    <x v="0"/>
    <x v="0"/>
    <n v="0"/>
  </r>
  <r>
    <n v="18407"/>
    <x v="1"/>
    <n v="8"/>
    <n v="75"/>
    <s v="No"/>
    <x v="0"/>
    <x v="3"/>
    <n v="0"/>
  </r>
  <r>
    <n v="12545"/>
    <x v="1"/>
    <n v="10"/>
    <n v="156"/>
    <s v="No"/>
    <x v="0"/>
    <x v="0"/>
    <n v="0"/>
  </r>
  <r>
    <n v="15126"/>
    <x v="1"/>
    <n v="9"/>
    <n v="412"/>
    <s v="No"/>
    <x v="1"/>
    <x v="2"/>
    <n v="0"/>
  </r>
  <r>
    <n v="19592"/>
    <x v="0"/>
    <n v="11"/>
    <n v="140"/>
    <s v="No"/>
    <x v="0"/>
    <x v="1"/>
    <n v="0"/>
  </r>
  <r>
    <n v="18824"/>
    <x v="1"/>
    <n v="2"/>
    <n v="45"/>
    <s v="No"/>
    <x v="1"/>
    <x v="2"/>
    <n v="0"/>
  </r>
  <r>
    <n v="15366"/>
    <x v="1"/>
    <n v="12"/>
    <n v="314"/>
    <s v="No"/>
    <x v="0"/>
    <x v="2"/>
    <n v="0"/>
  </r>
  <r>
    <n v="11659"/>
    <x v="1"/>
    <n v="8"/>
    <n v="230"/>
    <s v="No"/>
    <x v="0"/>
    <x v="2"/>
    <n v="0"/>
  </r>
  <r>
    <n v="18019"/>
    <x v="0"/>
    <n v="5"/>
    <n v="185"/>
    <s v="Yes"/>
    <x v="0"/>
    <x v="3"/>
    <n v="1"/>
  </r>
  <r>
    <n v="18721"/>
    <x v="0"/>
    <n v="1"/>
    <n v="98"/>
    <s v="No"/>
    <x v="1"/>
    <x v="1"/>
    <n v="0"/>
  </r>
  <r>
    <n v="10409"/>
    <x v="1"/>
    <n v="5"/>
    <n v="396"/>
    <s v="No"/>
    <x v="0"/>
    <x v="1"/>
    <n v="0"/>
  </r>
  <r>
    <n v="15535"/>
    <x v="0"/>
    <n v="6"/>
    <n v="210"/>
    <s v="No"/>
    <x v="0"/>
    <x v="3"/>
    <n v="0"/>
  </r>
  <r>
    <n v="18504"/>
    <x v="1"/>
    <n v="11"/>
    <n v="225"/>
    <s v="No"/>
    <x v="0"/>
    <x v="1"/>
    <n v="0"/>
  </r>
  <r>
    <n v="19234"/>
    <x v="1"/>
    <n v="1"/>
    <n v="270"/>
    <s v="No"/>
    <x v="1"/>
    <x v="1"/>
    <n v="0"/>
  </r>
  <r>
    <n v="17440"/>
    <x v="1"/>
    <n v="4"/>
    <n v="132"/>
    <s v="Yes"/>
    <x v="1"/>
    <x v="1"/>
    <n v="1"/>
  </r>
  <r>
    <n v="16981"/>
    <x v="1"/>
    <n v="2"/>
    <n v="278"/>
    <s v="No"/>
    <x v="0"/>
    <x v="2"/>
    <n v="0"/>
  </r>
  <r>
    <n v="14387"/>
    <x v="1"/>
    <n v="12"/>
    <n v="277"/>
    <s v="No"/>
    <x v="1"/>
    <x v="0"/>
    <n v="0"/>
  </r>
  <r>
    <n v="17207"/>
    <x v="1"/>
    <n v="5"/>
    <n v="424"/>
    <s v="No"/>
    <x v="0"/>
    <x v="3"/>
    <n v="0"/>
  </r>
  <r>
    <n v="14626"/>
    <x v="0"/>
    <n v="10"/>
    <n v="236"/>
    <s v="No"/>
    <x v="1"/>
    <x v="3"/>
    <n v="0"/>
  </r>
  <r>
    <n v="13959"/>
    <x v="0"/>
    <n v="14"/>
    <n v="80"/>
    <s v="No"/>
    <x v="0"/>
    <x v="0"/>
    <n v="0"/>
  </r>
  <r>
    <n v="11360"/>
    <x v="1"/>
    <n v="2"/>
    <n v="138"/>
    <s v="No"/>
    <x v="0"/>
    <x v="2"/>
    <n v="0"/>
  </r>
  <r>
    <n v="10659"/>
    <x v="1"/>
    <n v="7"/>
    <n v="338"/>
    <s v="No"/>
    <x v="0"/>
    <x v="3"/>
    <n v="0"/>
  </r>
  <r>
    <n v="19209"/>
    <x v="0"/>
    <n v="7"/>
    <n v="216"/>
    <s v="Yes"/>
    <x v="1"/>
    <x v="3"/>
    <n v="1"/>
  </r>
  <r>
    <n v="10534"/>
    <x v="0"/>
    <n v="6"/>
    <n v="373"/>
    <s v="No"/>
    <x v="1"/>
    <x v="0"/>
    <n v="0"/>
  </r>
  <r>
    <n v="17137"/>
    <x v="1"/>
    <n v="11"/>
    <n v="312"/>
    <s v="No"/>
    <x v="1"/>
    <x v="2"/>
    <n v="0"/>
  </r>
  <r>
    <n v="16743"/>
    <x v="1"/>
    <n v="1"/>
    <n v="424"/>
    <s v="No"/>
    <x v="0"/>
    <x v="3"/>
    <n v="0"/>
  </r>
  <r>
    <n v="19735"/>
    <x v="0"/>
    <n v="12"/>
    <n v="195"/>
    <s v="No"/>
    <x v="0"/>
    <x v="1"/>
    <n v="0"/>
  </r>
  <r>
    <n v="13066"/>
    <x v="0"/>
    <n v="12"/>
    <n v="296"/>
    <s v="No"/>
    <x v="1"/>
    <x v="0"/>
    <n v="0"/>
  </r>
  <r>
    <n v="17457"/>
    <x v="1"/>
    <n v="12"/>
    <n v="328"/>
    <s v="No"/>
    <x v="1"/>
    <x v="0"/>
    <n v="0"/>
  </r>
  <r>
    <n v="13849"/>
    <x v="1"/>
    <n v="12"/>
    <n v="278"/>
    <s v="No"/>
    <x v="0"/>
    <x v="0"/>
    <n v="0"/>
  </r>
  <r>
    <n v="13216"/>
    <x v="0"/>
    <n v="6"/>
    <n v="242"/>
    <s v="No"/>
    <x v="1"/>
    <x v="3"/>
    <n v="0"/>
  </r>
  <r>
    <n v="13157"/>
    <x v="0"/>
    <n v="2"/>
    <n v="52"/>
    <s v="No"/>
    <x v="0"/>
    <x v="3"/>
    <n v="0"/>
  </r>
  <r>
    <n v="14259"/>
    <x v="0"/>
    <n v="7"/>
    <n v="167"/>
    <s v="No"/>
    <x v="1"/>
    <x v="2"/>
    <n v="0"/>
  </r>
  <r>
    <n v="11406"/>
    <x v="1"/>
    <n v="13"/>
    <n v="340"/>
    <s v="No"/>
    <x v="0"/>
    <x v="1"/>
    <n v="0"/>
  </r>
  <r>
    <n v="14501"/>
    <x v="0"/>
    <n v="6"/>
    <n v="438"/>
    <s v="Yes"/>
    <x v="1"/>
    <x v="3"/>
    <n v="1"/>
  </r>
  <r>
    <n v="18715"/>
    <x v="0"/>
    <n v="2"/>
    <n v="189"/>
    <s v="No"/>
    <x v="1"/>
    <x v="3"/>
    <n v="0"/>
  </r>
  <r>
    <n v="14800"/>
    <x v="1"/>
    <n v="11"/>
    <n v="429"/>
    <s v="No"/>
    <x v="0"/>
    <x v="2"/>
    <n v="0"/>
  </r>
  <r>
    <n v="19968"/>
    <x v="0"/>
    <n v="1"/>
    <n v="291"/>
    <s v="No"/>
    <x v="1"/>
    <x v="0"/>
    <n v="0"/>
  </r>
  <r>
    <n v="17154"/>
    <x v="0"/>
    <n v="11"/>
    <n v="437"/>
    <s v="No"/>
    <x v="1"/>
    <x v="3"/>
    <n v="0"/>
  </r>
  <r>
    <n v="12314"/>
    <x v="1"/>
    <n v="4"/>
    <n v="63"/>
    <s v="No"/>
    <x v="0"/>
    <x v="0"/>
    <n v="0"/>
  </r>
  <r>
    <n v="19546"/>
    <x v="1"/>
    <n v="14"/>
    <n v="393"/>
    <s v="No"/>
    <x v="0"/>
    <x v="3"/>
    <n v="0"/>
  </r>
  <r>
    <n v="14916"/>
    <x v="1"/>
    <n v="7"/>
    <n v="343"/>
    <s v="No"/>
    <x v="1"/>
    <x v="3"/>
    <n v="0"/>
  </r>
  <r>
    <n v="13255"/>
    <x v="0"/>
    <n v="3"/>
    <n v="56"/>
    <s v="No"/>
    <x v="1"/>
    <x v="1"/>
    <n v="0"/>
  </r>
  <r>
    <n v="18745"/>
    <x v="0"/>
    <n v="3"/>
    <n v="334"/>
    <s v="No"/>
    <x v="0"/>
    <x v="2"/>
    <n v="0"/>
  </r>
  <r>
    <n v="10009"/>
    <x v="0"/>
    <n v="10"/>
    <n v="277"/>
    <s v="Yes"/>
    <x v="1"/>
    <x v="3"/>
    <n v="1"/>
  </r>
  <r>
    <n v="17018"/>
    <x v="0"/>
    <n v="2"/>
    <n v="361"/>
    <s v="No"/>
    <x v="0"/>
    <x v="2"/>
    <n v="0"/>
  </r>
  <r>
    <n v="12508"/>
    <x v="0"/>
    <n v="6"/>
    <n v="298"/>
    <s v="No"/>
    <x v="1"/>
    <x v="0"/>
    <n v="0"/>
  </r>
  <r>
    <n v="16348"/>
    <x v="0"/>
    <n v="14"/>
    <n v="204"/>
    <s v="No"/>
    <x v="0"/>
    <x v="2"/>
    <n v="0"/>
  </r>
  <r>
    <n v="10304"/>
    <x v="1"/>
    <n v="1"/>
    <n v="64"/>
    <s v="No"/>
    <x v="0"/>
    <x v="2"/>
    <n v="0"/>
  </r>
  <r>
    <n v="11439"/>
    <x v="0"/>
    <n v="13"/>
    <n v="114"/>
    <s v="Yes"/>
    <x v="0"/>
    <x v="3"/>
    <n v="1"/>
  </r>
  <r>
    <n v="13349"/>
    <x v="0"/>
    <n v="1"/>
    <n v="306"/>
    <s v="No"/>
    <x v="1"/>
    <x v="2"/>
    <n v="0"/>
  </r>
  <r>
    <n v="11982"/>
    <x v="1"/>
    <n v="5"/>
    <n v="332"/>
    <s v="No"/>
    <x v="0"/>
    <x v="1"/>
    <n v="0"/>
  </r>
  <r>
    <n v="11175"/>
    <x v="1"/>
    <n v="11"/>
    <n v="44"/>
    <s v="No"/>
    <x v="0"/>
    <x v="3"/>
    <n v="0"/>
  </r>
  <r>
    <n v="11121"/>
    <x v="0"/>
    <n v="2"/>
    <n v="357"/>
    <s v="No"/>
    <x v="0"/>
    <x v="0"/>
    <n v="0"/>
  </r>
  <r>
    <n v="18870"/>
    <x v="1"/>
    <n v="13"/>
    <n v="327"/>
    <s v="No"/>
    <x v="0"/>
    <x v="3"/>
    <n v="0"/>
  </r>
  <r>
    <n v="18676"/>
    <x v="1"/>
    <n v="9"/>
    <n v="366"/>
    <s v="No"/>
    <x v="0"/>
    <x v="2"/>
    <n v="0"/>
  </r>
  <r>
    <n v="12549"/>
    <x v="1"/>
    <n v="10"/>
    <n v="292"/>
    <s v="Yes"/>
    <x v="1"/>
    <x v="1"/>
    <n v="1"/>
  </r>
  <r>
    <n v="10754"/>
    <x v="0"/>
    <n v="6"/>
    <n v="391"/>
    <s v="No"/>
    <x v="1"/>
    <x v="3"/>
    <n v="0"/>
  </r>
  <r>
    <n v="14042"/>
    <x v="0"/>
    <n v="3"/>
    <n v="58"/>
    <s v="No"/>
    <x v="1"/>
    <x v="0"/>
    <n v="0"/>
  </r>
  <r>
    <n v="11698"/>
    <x v="1"/>
    <n v="9"/>
    <n v="281"/>
    <s v="No"/>
    <x v="1"/>
    <x v="2"/>
    <n v="0"/>
  </r>
  <r>
    <n v="14227"/>
    <x v="0"/>
    <n v="12"/>
    <n v="152"/>
    <s v="No"/>
    <x v="1"/>
    <x v="1"/>
    <n v="0"/>
  </r>
  <r>
    <n v="10264"/>
    <x v="1"/>
    <n v="3"/>
    <n v="200"/>
    <s v="No"/>
    <x v="1"/>
    <x v="1"/>
    <n v="0"/>
  </r>
  <r>
    <n v="18266"/>
    <x v="1"/>
    <n v="7"/>
    <n v="106"/>
    <s v="No"/>
    <x v="1"/>
    <x v="0"/>
    <n v="0"/>
  </r>
  <r>
    <n v="13126"/>
    <x v="0"/>
    <n v="1"/>
    <n v="151"/>
    <s v="No"/>
    <x v="1"/>
    <x v="1"/>
    <n v="0"/>
  </r>
  <r>
    <n v="11623"/>
    <x v="0"/>
    <n v="8"/>
    <n v="182"/>
    <s v="No"/>
    <x v="0"/>
    <x v="1"/>
    <n v="0"/>
  </r>
  <r>
    <n v="19941"/>
    <x v="1"/>
    <n v="6"/>
    <n v="312"/>
    <s v="No"/>
    <x v="1"/>
    <x v="2"/>
    <n v="0"/>
  </r>
  <r>
    <n v="13464"/>
    <x v="0"/>
    <n v="7"/>
    <n v="182"/>
    <s v="No"/>
    <x v="0"/>
    <x v="2"/>
    <n v="0"/>
  </r>
  <r>
    <n v="10565"/>
    <x v="1"/>
    <n v="9"/>
    <n v="407"/>
    <s v="Yes"/>
    <x v="1"/>
    <x v="0"/>
    <n v="1"/>
  </r>
  <r>
    <n v="13401"/>
    <x v="0"/>
    <n v="13"/>
    <n v="269"/>
    <s v="No"/>
    <x v="1"/>
    <x v="3"/>
    <n v="0"/>
  </r>
  <r>
    <n v="12015"/>
    <x v="0"/>
    <n v="12"/>
    <n v="95"/>
    <s v="No"/>
    <x v="1"/>
    <x v="1"/>
    <n v="0"/>
  </r>
  <r>
    <n v="13173"/>
    <x v="0"/>
    <n v="5"/>
    <n v="323"/>
    <s v="No"/>
    <x v="1"/>
    <x v="2"/>
    <n v="0"/>
  </r>
  <r>
    <n v="13077"/>
    <x v="1"/>
    <n v="5"/>
    <n v="319"/>
    <s v="No"/>
    <x v="1"/>
    <x v="2"/>
    <n v="0"/>
  </r>
  <r>
    <n v="11937"/>
    <x v="1"/>
    <n v="14"/>
    <n v="162"/>
    <s v="No"/>
    <x v="0"/>
    <x v="0"/>
    <n v="0"/>
  </r>
  <r>
    <n v="10903"/>
    <x v="1"/>
    <n v="2"/>
    <n v="327"/>
    <s v="No"/>
    <x v="0"/>
    <x v="2"/>
    <n v="0"/>
  </r>
  <r>
    <n v="12835"/>
    <x v="1"/>
    <n v="9"/>
    <n v="114"/>
    <s v="No"/>
    <x v="0"/>
    <x v="0"/>
    <n v="0"/>
  </r>
  <r>
    <n v="18631"/>
    <x v="1"/>
    <n v="1"/>
    <n v="429"/>
    <s v="No"/>
    <x v="0"/>
    <x v="0"/>
    <n v="0"/>
  </r>
  <r>
    <n v="13891"/>
    <x v="1"/>
    <n v="7"/>
    <n v="113"/>
    <s v="No"/>
    <x v="0"/>
    <x v="0"/>
    <n v="0"/>
  </r>
  <r>
    <n v="11239"/>
    <x v="1"/>
    <n v="11"/>
    <n v="323"/>
    <s v="No"/>
    <x v="0"/>
    <x v="1"/>
    <n v="0"/>
  </r>
  <r>
    <n v="17665"/>
    <x v="1"/>
    <n v="7"/>
    <n v="151"/>
    <s v="No"/>
    <x v="0"/>
    <x v="3"/>
    <n v="0"/>
  </r>
  <r>
    <n v="16639"/>
    <x v="0"/>
    <n v="14"/>
    <n v="218"/>
    <s v="No"/>
    <x v="1"/>
    <x v="1"/>
    <n v="0"/>
  </r>
  <r>
    <n v="14818"/>
    <x v="0"/>
    <n v="11"/>
    <n v="280"/>
    <s v="Yes"/>
    <x v="1"/>
    <x v="2"/>
    <n v="1"/>
  </r>
  <r>
    <n v="19464"/>
    <x v="0"/>
    <n v="4"/>
    <n v="327"/>
    <s v="No"/>
    <x v="0"/>
    <x v="3"/>
    <n v="0"/>
  </r>
  <r>
    <n v="10617"/>
    <x v="1"/>
    <n v="1"/>
    <n v="374"/>
    <s v="No"/>
    <x v="1"/>
    <x v="0"/>
    <n v="0"/>
  </r>
  <r>
    <n v="11558"/>
    <x v="1"/>
    <n v="13"/>
    <n v="202"/>
    <s v="Yes"/>
    <x v="0"/>
    <x v="3"/>
    <n v="1"/>
  </r>
  <r>
    <n v="18548"/>
    <x v="0"/>
    <n v="10"/>
    <n v="198"/>
    <s v="No"/>
    <x v="0"/>
    <x v="0"/>
    <n v="0"/>
  </r>
  <r>
    <n v="15851"/>
    <x v="1"/>
    <n v="14"/>
    <n v="101"/>
    <s v="No"/>
    <x v="1"/>
    <x v="3"/>
    <n v="0"/>
  </r>
  <r>
    <n v="14379"/>
    <x v="0"/>
    <n v="3"/>
    <n v="388"/>
    <s v="No"/>
    <x v="0"/>
    <x v="1"/>
    <n v="0"/>
  </r>
  <r>
    <n v="11296"/>
    <x v="0"/>
    <n v="2"/>
    <n v="157"/>
    <s v="No"/>
    <x v="0"/>
    <x v="3"/>
    <n v="0"/>
  </r>
  <r>
    <n v="11864"/>
    <x v="0"/>
    <n v="8"/>
    <n v="322"/>
    <s v="No"/>
    <x v="1"/>
    <x v="0"/>
    <n v="0"/>
  </r>
  <r>
    <n v="10761"/>
    <x v="1"/>
    <n v="6"/>
    <n v="264"/>
    <s v="No"/>
    <x v="0"/>
    <x v="3"/>
    <n v="0"/>
  </r>
  <r>
    <n v="12620"/>
    <x v="1"/>
    <n v="7"/>
    <n v="308"/>
    <s v="No"/>
    <x v="0"/>
    <x v="0"/>
    <n v="0"/>
  </r>
  <r>
    <n v="11494"/>
    <x v="0"/>
    <n v="6"/>
    <n v="140"/>
    <s v="Yes"/>
    <x v="1"/>
    <x v="0"/>
    <n v="1"/>
  </r>
  <r>
    <n v="13986"/>
    <x v="0"/>
    <n v="3"/>
    <n v="76"/>
    <s v="No"/>
    <x v="0"/>
    <x v="1"/>
    <n v="0"/>
  </r>
  <r>
    <n v="13881"/>
    <x v="0"/>
    <n v="2"/>
    <n v="387"/>
    <s v="No"/>
    <x v="0"/>
    <x v="2"/>
    <n v="0"/>
  </r>
  <r>
    <n v="13973"/>
    <x v="0"/>
    <n v="7"/>
    <n v="402"/>
    <s v="No"/>
    <x v="1"/>
    <x v="2"/>
    <n v="0"/>
  </r>
  <r>
    <n v="11290"/>
    <x v="0"/>
    <n v="1"/>
    <n v="145"/>
    <s v="No"/>
    <x v="0"/>
    <x v="1"/>
    <n v="0"/>
  </r>
  <r>
    <n v="15044"/>
    <x v="1"/>
    <n v="1"/>
    <n v="178"/>
    <s v="No"/>
    <x v="0"/>
    <x v="0"/>
    <n v="0"/>
  </r>
  <r>
    <n v="19499"/>
    <x v="0"/>
    <n v="14"/>
    <n v="238"/>
    <s v="Yes"/>
    <x v="0"/>
    <x v="3"/>
    <n v="1"/>
  </r>
  <r>
    <n v="10805"/>
    <x v="1"/>
    <n v="5"/>
    <n v="152"/>
    <s v="No"/>
    <x v="0"/>
    <x v="0"/>
    <n v="0"/>
  </r>
  <r>
    <n v="13205"/>
    <x v="0"/>
    <n v="13"/>
    <n v="120"/>
    <s v="No"/>
    <x v="0"/>
    <x v="1"/>
    <n v="0"/>
  </r>
  <r>
    <n v="15724"/>
    <x v="1"/>
    <n v="6"/>
    <n v="212"/>
    <s v="No"/>
    <x v="1"/>
    <x v="1"/>
    <n v="0"/>
  </r>
  <r>
    <n v="13837"/>
    <x v="0"/>
    <n v="2"/>
    <n v="407"/>
    <s v="No"/>
    <x v="0"/>
    <x v="2"/>
    <n v="0"/>
  </r>
  <r>
    <n v="16352"/>
    <x v="1"/>
    <n v="11"/>
    <n v="411"/>
    <s v="No"/>
    <x v="0"/>
    <x v="2"/>
    <n v="0"/>
  </r>
  <r>
    <n v="14090"/>
    <x v="0"/>
    <n v="13"/>
    <n v="115"/>
    <s v="No"/>
    <x v="1"/>
    <x v="1"/>
    <n v="0"/>
  </r>
  <r>
    <n v="16965"/>
    <x v="0"/>
    <n v="7"/>
    <n v="233"/>
    <s v="No"/>
    <x v="0"/>
    <x v="3"/>
    <n v="0"/>
  </r>
  <r>
    <n v="12618"/>
    <x v="1"/>
    <n v="12"/>
    <n v="309"/>
    <s v="No"/>
    <x v="0"/>
    <x v="1"/>
    <n v="0"/>
  </r>
  <r>
    <n v="12100"/>
    <x v="1"/>
    <n v="2"/>
    <n v="232"/>
    <s v="No"/>
    <x v="0"/>
    <x v="3"/>
    <n v="0"/>
  </r>
  <r>
    <n v="16329"/>
    <x v="1"/>
    <n v="1"/>
    <n v="312"/>
    <s v="No"/>
    <x v="0"/>
    <x v="0"/>
    <n v="0"/>
  </r>
  <r>
    <n v="14898"/>
    <x v="1"/>
    <n v="7"/>
    <n v="63"/>
    <s v="No"/>
    <x v="0"/>
    <x v="3"/>
    <n v="0"/>
  </r>
  <r>
    <n v="19517"/>
    <x v="1"/>
    <n v="5"/>
    <n v="360"/>
    <s v="No"/>
    <x v="0"/>
    <x v="3"/>
    <n v="0"/>
  </r>
  <r>
    <n v="17226"/>
    <x v="0"/>
    <n v="9"/>
    <n v="348"/>
    <s v="No"/>
    <x v="1"/>
    <x v="2"/>
    <n v="0"/>
  </r>
  <r>
    <n v="13161"/>
    <x v="1"/>
    <n v="10"/>
    <n v="141"/>
    <s v="No"/>
    <x v="1"/>
    <x v="0"/>
    <n v="0"/>
  </r>
  <r>
    <n v="19933"/>
    <x v="0"/>
    <n v="4"/>
    <n v="64"/>
    <s v="No"/>
    <x v="0"/>
    <x v="3"/>
    <n v="0"/>
  </r>
  <r>
    <n v="17326"/>
    <x v="0"/>
    <n v="13"/>
    <n v="327"/>
    <s v="No"/>
    <x v="0"/>
    <x v="2"/>
    <n v="0"/>
  </r>
  <r>
    <n v="13019"/>
    <x v="1"/>
    <n v="1"/>
    <n v="98"/>
    <s v="No"/>
    <x v="0"/>
    <x v="1"/>
    <n v="0"/>
  </r>
  <r>
    <n v="12760"/>
    <x v="1"/>
    <n v="5"/>
    <n v="307"/>
    <s v="No"/>
    <x v="0"/>
    <x v="3"/>
    <n v="0"/>
  </r>
  <r>
    <n v="14566"/>
    <x v="0"/>
    <n v="9"/>
    <n v="315"/>
    <s v="No"/>
    <x v="1"/>
    <x v="3"/>
    <n v="0"/>
  </r>
  <r>
    <n v="12588"/>
    <x v="1"/>
    <n v="9"/>
    <n v="372"/>
    <s v="No"/>
    <x v="1"/>
    <x v="0"/>
    <n v="0"/>
  </r>
  <r>
    <n v="13516"/>
    <x v="1"/>
    <n v="10"/>
    <n v="295"/>
    <s v="No"/>
    <x v="1"/>
    <x v="2"/>
    <n v="0"/>
  </r>
  <r>
    <n v="15705"/>
    <x v="0"/>
    <n v="6"/>
    <n v="98"/>
    <s v="Yes"/>
    <x v="1"/>
    <x v="1"/>
    <n v="1"/>
  </r>
  <r>
    <n v="10141"/>
    <x v="0"/>
    <n v="5"/>
    <n v="266"/>
    <s v="No"/>
    <x v="1"/>
    <x v="1"/>
    <n v="0"/>
  </r>
  <r>
    <n v="12919"/>
    <x v="0"/>
    <n v="1"/>
    <n v="274"/>
    <s v="Yes"/>
    <x v="0"/>
    <x v="2"/>
    <n v="1"/>
  </r>
  <r>
    <n v="16713"/>
    <x v="0"/>
    <n v="13"/>
    <n v="440"/>
    <s v="No"/>
    <x v="0"/>
    <x v="1"/>
    <n v="0"/>
  </r>
  <r>
    <n v="14156"/>
    <x v="1"/>
    <n v="13"/>
    <n v="275"/>
    <s v="Yes"/>
    <x v="0"/>
    <x v="3"/>
    <n v="1"/>
  </r>
  <r>
    <n v="12121"/>
    <x v="0"/>
    <n v="4"/>
    <n v="419"/>
    <s v="No"/>
    <x v="1"/>
    <x v="0"/>
    <n v="0"/>
  </r>
  <r>
    <n v="18857"/>
    <x v="0"/>
    <n v="3"/>
    <n v="66"/>
    <s v="No"/>
    <x v="1"/>
    <x v="3"/>
    <n v="0"/>
  </r>
  <r>
    <n v="19824"/>
    <x v="1"/>
    <n v="8"/>
    <n v="320"/>
    <s v="No"/>
    <x v="1"/>
    <x v="2"/>
    <n v="0"/>
  </r>
  <r>
    <n v="18118"/>
    <x v="1"/>
    <n v="3"/>
    <n v="73"/>
    <s v="No"/>
    <x v="1"/>
    <x v="3"/>
    <n v="0"/>
  </r>
  <r>
    <n v="15127"/>
    <x v="1"/>
    <n v="2"/>
    <n v="51"/>
    <s v="No"/>
    <x v="1"/>
    <x v="1"/>
    <n v="0"/>
  </r>
  <r>
    <n v="17421"/>
    <x v="1"/>
    <n v="3"/>
    <n v="333"/>
    <s v="Yes"/>
    <x v="1"/>
    <x v="3"/>
    <n v="1"/>
  </r>
  <r>
    <n v="18546"/>
    <x v="0"/>
    <n v="3"/>
    <n v="312"/>
    <s v="No"/>
    <x v="0"/>
    <x v="3"/>
    <n v="0"/>
  </r>
  <r>
    <n v="15214"/>
    <x v="1"/>
    <n v="14"/>
    <n v="146"/>
    <s v="No"/>
    <x v="1"/>
    <x v="0"/>
    <n v="0"/>
  </r>
  <r>
    <n v="13588"/>
    <x v="0"/>
    <n v="14"/>
    <n v="353"/>
    <s v="No"/>
    <x v="1"/>
    <x v="2"/>
    <n v="0"/>
  </r>
  <r>
    <n v="13912"/>
    <x v="0"/>
    <n v="9"/>
    <n v="298"/>
    <s v="No"/>
    <x v="1"/>
    <x v="3"/>
    <n v="0"/>
  </r>
  <r>
    <n v="16382"/>
    <x v="0"/>
    <n v="7"/>
    <n v="171"/>
    <s v="No"/>
    <x v="0"/>
    <x v="3"/>
    <n v="0"/>
  </r>
  <r>
    <n v="10406"/>
    <x v="1"/>
    <n v="4"/>
    <n v="247"/>
    <s v="No"/>
    <x v="1"/>
    <x v="2"/>
    <n v="0"/>
  </r>
  <r>
    <n v="17263"/>
    <x v="0"/>
    <n v="2"/>
    <n v="174"/>
    <s v="No"/>
    <x v="1"/>
    <x v="1"/>
    <n v="0"/>
  </r>
  <r>
    <n v="11928"/>
    <x v="1"/>
    <n v="5"/>
    <n v="429"/>
    <s v="No"/>
    <x v="1"/>
    <x v="1"/>
    <n v="0"/>
  </r>
  <r>
    <n v="11342"/>
    <x v="0"/>
    <n v="13"/>
    <n v="272"/>
    <s v="No"/>
    <x v="0"/>
    <x v="2"/>
    <n v="0"/>
  </r>
  <r>
    <n v="14100"/>
    <x v="0"/>
    <n v="14"/>
    <n v="132"/>
    <s v="No"/>
    <x v="1"/>
    <x v="1"/>
    <n v="0"/>
  </r>
  <r>
    <n v="15605"/>
    <x v="0"/>
    <n v="11"/>
    <n v="349"/>
    <s v="No"/>
    <x v="1"/>
    <x v="2"/>
    <n v="0"/>
  </r>
  <r>
    <n v="17053"/>
    <x v="1"/>
    <n v="9"/>
    <n v="243"/>
    <s v="No"/>
    <x v="1"/>
    <x v="1"/>
    <n v="0"/>
  </r>
  <r>
    <n v="13514"/>
    <x v="0"/>
    <n v="3"/>
    <n v="105"/>
    <s v="No"/>
    <x v="1"/>
    <x v="3"/>
    <n v="0"/>
  </r>
  <r>
    <n v="15953"/>
    <x v="0"/>
    <n v="11"/>
    <n v="384"/>
    <s v="No"/>
    <x v="1"/>
    <x v="3"/>
    <n v="0"/>
  </r>
  <r>
    <n v="11154"/>
    <x v="0"/>
    <n v="7"/>
    <n v="334"/>
    <s v="Yes"/>
    <x v="1"/>
    <x v="2"/>
    <n v="1"/>
  </r>
  <r>
    <n v="13449"/>
    <x v="0"/>
    <n v="10"/>
    <n v="185"/>
    <s v="Yes"/>
    <x v="1"/>
    <x v="1"/>
    <n v="1"/>
  </r>
  <r>
    <n v="19478"/>
    <x v="0"/>
    <n v="4"/>
    <n v="42"/>
    <s v="No"/>
    <x v="0"/>
    <x v="0"/>
    <n v="0"/>
  </r>
  <r>
    <n v="13262"/>
    <x v="0"/>
    <n v="5"/>
    <n v="229"/>
    <s v="Yes"/>
    <x v="0"/>
    <x v="2"/>
    <n v="1"/>
  </r>
  <r>
    <n v="16428"/>
    <x v="0"/>
    <n v="8"/>
    <n v="82"/>
    <s v="No"/>
    <x v="0"/>
    <x v="0"/>
    <n v="0"/>
  </r>
  <r>
    <n v="14445"/>
    <x v="0"/>
    <n v="3"/>
    <n v="322"/>
    <s v="No"/>
    <x v="1"/>
    <x v="2"/>
    <n v="0"/>
  </r>
  <r>
    <n v="16684"/>
    <x v="0"/>
    <n v="8"/>
    <n v="336"/>
    <s v="No"/>
    <x v="0"/>
    <x v="0"/>
    <n v="0"/>
  </r>
  <r>
    <n v="11954"/>
    <x v="1"/>
    <n v="14"/>
    <n v="401"/>
    <s v="No"/>
    <x v="0"/>
    <x v="0"/>
    <n v="0"/>
  </r>
  <r>
    <n v="18816"/>
    <x v="1"/>
    <n v="1"/>
    <n v="225"/>
    <s v="No"/>
    <x v="1"/>
    <x v="2"/>
    <n v="0"/>
  </r>
  <r>
    <n v="16839"/>
    <x v="0"/>
    <n v="13"/>
    <n v="262"/>
    <s v="No"/>
    <x v="1"/>
    <x v="2"/>
    <n v="0"/>
  </r>
  <r>
    <n v="14827"/>
    <x v="1"/>
    <n v="4"/>
    <n v="76"/>
    <s v="No"/>
    <x v="1"/>
    <x v="2"/>
    <n v="0"/>
  </r>
  <r>
    <n v="14687"/>
    <x v="1"/>
    <n v="12"/>
    <n v="290"/>
    <s v="No"/>
    <x v="0"/>
    <x v="3"/>
    <n v="0"/>
  </r>
  <r>
    <n v="12227"/>
    <x v="0"/>
    <n v="1"/>
    <n v="345"/>
    <s v="No"/>
    <x v="0"/>
    <x v="2"/>
    <n v="0"/>
  </r>
  <r>
    <n v="16251"/>
    <x v="1"/>
    <n v="12"/>
    <n v="407"/>
    <s v="Yes"/>
    <x v="1"/>
    <x v="1"/>
    <n v="1"/>
  </r>
  <r>
    <n v="12584"/>
    <x v="0"/>
    <n v="3"/>
    <n v="159"/>
    <s v="No"/>
    <x v="1"/>
    <x v="2"/>
    <n v="0"/>
  </r>
  <r>
    <n v="11370"/>
    <x v="0"/>
    <n v="8"/>
    <n v="227"/>
    <s v="No"/>
    <x v="1"/>
    <x v="0"/>
    <n v="0"/>
  </r>
  <r>
    <n v="12335"/>
    <x v="0"/>
    <n v="13"/>
    <n v="443"/>
    <s v="No"/>
    <x v="1"/>
    <x v="0"/>
    <n v="0"/>
  </r>
  <r>
    <n v="14576"/>
    <x v="1"/>
    <n v="7"/>
    <n v="110"/>
    <s v="No"/>
    <x v="0"/>
    <x v="2"/>
    <n v="0"/>
  </r>
  <r>
    <n v="13803"/>
    <x v="0"/>
    <n v="8"/>
    <n v="47"/>
    <s v="Yes"/>
    <x v="1"/>
    <x v="3"/>
    <n v="1"/>
  </r>
  <r>
    <n v="14608"/>
    <x v="0"/>
    <n v="5"/>
    <n v="89"/>
    <s v="No"/>
    <x v="0"/>
    <x v="3"/>
    <n v="0"/>
  </r>
  <r>
    <n v="14255"/>
    <x v="0"/>
    <n v="10"/>
    <n v="258"/>
    <s v="No"/>
    <x v="1"/>
    <x v="2"/>
    <n v="0"/>
  </r>
  <r>
    <n v="16360"/>
    <x v="0"/>
    <n v="12"/>
    <n v="313"/>
    <s v="No"/>
    <x v="0"/>
    <x v="2"/>
    <n v="0"/>
  </r>
  <r>
    <n v="18084"/>
    <x v="0"/>
    <n v="10"/>
    <n v="313"/>
    <s v="No"/>
    <x v="1"/>
    <x v="0"/>
    <n v="0"/>
  </r>
  <r>
    <n v="12063"/>
    <x v="1"/>
    <n v="11"/>
    <n v="156"/>
    <s v="No"/>
    <x v="1"/>
    <x v="3"/>
    <n v="0"/>
  </r>
  <r>
    <n v="18647"/>
    <x v="0"/>
    <n v="13"/>
    <n v="346"/>
    <s v="No"/>
    <x v="1"/>
    <x v="2"/>
    <n v="0"/>
  </r>
  <r>
    <n v="16686"/>
    <x v="1"/>
    <n v="11"/>
    <n v="208"/>
    <s v="No"/>
    <x v="1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677E6-3196-4070-8024-1E9D4300663C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B8:D25" firstHeaderRow="1" firstDataRow="1" firstDataCol="0"/>
  <pivotFields count="6"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9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2B07A-C8FE-4414-881D-77A38D7E74C1}" name="Tabella pivot3" cacheId="1" applyNumberFormats="0" applyBorderFormats="0" applyFontFormats="0" applyPatternFormats="0" applyAlignmentFormats="0" applyWidthHeightFormats="1" dataCaption="Valori" updatedVersion="8" minRefreshableVersion="3" useAutoFormatting="1" rowGrandTotals="0" itemPrintTitles="1" createdVersion="8" indent="0" outline="1" outlineData="1" multipleFieldFilters="0">
  <location ref="A3:C5" firstHeaderRow="0" firstDataRow="1" firstDataCol="1"/>
  <pivotFields count="10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3">
        <item x="1"/>
        <item h="1" x="0"/>
        <item t="default"/>
      </items>
    </pivotField>
    <pivotField showAll="0">
      <items count="5">
        <item x="3"/>
        <item h="1" x="0"/>
        <item h="1" x="1"/>
        <item h="1" x="2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omma di Conteggioconv" fld="7" baseField="0" baseItem="0"/>
    <dataField name="Conteggio di Conv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448A-2706-474A-8B73-41009FE92186}" name="Tabella pivot5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1:D4" firstHeaderRow="0" firstDataRow="1" firstDataCol="1"/>
  <pivotFields count="10"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dataField="1" showAll="0"/>
    <pivotField showAll="0">
      <items count="3">
        <item x="1"/>
        <item h="1" x="0"/>
        <item t="default"/>
      </items>
    </pivotField>
    <pivotField showAll="0">
      <items count="5">
        <item x="3"/>
        <item h="1" x="0"/>
        <item h="1" x="1"/>
        <item h="1" x="2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agine viste" fld="2" baseField="0" baseItem="0"/>
    <dataField name="Utenti" fld="4" subtotal="count" baseField="0" baseItem="0"/>
    <dataField name="Conversioni" fld="7" baseField="0" baseItem="0"/>
  </dataFields>
  <formats count="1"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8D764B0-FF8B-4CF6-A27A-BBB4E92E5D12}" autoFormatId="16" applyNumberFormats="0" applyBorderFormats="0" applyFontFormats="0" applyPatternFormats="0" applyAlignmentFormats="0" applyWidthHeightFormats="0">
  <queryTableRefresh nextId="9">
    <queryTableFields count="8">
      <queryTableField id="1" name="User_ID" tableColumnId="1"/>
      <queryTableField id="2" name="Group_test" tableColumnId="2"/>
      <queryTableField id="3" name="Page _Views" tableColumnId="3"/>
      <queryTableField id="4" name="Time_Spent" tableColumnId="4"/>
      <queryTableField id="5" name="Conv" tableColumnId="5"/>
      <queryTableField id="6" name="Device" tableColumnId="6"/>
      <queryTableField id="7" name="Loc" tableColumnId="7"/>
      <queryTableField id="8" name="Conteggioconv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Device" xr10:uid="{53EAB8E0-6125-4456-80E0-E9ACD740B8C6}" sourceName="Device">
  <pivotTables>
    <pivotTable tabId="5" name="Tabella pivot3"/>
  </pivotTables>
  <data>
    <tabular pivotCacheId="1556502199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oc" xr10:uid="{089DB1C0-D4D2-48A4-B877-A1F1DA1D3C71}" sourceName="Loc">
  <pivotTables>
    <pivotTable tabId="5" name="Tabella pivot3"/>
  </pivotTables>
  <data>
    <tabular pivotCacheId="1556502199">
      <items count="4">
        <i x="3" s="1"/>
        <i x="0"/>
        <i x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Device1" xr10:uid="{8BD2236C-0A3E-49D2-85AD-74D8F9932E48}" sourceName="Device">
  <pivotTables>
    <pivotTable tabId="7" name="Tabella pivot5"/>
  </pivotTables>
  <data>
    <tabular pivotCacheId="1556502199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oc1" xr10:uid="{E07C5AF9-AC59-470F-8588-A3E4FCF1349B}" sourceName="Loc">
  <pivotTables>
    <pivotTable tabId="7" name="Tabella pivot5"/>
  </pivotTables>
  <data>
    <tabular pivotCacheId="1556502199">
      <items count="4">
        <i x="3" s="1"/>
        <i x="0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vice" xr10:uid="{215201AB-3D99-4FC7-9DDF-281887422A48}" cache="FiltroDati_Device" caption="Device" rowHeight="251883"/>
  <slicer name="Loc" xr10:uid="{7E7FD683-5740-4B13-8456-635E560B6BBF}" cache="FiltroDati_Loc" caption="Loc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vice 1" xr10:uid="{6F908C02-62B0-47EE-85B6-115FD9F6B8E7}" cache="FiltroDati_Device1" caption="Device" rowHeight="251883"/>
  <slicer name="Loc 1" xr10:uid="{A5A5B852-839C-4A69-BCA4-F5C062D11FF6}" cache="FiltroDati_Loc1" caption="Loc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33F16-F2CA-416A-AF6F-D9851CABDEA6}" name="ab_testing" displayName="ab_testing" ref="A1:H5001" tableType="queryTable" totalsRowShown="0">
  <autoFilter ref="A1:H5001" xr:uid="{61D33F16-F2CA-416A-AF6F-D9851CABDEA6}"/>
  <tableColumns count="8">
    <tableColumn id="1" xr3:uid="{45622998-B732-4711-8A95-288BC30F09C8}" uniqueName="1" name="User_ID" queryTableFieldId="1"/>
    <tableColumn id="2" xr3:uid="{28F3A0A1-227B-400F-A8FA-F52BB423B727}" uniqueName="2" name="Group_test" queryTableFieldId="2" dataDxfId="3"/>
    <tableColumn id="3" xr3:uid="{BDF55BF2-F47E-4C57-BCE8-626EF1CD42EF}" uniqueName="3" name="Page _Views" queryTableFieldId="3"/>
    <tableColumn id="4" xr3:uid="{CEB868E9-2C89-480D-84BE-C5238832E5F5}" uniqueName="4" name="Time_Spent" queryTableFieldId="4"/>
    <tableColumn id="5" xr3:uid="{1DADE2C4-B1EC-471F-8E5A-19164ABFEA9A}" uniqueName="5" name="Conv" queryTableFieldId="5" dataDxfId="2"/>
    <tableColumn id="6" xr3:uid="{59CB531F-83D8-47DA-B42C-05372EA29257}" uniqueName="6" name="Device" queryTableFieldId="6" dataDxfId="1"/>
    <tableColumn id="7" xr3:uid="{46C8D5F9-0E8D-4699-AC62-1ADB765DB6FF}" uniqueName="7" name="Loc" queryTableFieldId="7" dataDxfId="0"/>
    <tableColumn id="8" xr3:uid="{C17D88EC-FE76-42CA-A4FB-59E171CB239C}" uniqueName="8" name="Conteggioconv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27B3-85C5-4F3F-8A74-89D1F97D2358}">
  <dimension ref="A1:H5001"/>
  <sheetViews>
    <sheetView topLeftCell="A2" workbookViewId="0"/>
  </sheetViews>
  <sheetFormatPr defaultRowHeight="14.5" x14ac:dyDescent="0.35"/>
  <cols>
    <col min="1" max="1" width="9.54296875" bestFit="1" customWidth="1"/>
    <col min="2" max="2" width="12.1796875" bestFit="1" customWidth="1"/>
    <col min="3" max="3" width="13.1796875" bestFit="1" customWidth="1"/>
    <col min="4" max="4" width="12.90625" bestFit="1" customWidth="1"/>
    <col min="5" max="5" width="7.36328125" bestFit="1" customWidth="1"/>
    <col min="6" max="6" width="8.81640625" bestFit="1" customWidth="1"/>
    <col min="7" max="7" width="14" bestFit="1" customWidth="1"/>
    <col min="8" max="8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</row>
    <row r="2" spans="1:8" x14ac:dyDescent="0.35">
      <c r="A2">
        <v>14292</v>
      </c>
      <c r="B2" t="s">
        <v>7</v>
      </c>
      <c r="C2">
        <v>3</v>
      </c>
      <c r="D2">
        <v>424</v>
      </c>
      <c r="E2" t="s">
        <v>8</v>
      </c>
      <c r="F2" t="s">
        <v>9</v>
      </c>
      <c r="G2" t="s">
        <v>10</v>
      </c>
      <c r="H2">
        <v>0</v>
      </c>
    </row>
    <row r="3" spans="1:8" x14ac:dyDescent="0.35">
      <c r="A3">
        <v>11682</v>
      </c>
      <c r="B3" t="s">
        <v>11</v>
      </c>
      <c r="C3">
        <v>9</v>
      </c>
      <c r="D3">
        <v>342</v>
      </c>
      <c r="E3" t="s">
        <v>8</v>
      </c>
      <c r="F3" t="s">
        <v>9</v>
      </c>
      <c r="G3" t="s">
        <v>12</v>
      </c>
      <c r="H3">
        <v>0</v>
      </c>
    </row>
    <row r="4" spans="1:8" x14ac:dyDescent="0.35">
      <c r="A4">
        <v>19825</v>
      </c>
      <c r="B4" t="s">
        <v>11</v>
      </c>
      <c r="C4">
        <v>2</v>
      </c>
      <c r="D4">
        <v>396</v>
      </c>
      <c r="E4" t="s">
        <v>8</v>
      </c>
      <c r="F4" t="s">
        <v>13</v>
      </c>
      <c r="G4" t="s">
        <v>10</v>
      </c>
      <c r="H4">
        <v>0</v>
      </c>
    </row>
    <row r="5" spans="1:8" x14ac:dyDescent="0.35">
      <c r="A5">
        <v>16080</v>
      </c>
      <c r="B5" t="s">
        <v>7</v>
      </c>
      <c r="C5">
        <v>4</v>
      </c>
      <c r="D5">
        <v>318</v>
      </c>
      <c r="E5" t="s">
        <v>8</v>
      </c>
      <c r="F5" t="s">
        <v>13</v>
      </c>
      <c r="G5" t="s">
        <v>14</v>
      </c>
      <c r="H5">
        <v>0</v>
      </c>
    </row>
    <row r="6" spans="1:8" x14ac:dyDescent="0.35">
      <c r="A6">
        <v>18851</v>
      </c>
      <c r="B6" t="s">
        <v>11</v>
      </c>
      <c r="C6">
        <v>1</v>
      </c>
      <c r="D6">
        <v>338</v>
      </c>
      <c r="E6" t="s">
        <v>15</v>
      </c>
      <c r="F6" t="s">
        <v>13</v>
      </c>
      <c r="G6" t="s">
        <v>12</v>
      </c>
      <c r="H6">
        <v>1</v>
      </c>
    </row>
    <row r="7" spans="1:8" x14ac:dyDescent="0.35">
      <c r="A7">
        <v>13134</v>
      </c>
      <c r="B7" t="s">
        <v>7</v>
      </c>
      <c r="C7">
        <v>2</v>
      </c>
      <c r="D7">
        <v>93</v>
      </c>
      <c r="E7" t="s">
        <v>8</v>
      </c>
      <c r="F7" t="s">
        <v>13</v>
      </c>
      <c r="G7" t="s">
        <v>12</v>
      </c>
      <c r="H7">
        <v>0</v>
      </c>
    </row>
    <row r="8" spans="1:8" x14ac:dyDescent="0.35">
      <c r="A8">
        <v>16702</v>
      </c>
      <c r="B8" t="s">
        <v>11</v>
      </c>
      <c r="C8">
        <v>5</v>
      </c>
      <c r="D8">
        <v>106</v>
      </c>
      <c r="E8" t="s">
        <v>8</v>
      </c>
      <c r="F8" t="s">
        <v>9</v>
      </c>
      <c r="G8" t="s">
        <v>10</v>
      </c>
      <c r="H8">
        <v>0</v>
      </c>
    </row>
    <row r="9" spans="1:8" x14ac:dyDescent="0.35">
      <c r="A9">
        <v>10041</v>
      </c>
      <c r="B9" t="s">
        <v>7</v>
      </c>
      <c r="C9">
        <v>9</v>
      </c>
      <c r="D9">
        <v>292</v>
      </c>
      <c r="E9" t="s">
        <v>8</v>
      </c>
      <c r="F9" t="s">
        <v>9</v>
      </c>
      <c r="G9" t="s">
        <v>10</v>
      </c>
      <c r="H9">
        <v>0</v>
      </c>
    </row>
    <row r="10" spans="1:8" x14ac:dyDescent="0.35">
      <c r="A10">
        <v>13191</v>
      </c>
      <c r="B10" t="s">
        <v>7</v>
      </c>
      <c r="C10">
        <v>8</v>
      </c>
      <c r="D10">
        <v>434</v>
      </c>
      <c r="E10" t="s">
        <v>8</v>
      </c>
      <c r="F10" t="s">
        <v>13</v>
      </c>
      <c r="G10" t="s">
        <v>10</v>
      </c>
      <c r="H10">
        <v>0</v>
      </c>
    </row>
    <row r="11" spans="1:8" x14ac:dyDescent="0.35">
      <c r="A11">
        <v>14427</v>
      </c>
      <c r="B11" t="s">
        <v>7</v>
      </c>
      <c r="C11">
        <v>12</v>
      </c>
      <c r="D11">
        <v>271</v>
      </c>
      <c r="E11" t="s">
        <v>8</v>
      </c>
      <c r="F11" t="s">
        <v>13</v>
      </c>
      <c r="G11" t="s">
        <v>16</v>
      </c>
      <c r="H11">
        <v>0</v>
      </c>
    </row>
    <row r="12" spans="1:8" x14ac:dyDescent="0.35">
      <c r="A12">
        <v>12776</v>
      </c>
      <c r="B12" t="s">
        <v>11</v>
      </c>
      <c r="C12">
        <v>14</v>
      </c>
      <c r="D12">
        <v>351</v>
      </c>
      <c r="E12" t="s">
        <v>8</v>
      </c>
      <c r="F12" t="s">
        <v>13</v>
      </c>
      <c r="G12" t="s">
        <v>14</v>
      </c>
      <c r="H12">
        <v>0</v>
      </c>
    </row>
    <row r="13" spans="1:8" x14ac:dyDescent="0.35">
      <c r="A13">
        <v>11457</v>
      </c>
      <c r="B13" t="s">
        <v>11</v>
      </c>
      <c r="C13">
        <v>9</v>
      </c>
      <c r="D13">
        <v>347</v>
      </c>
      <c r="E13" t="s">
        <v>8</v>
      </c>
      <c r="F13" t="s">
        <v>9</v>
      </c>
      <c r="G13" t="s">
        <v>16</v>
      </c>
      <c r="H13">
        <v>0</v>
      </c>
    </row>
    <row r="14" spans="1:8" x14ac:dyDescent="0.35">
      <c r="A14">
        <v>16270</v>
      </c>
      <c r="B14" t="s">
        <v>7</v>
      </c>
      <c r="C14">
        <v>12</v>
      </c>
      <c r="D14">
        <v>123</v>
      </c>
      <c r="E14" t="s">
        <v>8</v>
      </c>
      <c r="F14" t="s">
        <v>13</v>
      </c>
      <c r="G14" t="s">
        <v>14</v>
      </c>
      <c r="H14">
        <v>0</v>
      </c>
    </row>
    <row r="15" spans="1:8" x14ac:dyDescent="0.35">
      <c r="A15">
        <v>17608</v>
      </c>
      <c r="B15" t="s">
        <v>11</v>
      </c>
      <c r="C15">
        <v>2</v>
      </c>
      <c r="D15">
        <v>41</v>
      </c>
      <c r="E15" t="s">
        <v>8</v>
      </c>
      <c r="F15" t="s">
        <v>9</v>
      </c>
      <c r="G15" t="s">
        <v>12</v>
      </c>
      <c r="H15">
        <v>0</v>
      </c>
    </row>
    <row r="16" spans="1:8" x14ac:dyDescent="0.35">
      <c r="A16">
        <v>10019</v>
      </c>
      <c r="B16" t="s">
        <v>7</v>
      </c>
      <c r="C16">
        <v>8</v>
      </c>
      <c r="D16">
        <v>84</v>
      </c>
      <c r="E16" t="s">
        <v>8</v>
      </c>
      <c r="F16" t="s">
        <v>13</v>
      </c>
      <c r="G16" t="s">
        <v>16</v>
      </c>
      <c r="H16">
        <v>0</v>
      </c>
    </row>
    <row r="17" spans="1:8" x14ac:dyDescent="0.35">
      <c r="A17">
        <v>13853</v>
      </c>
      <c r="B17" t="s">
        <v>7</v>
      </c>
      <c r="C17">
        <v>6</v>
      </c>
      <c r="D17">
        <v>349</v>
      </c>
      <c r="E17" t="s">
        <v>8</v>
      </c>
      <c r="F17" t="s">
        <v>13</v>
      </c>
      <c r="G17" t="s">
        <v>12</v>
      </c>
      <c r="H17">
        <v>0</v>
      </c>
    </row>
    <row r="18" spans="1:8" x14ac:dyDescent="0.35">
      <c r="A18">
        <v>14091</v>
      </c>
      <c r="B18" t="s">
        <v>11</v>
      </c>
      <c r="C18">
        <v>7</v>
      </c>
      <c r="D18">
        <v>377</v>
      </c>
      <c r="E18" t="s">
        <v>8</v>
      </c>
      <c r="F18" t="s">
        <v>9</v>
      </c>
      <c r="G18" t="s">
        <v>14</v>
      </c>
      <c r="H18">
        <v>0</v>
      </c>
    </row>
    <row r="19" spans="1:8" x14ac:dyDescent="0.35">
      <c r="A19">
        <v>18448</v>
      </c>
      <c r="B19" t="s">
        <v>7</v>
      </c>
      <c r="C19">
        <v>12</v>
      </c>
      <c r="D19">
        <v>95</v>
      </c>
      <c r="E19" t="s">
        <v>8</v>
      </c>
      <c r="F19" t="s">
        <v>9</v>
      </c>
      <c r="G19" t="s">
        <v>14</v>
      </c>
      <c r="H19">
        <v>0</v>
      </c>
    </row>
    <row r="20" spans="1:8" x14ac:dyDescent="0.35">
      <c r="A20">
        <v>19217</v>
      </c>
      <c r="B20" t="s">
        <v>11</v>
      </c>
      <c r="C20">
        <v>11</v>
      </c>
      <c r="D20">
        <v>292</v>
      </c>
      <c r="E20" t="s">
        <v>8</v>
      </c>
      <c r="F20" t="s">
        <v>9</v>
      </c>
      <c r="G20" t="s">
        <v>16</v>
      </c>
      <c r="H20">
        <v>0</v>
      </c>
    </row>
    <row r="21" spans="1:8" x14ac:dyDescent="0.35">
      <c r="A21">
        <v>17897</v>
      </c>
      <c r="B21" t="s">
        <v>7</v>
      </c>
      <c r="C21">
        <v>14</v>
      </c>
      <c r="D21">
        <v>327</v>
      </c>
      <c r="E21" t="s">
        <v>8</v>
      </c>
      <c r="F21" t="s">
        <v>13</v>
      </c>
      <c r="G21" t="s">
        <v>14</v>
      </c>
      <c r="H21">
        <v>0</v>
      </c>
    </row>
    <row r="22" spans="1:8" x14ac:dyDescent="0.35">
      <c r="A22">
        <v>14212</v>
      </c>
      <c r="B22" t="s">
        <v>11</v>
      </c>
      <c r="C22">
        <v>7</v>
      </c>
      <c r="D22">
        <v>315</v>
      </c>
      <c r="E22" t="s">
        <v>8</v>
      </c>
      <c r="F22" t="s">
        <v>9</v>
      </c>
      <c r="G22" t="s">
        <v>16</v>
      </c>
      <c r="H22">
        <v>0</v>
      </c>
    </row>
    <row r="23" spans="1:8" x14ac:dyDescent="0.35">
      <c r="A23">
        <v>10026</v>
      </c>
      <c r="B23" t="s">
        <v>11</v>
      </c>
      <c r="C23">
        <v>11</v>
      </c>
      <c r="D23">
        <v>394</v>
      </c>
      <c r="E23" t="s">
        <v>8</v>
      </c>
      <c r="F23" t="s">
        <v>9</v>
      </c>
      <c r="G23" t="s">
        <v>16</v>
      </c>
      <c r="H23">
        <v>0</v>
      </c>
    </row>
    <row r="24" spans="1:8" x14ac:dyDescent="0.35">
      <c r="A24">
        <v>18361</v>
      </c>
      <c r="B24" t="s">
        <v>7</v>
      </c>
      <c r="C24">
        <v>3</v>
      </c>
      <c r="D24">
        <v>80</v>
      </c>
      <c r="E24" t="s">
        <v>8</v>
      </c>
      <c r="F24" t="s">
        <v>9</v>
      </c>
      <c r="G24" t="s">
        <v>16</v>
      </c>
      <c r="H24">
        <v>0</v>
      </c>
    </row>
    <row r="25" spans="1:8" x14ac:dyDescent="0.35">
      <c r="A25">
        <v>15775</v>
      </c>
      <c r="B25" t="s">
        <v>11</v>
      </c>
      <c r="C25">
        <v>4</v>
      </c>
      <c r="D25">
        <v>420</v>
      </c>
      <c r="E25" t="s">
        <v>8</v>
      </c>
      <c r="F25" t="s">
        <v>9</v>
      </c>
      <c r="G25" t="s">
        <v>12</v>
      </c>
      <c r="H25">
        <v>0</v>
      </c>
    </row>
    <row r="26" spans="1:8" x14ac:dyDescent="0.35">
      <c r="A26">
        <v>14575</v>
      </c>
      <c r="B26" t="s">
        <v>11</v>
      </c>
      <c r="C26">
        <v>12</v>
      </c>
      <c r="D26">
        <v>230</v>
      </c>
      <c r="E26" t="s">
        <v>8</v>
      </c>
      <c r="F26" t="s">
        <v>13</v>
      </c>
      <c r="G26" t="s">
        <v>14</v>
      </c>
      <c r="H26">
        <v>0</v>
      </c>
    </row>
    <row r="27" spans="1:8" x14ac:dyDescent="0.35">
      <c r="A27">
        <v>19369</v>
      </c>
      <c r="B27" t="s">
        <v>7</v>
      </c>
      <c r="C27">
        <v>2</v>
      </c>
      <c r="D27">
        <v>137</v>
      </c>
      <c r="E27" t="s">
        <v>8</v>
      </c>
      <c r="F27" t="s">
        <v>9</v>
      </c>
      <c r="G27" t="s">
        <v>10</v>
      </c>
      <c r="H27">
        <v>0</v>
      </c>
    </row>
    <row r="28" spans="1:8" x14ac:dyDescent="0.35">
      <c r="A28">
        <v>16330</v>
      </c>
      <c r="B28" t="s">
        <v>11</v>
      </c>
      <c r="C28">
        <v>11</v>
      </c>
      <c r="D28">
        <v>182</v>
      </c>
      <c r="E28" t="s">
        <v>8</v>
      </c>
      <c r="F28" t="s">
        <v>9</v>
      </c>
      <c r="G28" t="s">
        <v>14</v>
      </c>
      <c r="H28">
        <v>0</v>
      </c>
    </row>
    <row r="29" spans="1:8" x14ac:dyDescent="0.35">
      <c r="A29">
        <v>16296</v>
      </c>
      <c r="B29" t="s">
        <v>7</v>
      </c>
      <c r="C29">
        <v>11</v>
      </c>
      <c r="D29">
        <v>77</v>
      </c>
      <c r="E29" t="s">
        <v>8</v>
      </c>
      <c r="F29" t="s">
        <v>13</v>
      </c>
      <c r="G29" t="s">
        <v>14</v>
      </c>
      <c r="H29">
        <v>0</v>
      </c>
    </row>
    <row r="30" spans="1:8" x14ac:dyDescent="0.35">
      <c r="A30">
        <v>13528</v>
      </c>
      <c r="B30" t="s">
        <v>7</v>
      </c>
      <c r="C30">
        <v>9</v>
      </c>
      <c r="D30">
        <v>430</v>
      </c>
      <c r="E30" t="s">
        <v>8</v>
      </c>
      <c r="F30" t="s">
        <v>13</v>
      </c>
      <c r="G30" t="s">
        <v>14</v>
      </c>
      <c r="H30">
        <v>0</v>
      </c>
    </row>
    <row r="31" spans="1:8" x14ac:dyDescent="0.35">
      <c r="A31">
        <v>19498</v>
      </c>
      <c r="B31" t="s">
        <v>7</v>
      </c>
      <c r="C31">
        <v>14</v>
      </c>
      <c r="D31">
        <v>418</v>
      </c>
      <c r="E31" t="s">
        <v>8</v>
      </c>
      <c r="F31" t="s">
        <v>13</v>
      </c>
      <c r="G31" t="s">
        <v>12</v>
      </c>
      <c r="H31">
        <v>0</v>
      </c>
    </row>
    <row r="32" spans="1:8" x14ac:dyDescent="0.35">
      <c r="A32">
        <v>11951</v>
      </c>
      <c r="B32" t="s">
        <v>7</v>
      </c>
      <c r="C32">
        <v>9</v>
      </c>
      <c r="D32">
        <v>197</v>
      </c>
      <c r="E32" t="s">
        <v>15</v>
      </c>
      <c r="F32" t="s">
        <v>9</v>
      </c>
      <c r="G32" t="s">
        <v>10</v>
      </c>
      <c r="H32">
        <v>1</v>
      </c>
    </row>
    <row r="33" spans="1:8" x14ac:dyDescent="0.35">
      <c r="A33">
        <v>12482</v>
      </c>
      <c r="B33" t="s">
        <v>7</v>
      </c>
      <c r="C33">
        <v>13</v>
      </c>
      <c r="D33">
        <v>227</v>
      </c>
      <c r="E33" t="s">
        <v>8</v>
      </c>
      <c r="F33" t="s">
        <v>9</v>
      </c>
      <c r="G33" t="s">
        <v>12</v>
      </c>
      <c r="H33">
        <v>0</v>
      </c>
    </row>
    <row r="34" spans="1:8" x14ac:dyDescent="0.35">
      <c r="A34">
        <v>13970</v>
      </c>
      <c r="B34" t="s">
        <v>11</v>
      </c>
      <c r="C34">
        <v>5</v>
      </c>
      <c r="D34">
        <v>263</v>
      </c>
      <c r="E34" t="s">
        <v>8</v>
      </c>
      <c r="F34" t="s">
        <v>9</v>
      </c>
      <c r="G34" t="s">
        <v>16</v>
      </c>
      <c r="H34">
        <v>0</v>
      </c>
    </row>
    <row r="35" spans="1:8" x14ac:dyDescent="0.35">
      <c r="A35">
        <v>19487</v>
      </c>
      <c r="B35" t="s">
        <v>11</v>
      </c>
      <c r="C35">
        <v>10</v>
      </c>
      <c r="D35">
        <v>41</v>
      </c>
      <c r="E35" t="s">
        <v>8</v>
      </c>
      <c r="F35" t="s">
        <v>13</v>
      </c>
      <c r="G35" t="s">
        <v>10</v>
      </c>
      <c r="H35">
        <v>0</v>
      </c>
    </row>
    <row r="36" spans="1:8" x14ac:dyDescent="0.35">
      <c r="A36">
        <v>12647</v>
      </c>
      <c r="B36" t="s">
        <v>7</v>
      </c>
      <c r="C36">
        <v>7</v>
      </c>
      <c r="D36">
        <v>204</v>
      </c>
      <c r="E36" t="s">
        <v>8</v>
      </c>
      <c r="F36" t="s">
        <v>13</v>
      </c>
      <c r="G36" t="s">
        <v>12</v>
      </c>
      <c r="H36">
        <v>0</v>
      </c>
    </row>
    <row r="37" spans="1:8" x14ac:dyDescent="0.35">
      <c r="A37">
        <v>11334</v>
      </c>
      <c r="B37" t="s">
        <v>11</v>
      </c>
      <c r="C37">
        <v>6</v>
      </c>
      <c r="D37">
        <v>358</v>
      </c>
      <c r="E37" t="s">
        <v>8</v>
      </c>
      <c r="F37" t="s">
        <v>9</v>
      </c>
      <c r="G37" t="s">
        <v>10</v>
      </c>
      <c r="H37">
        <v>0</v>
      </c>
    </row>
    <row r="38" spans="1:8" x14ac:dyDescent="0.35">
      <c r="A38">
        <v>14393</v>
      </c>
      <c r="B38" t="s">
        <v>7</v>
      </c>
      <c r="C38">
        <v>10</v>
      </c>
      <c r="D38">
        <v>101</v>
      </c>
      <c r="E38" t="s">
        <v>15</v>
      </c>
      <c r="F38" t="s">
        <v>13</v>
      </c>
      <c r="G38" t="s">
        <v>10</v>
      </c>
      <c r="H38">
        <v>1</v>
      </c>
    </row>
    <row r="39" spans="1:8" x14ac:dyDescent="0.35">
      <c r="A39">
        <v>10435</v>
      </c>
      <c r="B39" t="s">
        <v>11</v>
      </c>
      <c r="C39">
        <v>10</v>
      </c>
      <c r="D39">
        <v>222</v>
      </c>
      <c r="E39" t="s">
        <v>8</v>
      </c>
      <c r="F39" t="s">
        <v>9</v>
      </c>
      <c r="G39" t="s">
        <v>10</v>
      </c>
      <c r="H39">
        <v>0</v>
      </c>
    </row>
    <row r="40" spans="1:8" x14ac:dyDescent="0.35">
      <c r="A40">
        <v>14356</v>
      </c>
      <c r="B40" t="s">
        <v>11</v>
      </c>
      <c r="C40">
        <v>12</v>
      </c>
      <c r="D40">
        <v>365</v>
      </c>
      <c r="E40" t="s">
        <v>8</v>
      </c>
      <c r="F40" t="s">
        <v>9</v>
      </c>
      <c r="G40" t="s">
        <v>16</v>
      </c>
      <c r="H40">
        <v>0</v>
      </c>
    </row>
    <row r="41" spans="1:8" x14ac:dyDescent="0.35">
      <c r="A41">
        <v>10628</v>
      </c>
      <c r="B41" t="s">
        <v>11</v>
      </c>
      <c r="C41">
        <v>10</v>
      </c>
      <c r="D41">
        <v>427</v>
      </c>
      <c r="E41" t="s">
        <v>8</v>
      </c>
      <c r="F41" t="s">
        <v>13</v>
      </c>
      <c r="G41" t="s">
        <v>16</v>
      </c>
      <c r="H41">
        <v>0</v>
      </c>
    </row>
    <row r="42" spans="1:8" x14ac:dyDescent="0.35">
      <c r="A42">
        <v>18524</v>
      </c>
      <c r="B42" t="s">
        <v>11</v>
      </c>
      <c r="C42">
        <v>14</v>
      </c>
      <c r="D42">
        <v>90</v>
      </c>
      <c r="E42" t="s">
        <v>8</v>
      </c>
      <c r="F42" t="s">
        <v>13</v>
      </c>
      <c r="G42" t="s">
        <v>12</v>
      </c>
      <c r="H42">
        <v>0</v>
      </c>
    </row>
    <row r="43" spans="1:8" x14ac:dyDescent="0.35">
      <c r="A43">
        <v>13100</v>
      </c>
      <c r="B43" t="s">
        <v>7</v>
      </c>
      <c r="C43">
        <v>5</v>
      </c>
      <c r="D43">
        <v>126</v>
      </c>
      <c r="E43" t="s">
        <v>8</v>
      </c>
      <c r="F43" t="s">
        <v>13</v>
      </c>
      <c r="G43" t="s">
        <v>14</v>
      </c>
      <c r="H43">
        <v>0</v>
      </c>
    </row>
    <row r="44" spans="1:8" x14ac:dyDescent="0.35">
      <c r="A44">
        <v>18153</v>
      </c>
      <c r="B44" t="s">
        <v>11</v>
      </c>
      <c r="C44">
        <v>9</v>
      </c>
      <c r="D44">
        <v>77</v>
      </c>
      <c r="E44" t="s">
        <v>8</v>
      </c>
      <c r="F44" t="s">
        <v>9</v>
      </c>
      <c r="G44" t="s">
        <v>14</v>
      </c>
      <c r="H44">
        <v>0</v>
      </c>
    </row>
    <row r="45" spans="1:8" x14ac:dyDescent="0.35">
      <c r="A45">
        <v>10042</v>
      </c>
      <c r="B45" t="s">
        <v>11</v>
      </c>
      <c r="C45">
        <v>11</v>
      </c>
      <c r="D45">
        <v>433</v>
      </c>
      <c r="E45" t="s">
        <v>8</v>
      </c>
      <c r="F45" t="s">
        <v>13</v>
      </c>
      <c r="G45" t="s">
        <v>16</v>
      </c>
      <c r="H45">
        <v>0</v>
      </c>
    </row>
    <row r="46" spans="1:8" x14ac:dyDescent="0.35">
      <c r="A46">
        <v>19566</v>
      </c>
      <c r="B46" t="s">
        <v>7</v>
      </c>
      <c r="C46">
        <v>7</v>
      </c>
      <c r="D46">
        <v>388</v>
      </c>
      <c r="E46" t="s">
        <v>8</v>
      </c>
      <c r="F46" t="s">
        <v>13</v>
      </c>
      <c r="G46" t="s">
        <v>10</v>
      </c>
      <c r="H46">
        <v>0</v>
      </c>
    </row>
    <row r="47" spans="1:8" x14ac:dyDescent="0.35">
      <c r="A47">
        <v>18487</v>
      </c>
      <c r="B47" t="s">
        <v>11</v>
      </c>
      <c r="C47">
        <v>11</v>
      </c>
      <c r="D47">
        <v>380</v>
      </c>
      <c r="E47" t="s">
        <v>8</v>
      </c>
      <c r="F47" t="s">
        <v>13</v>
      </c>
      <c r="G47" t="s">
        <v>12</v>
      </c>
      <c r="H47">
        <v>0</v>
      </c>
    </row>
    <row r="48" spans="1:8" x14ac:dyDescent="0.35">
      <c r="A48">
        <v>17406</v>
      </c>
      <c r="B48" t="s">
        <v>11</v>
      </c>
      <c r="C48">
        <v>7</v>
      </c>
      <c r="D48">
        <v>301</v>
      </c>
      <c r="E48" t="s">
        <v>8</v>
      </c>
      <c r="F48" t="s">
        <v>13</v>
      </c>
      <c r="G48" t="s">
        <v>10</v>
      </c>
      <c r="H48">
        <v>0</v>
      </c>
    </row>
    <row r="49" spans="1:8" x14ac:dyDescent="0.35">
      <c r="A49">
        <v>10071</v>
      </c>
      <c r="B49" t="s">
        <v>11</v>
      </c>
      <c r="C49">
        <v>5</v>
      </c>
      <c r="D49">
        <v>326</v>
      </c>
      <c r="E49" t="s">
        <v>8</v>
      </c>
      <c r="F49" t="s">
        <v>13</v>
      </c>
      <c r="G49" t="s">
        <v>12</v>
      </c>
      <c r="H49">
        <v>0</v>
      </c>
    </row>
    <row r="50" spans="1:8" x14ac:dyDescent="0.35">
      <c r="A50">
        <v>10448</v>
      </c>
      <c r="B50" t="s">
        <v>7</v>
      </c>
      <c r="C50">
        <v>14</v>
      </c>
      <c r="D50">
        <v>56</v>
      </c>
      <c r="E50" t="s">
        <v>8</v>
      </c>
      <c r="F50" t="s">
        <v>9</v>
      </c>
      <c r="G50" t="s">
        <v>10</v>
      </c>
      <c r="H50">
        <v>0</v>
      </c>
    </row>
    <row r="51" spans="1:8" x14ac:dyDescent="0.35">
      <c r="A51">
        <v>11063</v>
      </c>
      <c r="B51" t="s">
        <v>11</v>
      </c>
      <c r="C51">
        <v>14</v>
      </c>
      <c r="D51">
        <v>368</v>
      </c>
      <c r="E51" t="s">
        <v>8</v>
      </c>
      <c r="F51" t="s">
        <v>9</v>
      </c>
      <c r="G51" t="s">
        <v>16</v>
      </c>
      <c r="H51">
        <v>0</v>
      </c>
    </row>
    <row r="52" spans="1:8" x14ac:dyDescent="0.35">
      <c r="A52">
        <v>15726</v>
      </c>
      <c r="B52" t="s">
        <v>7</v>
      </c>
      <c r="C52">
        <v>13</v>
      </c>
      <c r="D52">
        <v>140</v>
      </c>
      <c r="E52" t="s">
        <v>8</v>
      </c>
      <c r="F52" t="s">
        <v>13</v>
      </c>
      <c r="G52" t="s">
        <v>16</v>
      </c>
      <c r="H52">
        <v>0</v>
      </c>
    </row>
    <row r="53" spans="1:8" x14ac:dyDescent="0.35">
      <c r="A53">
        <v>14439</v>
      </c>
      <c r="B53" t="s">
        <v>11</v>
      </c>
      <c r="C53">
        <v>12</v>
      </c>
      <c r="D53">
        <v>152</v>
      </c>
      <c r="E53" t="s">
        <v>8</v>
      </c>
      <c r="F53" t="s">
        <v>9</v>
      </c>
      <c r="G53" t="s">
        <v>14</v>
      </c>
      <c r="H53">
        <v>0</v>
      </c>
    </row>
    <row r="54" spans="1:8" x14ac:dyDescent="0.35">
      <c r="A54">
        <v>10268</v>
      </c>
      <c r="B54" t="s">
        <v>11</v>
      </c>
      <c r="C54">
        <v>7</v>
      </c>
      <c r="D54">
        <v>289</v>
      </c>
      <c r="E54" t="s">
        <v>15</v>
      </c>
      <c r="F54" t="s">
        <v>9</v>
      </c>
      <c r="G54" t="s">
        <v>12</v>
      </c>
      <c r="H54">
        <v>1</v>
      </c>
    </row>
    <row r="55" spans="1:8" x14ac:dyDescent="0.35">
      <c r="A55">
        <v>19819</v>
      </c>
      <c r="B55" t="s">
        <v>11</v>
      </c>
      <c r="C55">
        <v>2</v>
      </c>
      <c r="D55">
        <v>215</v>
      </c>
      <c r="E55" t="s">
        <v>8</v>
      </c>
      <c r="F55" t="s">
        <v>13</v>
      </c>
      <c r="G55" t="s">
        <v>16</v>
      </c>
      <c r="H55">
        <v>0</v>
      </c>
    </row>
    <row r="56" spans="1:8" x14ac:dyDescent="0.35">
      <c r="A56">
        <v>15774</v>
      </c>
      <c r="B56" t="s">
        <v>11</v>
      </c>
      <c r="C56">
        <v>9</v>
      </c>
      <c r="D56">
        <v>434</v>
      </c>
      <c r="E56" t="s">
        <v>8</v>
      </c>
      <c r="F56" t="s">
        <v>13</v>
      </c>
      <c r="G56" t="s">
        <v>10</v>
      </c>
      <c r="H56">
        <v>0</v>
      </c>
    </row>
    <row r="57" spans="1:8" x14ac:dyDescent="0.35">
      <c r="A57">
        <v>10553</v>
      </c>
      <c r="B57" t="s">
        <v>11</v>
      </c>
      <c r="C57">
        <v>4</v>
      </c>
      <c r="D57">
        <v>401</v>
      </c>
      <c r="E57" t="s">
        <v>15</v>
      </c>
      <c r="F57" t="s">
        <v>13</v>
      </c>
      <c r="G57" t="s">
        <v>10</v>
      </c>
      <c r="H57">
        <v>1</v>
      </c>
    </row>
    <row r="58" spans="1:8" x14ac:dyDescent="0.35">
      <c r="A58">
        <v>14777</v>
      </c>
      <c r="B58" t="s">
        <v>11</v>
      </c>
      <c r="C58">
        <v>9</v>
      </c>
      <c r="D58">
        <v>345</v>
      </c>
      <c r="E58" t="s">
        <v>8</v>
      </c>
      <c r="F58" t="s">
        <v>13</v>
      </c>
      <c r="G58" t="s">
        <v>14</v>
      </c>
      <c r="H58">
        <v>0</v>
      </c>
    </row>
    <row r="59" spans="1:8" x14ac:dyDescent="0.35">
      <c r="A59">
        <v>11184</v>
      </c>
      <c r="B59" t="s">
        <v>11</v>
      </c>
      <c r="C59">
        <v>1</v>
      </c>
      <c r="D59">
        <v>396</v>
      </c>
      <c r="E59" t="s">
        <v>8</v>
      </c>
      <c r="F59" t="s">
        <v>9</v>
      </c>
      <c r="G59" t="s">
        <v>14</v>
      </c>
      <c r="H59">
        <v>0</v>
      </c>
    </row>
    <row r="60" spans="1:8" x14ac:dyDescent="0.35">
      <c r="A60">
        <v>17191</v>
      </c>
      <c r="B60" t="s">
        <v>11</v>
      </c>
      <c r="C60">
        <v>7</v>
      </c>
      <c r="D60">
        <v>314</v>
      </c>
      <c r="E60" t="s">
        <v>8</v>
      </c>
      <c r="F60" t="s">
        <v>9</v>
      </c>
      <c r="G60" t="s">
        <v>16</v>
      </c>
      <c r="H60">
        <v>0</v>
      </c>
    </row>
    <row r="61" spans="1:8" x14ac:dyDescent="0.35">
      <c r="A61">
        <v>13264</v>
      </c>
      <c r="B61" t="s">
        <v>7</v>
      </c>
      <c r="C61">
        <v>1</v>
      </c>
      <c r="D61">
        <v>135</v>
      </c>
      <c r="E61" t="s">
        <v>8</v>
      </c>
      <c r="F61" t="s">
        <v>13</v>
      </c>
      <c r="G61" t="s">
        <v>10</v>
      </c>
      <c r="H61">
        <v>0</v>
      </c>
    </row>
    <row r="62" spans="1:8" x14ac:dyDescent="0.35">
      <c r="A62">
        <v>14603</v>
      </c>
      <c r="B62" t="s">
        <v>7</v>
      </c>
      <c r="C62">
        <v>9</v>
      </c>
      <c r="D62">
        <v>155</v>
      </c>
      <c r="E62" t="s">
        <v>8</v>
      </c>
      <c r="F62" t="s">
        <v>9</v>
      </c>
      <c r="G62" t="s">
        <v>12</v>
      </c>
      <c r="H62">
        <v>0</v>
      </c>
    </row>
    <row r="63" spans="1:8" x14ac:dyDescent="0.35">
      <c r="A63">
        <v>13551</v>
      </c>
      <c r="B63" t="s">
        <v>11</v>
      </c>
      <c r="C63">
        <v>11</v>
      </c>
      <c r="D63">
        <v>265</v>
      </c>
      <c r="E63" t="s">
        <v>15</v>
      </c>
      <c r="F63" t="s">
        <v>13</v>
      </c>
      <c r="G63" t="s">
        <v>12</v>
      </c>
      <c r="H63">
        <v>1</v>
      </c>
    </row>
    <row r="64" spans="1:8" x14ac:dyDescent="0.35">
      <c r="A64">
        <v>16861</v>
      </c>
      <c r="B64" t="s">
        <v>7</v>
      </c>
      <c r="C64">
        <v>1</v>
      </c>
      <c r="D64">
        <v>337</v>
      </c>
      <c r="E64" t="s">
        <v>8</v>
      </c>
      <c r="F64" t="s">
        <v>9</v>
      </c>
      <c r="G64" t="s">
        <v>14</v>
      </c>
      <c r="H64">
        <v>0</v>
      </c>
    </row>
    <row r="65" spans="1:8" x14ac:dyDescent="0.35">
      <c r="A65">
        <v>11803</v>
      </c>
      <c r="B65" t="s">
        <v>11</v>
      </c>
      <c r="C65">
        <v>7</v>
      </c>
      <c r="D65">
        <v>124</v>
      </c>
      <c r="E65" t="s">
        <v>8</v>
      </c>
      <c r="F65" t="s">
        <v>9</v>
      </c>
      <c r="G65" t="s">
        <v>14</v>
      </c>
      <c r="H65">
        <v>0</v>
      </c>
    </row>
    <row r="66" spans="1:8" x14ac:dyDescent="0.35">
      <c r="A66">
        <v>10920</v>
      </c>
      <c r="B66" t="s">
        <v>11</v>
      </c>
      <c r="C66">
        <v>8</v>
      </c>
      <c r="D66">
        <v>88</v>
      </c>
      <c r="E66" t="s">
        <v>8</v>
      </c>
      <c r="F66" t="s">
        <v>13</v>
      </c>
      <c r="G66" t="s">
        <v>16</v>
      </c>
      <c r="H66">
        <v>0</v>
      </c>
    </row>
    <row r="67" spans="1:8" x14ac:dyDescent="0.35">
      <c r="A67">
        <v>17539</v>
      </c>
      <c r="B67" t="s">
        <v>11</v>
      </c>
      <c r="C67">
        <v>1</v>
      </c>
      <c r="D67">
        <v>151</v>
      </c>
      <c r="E67" t="s">
        <v>8</v>
      </c>
      <c r="F67" t="s">
        <v>9</v>
      </c>
      <c r="G67" t="s">
        <v>12</v>
      </c>
      <c r="H67">
        <v>0</v>
      </c>
    </row>
    <row r="68" spans="1:8" x14ac:dyDescent="0.35">
      <c r="A68">
        <v>13537</v>
      </c>
      <c r="B68" t="s">
        <v>7</v>
      </c>
      <c r="C68">
        <v>3</v>
      </c>
      <c r="D68">
        <v>229</v>
      </c>
      <c r="E68" t="s">
        <v>8</v>
      </c>
      <c r="F68" t="s">
        <v>9</v>
      </c>
      <c r="G68" t="s">
        <v>10</v>
      </c>
      <c r="H68">
        <v>0</v>
      </c>
    </row>
    <row r="69" spans="1:8" x14ac:dyDescent="0.35">
      <c r="A69">
        <v>12238</v>
      </c>
      <c r="B69" t="s">
        <v>7</v>
      </c>
      <c r="C69">
        <v>4</v>
      </c>
      <c r="D69">
        <v>117</v>
      </c>
      <c r="E69" t="s">
        <v>8</v>
      </c>
      <c r="F69" t="s">
        <v>13</v>
      </c>
      <c r="G69" t="s">
        <v>14</v>
      </c>
      <c r="H69">
        <v>0</v>
      </c>
    </row>
    <row r="70" spans="1:8" x14ac:dyDescent="0.35">
      <c r="A70">
        <v>16160</v>
      </c>
      <c r="B70" t="s">
        <v>11</v>
      </c>
      <c r="C70">
        <v>14</v>
      </c>
      <c r="D70">
        <v>234</v>
      </c>
      <c r="E70" t="s">
        <v>8</v>
      </c>
      <c r="F70" t="s">
        <v>9</v>
      </c>
      <c r="G70" t="s">
        <v>14</v>
      </c>
      <c r="H70">
        <v>0</v>
      </c>
    </row>
    <row r="71" spans="1:8" x14ac:dyDescent="0.35">
      <c r="A71">
        <v>18467</v>
      </c>
      <c r="B71" t="s">
        <v>11</v>
      </c>
      <c r="C71">
        <v>11</v>
      </c>
      <c r="D71">
        <v>181</v>
      </c>
      <c r="E71" t="s">
        <v>8</v>
      </c>
      <c r="F71" t="s">
        <v>9</v>
      </c>
      <c r="G71" t="s">
        <v>12</v>
      </c>
      <c r="H71">
        <v>0</v>
      </c>
    </row>
    <row r="72" spans="1:8" x14ac:dyDescent="0.35">
      <c r="A72">
        <v>14792</v>
      </c>
      <c r="B72" t="s">
        <v>11</v>
      </c>
      <c r="C72">
        <v>9</v>
      </c>
      <c r="D72">
        <v>144</v>
      </c>
      <c r="E72" t="s">
        <v>8</v>
      </c>
      <c r="F72" t="s">
        <v>13</v>
      </c>
      <c r="G72" t="s">
        <v>10</v>
      </c>
      <c r="H72">
        <v>0</v>
      </c>
    </row>
    <row r="73" spans="1:8" x14ac:dyDescent="0.35">
      <c r="A73">
        <v>13675</v>
      </c>
      <c r="B73" t="s">
        <v>7</v>
      </c>
      <c r="C73">
        <v>3</v>
      </c>
      <c r="D73">
        <v>434</v>
      </c>
      <c r="E73" t="s">
        <v>8</v>
      </c>
      <c r="F73" t="s">
        <v>13</v>
      </c>
      <c r="G73" t="s">
        <v>14</v>
      </c>
      <c r="H73">
        <v>0</v>
      </c>
    </row>
    <row r="74" spans="1:8" x14ac:dyDescent="0.35">
      <c r="A74">
        <v>11244</v>
      </c>
      <c r="B74" t="s">
        <v>7</v>
      </c>
      <c r="C74">
        <v>5</v>
      </c>
      <c r="D74">
        <v>156</v>
      </c>
      <c r="E74" t="s">
        <v>8</v>
      </c>
      <c r="F74" t="s">
        <v>13</v>
      </c>
      <c r="G74" t="s">
        <v>16</v>
      </c>
      <c r="H74">
        <v>0</v>
      </c>
    </row>
    <row r="75" spans="1:8" x14ac:dyDescent="0.35">
      <c r="A75">
        <v>13909</v>
      </c>
      <c r="B75" t="s">
        <v>11</v>
      </c>
      <c r="C75">
        <v>7</v>
      </c>
      <c r="D75">
        <v>348</v>
      </c>
      <c r="E75" t="s">
        <v>8</v>
      </c>
      <c r="F75" t="s">
        <v>9</v>
      </c>
      <c r="G75" t="s">
        <v>12</v>
      </c>
      <c r="H75">
        <v>0</v>
      </c>
    </row>
    <row r="76" spans="1:8" x14ac:dyDescent="0.35">
      <c r="A76">
        <v>14568</v>
      </c>
      <c r="B76" t="s">
        <v>7</v>
      </c>
      <c r="C76">
        <v>12</v>
      </c>
      <c r="D76">
        <v>204</v>
      </c>
      <c r="E76" t="s">
        <v>15</v>
      </c>
      <c r="F76" t="s">
        <v>13</v>
      </c>
      <c r="G76" t="s">
        <v>16</v>
      </c>
      <c r="H76">
        <v>1</v>
      </c>
    </row>
    <row r="77" spans="1:8" x14ac:dyDescent="0.35">
      <c r="A77">
        <v>13888</v>
      </c>
      <c r="B77" t="s">
        <v>7</v>
      </c>
      <c r="C77">
        <v>4</v>
      </c>
      <c r="D77">
        <v>59</v>
      </c>
      <c r="E77" t="s">
        <v>8</v>
      </c>
      <c r="F77" t="s">
        <v>9</v>
      </c>
      <c r="G77" t="s">
        <v>10</v>
      </c>
      <c r="H77">
        <v>0</v>
      </c>
    </row>
    <row r="78" spans="1:8" x14ac:dyDescent="0.35">
      <c r="A78">
        <v>17730</v>
      </c>
      <c r="B78" t="s">
        <v>11</v>
      </c>
      <c r="C78">
        <v>11</v>
      </c>
      <c r="D78">
        <v>241</v>
      </c>
      <c r="E78" t="s">
        <v>8</v>
      </c>
      <c r="F78" t="s">
        <v>13</v>
      </c>
      <c r="G78" t="s">
        <v>16</v>
      </c>
      <c r="H78">
        <v>0</v>
      </c>
    </row>
    <row r="79" spans="1:8" x14ac:dyDescent="0.35">
      <c r="A79">
        <v>17033</v>
      </c>
      <c r="B79" t="s">
        <v>7</v>
      </c>
      <c r="C79">
        <v>8</v>
      </c>
      <c r="D79">
        <v>282</v>
      </c>
      <c r="E79" t="s">
        <v>8</v>
      </c>
      <c r="F79" t="s">
        <v>13</v>
      </c>
      <c r="G79" t="s">
        <v>14</v>
      </c>
      <c r="H79">
        <v>0</v>
      </c>
    </row>
    <row r="80" spans="1:8" x14ac:dyDescent="0.35">
      <c r="A80">
        <v>14737</v>
      </c>
      <c r="B80" t="s">
        <v>11</v>
      </c>
      <c r="C80">
        <v>12</v>
      </c>
      <c r="D80">
        <v>371</v>
      </c>
      <c r="E80" t="s">
        <v>8</v>
      </c>
      <c r="F80" t="s">
        <v>9</v>
      </c>
      <c r="G80" t="s">
        <v>14</v>
      </c>
      <c r="H80">
        <v>0</v>
      </c>
    </row>
    <row r="81" spans="1:8" x14ac:dyDescent="0.35">
      <c r="A81">
        <v>11731</v>
      </c>
      <c r="B81" t="s">
        <v>11</v>
      </c>
      <c r="C81">
        <v>10</v>
      </c>
      <c r="D81">
        <v>101</v>
      </c>
      <c r="E81" t="s">
        <v>8</v>
      </c>
      <c r="F81" t="s">
        <v>9</v>
      </c>
      <c r="G81" t="s">
        <v>12</v>
      </c>
      <c r="H81">
        <v>0</v>
      </c>
    </row>
    <row r="82" spans="1:8" x14ac:dyDescent="0.35">
      <c r="A82">
        <v>19838</v>
      </c>
      <c r="B82" t="s">
        <v>7</v>
      </c>
      <c r="C82">
        <v>11</v>
      </c>
      <c r="D82">
        <v>337</v>
      </c>
      <c r="E82" t="s">
        <v>15</v>
      </c>
      <c r="F82" t="s">
        <v>13</v>
      </c>
      <c r="G82" t="s">
        <v>10</v>
      </c>
      <c r="H82">
        <v>1</v>
      </c>
    </row>
    <row r="83" spans="1:8" x14ac:dyDescent="0.35">
      <c r="A83">
        <v>12610</v>
      </c>
      <c r="B83" t="s">
        <v>7</v>
      </c>
      <c r="C83">
        <v>7</v>
      </c>
      <c r="D83">
        <v>50</v>
      </c>
      <c r="E83" t="s">
        <v>8</v>
      </c>
      <c r="F83" t="s">
        <v>9</v>
      </c>
      <c r="G83" t="s">
        <v>16</v>
      </c>
      <c r="H83">
        <v>0</v>
      </c>
    </row>
    <row r="84" spans="1:8" x14ac:dyDescent="0.35">
      <c r="A84">
        <v>17869</v>
      </c>
      <c r="B84" t="s">
        <v>7</v>
      </c>
      <c r="C84">
        <v>12</v>
      </c>
      <c r="D84">
        <v>210</v>
      </c>
      <c r="E84" t="s">
        <v>8</v>
      </c>
      <c r="F84" t="s">
        <v>9</v>
      </c>
      <c r="G84" t="s">
        <v>14</v>
      </c>
      <c r="H84">
        <v>0</v>
      </c>
    </row>
    <row r="85" spans="1:8" x14ac:dyDescent="0.35">
      <c r="A85">
        <v>11517</v>
      </c>
      <c r="B85" t="s">
        <v>11</v>
      </c>
      <c r="C85">
        <v>9</v>
      </c>
      <c r="D85">
        <v>59</v>
      </c>
      <c r="E85" t="s">
        <v>8</v>
      </c>
      <c r="F85" t="s">
        <v>9</v>
      </c>
      <c r="G85" t="s">
        <v>12</v>
      </c>
      <c r="H85">
        <v>0</v>
      </c>
    </row>
    <row r="86" spans="1:8" x14ac:dyDescent="0.35">
      <c r="A86">
        <v>12107</v>
      </c>
      <c r="B86" t="s">
        <v>11</v>
      </c>
      <c r="C86">
        <v>11</v>
      </c>
      <c r="D86">
        <v>70</v>
      </c>
      <c r="E86" t="s">
        <v>8</v>
      </c>
      <c r="F86" t="s">
        <v>13</v>
      </c>
      <c r="G86" t="s">
        <v>16</v>
      </c>
      <c r="H86">
        <v>0</v>
      </c>
    </row>
    <row r="87" spans="1:8" x14ac:dyDescent="0.35">
      <c r="A87">
        <v>16125</v>
      </c>
      <c r="B87" t="s">
        <v>11</v>
      </c>
      <c r="C87">
        <v>1</v>
      </c>
      <c r="D87">
        <v>390</v>
      </c>
      <c r="E87" t="s">
        <v>8</v>
      </c>
      <c r="F87" t="s">
        <v>13</v>
      </c>
      <c r="G87" t="s">
        <v>12</v>
      </c>
      <c r="H87">
        <v>0</v>
      </c>
    </row>
    <row r="88" spans="1:8" x14ac:dyDescent="0.35">
      <c r="A88">
        <v>15835</v>
      </c>
      <c r="B88" t="s">
        <v>11</v>
      </c>
      <c r="C88">
        <v>9</v>
      </c>
      <c r="D88">
        <v>94</v>
      </c>
      <c r="E88" t="s">
        <v>8</v>
      </c>
      <c r="F88" t="s">
        <v>9</v>
      </c>
      <c r="G88" t="s">
        <v>10</v>
      </c>
      <c r="H88">
        <v>0</v>
      </c>
    </row>
    <row r="89" spans="1:8" x14ac:dyDescent="0.35">
      <c r="A89">
        <v>19401</v>
      </c>
      <c r="B89" t="s">
        <v>7</v>
      </c>
      <c r="C89">
        <v>9</v>
      </c>
      <c r="D89">
        <v>91</v>
      </c>
      <c r="E89" t="s">
        <v>15</v>
      </c>
      <c r="F89" t="s">
        <v>13</v>
      </c>
      <c r="G89" t="s">
        <v>14</v>
      </c>
      <c r="H89">
        <v>1</v>
      </c>
    </row>
    <row r="90" spans="1:8" x14ac:dyDescent="0.35">
      <c r="A90">
        <v>18255</v>
      </c>
      <c r="B90" t="s">
        <v>11</v>
      </c>
      <c r="C90">
        <v>14</v>
      </c>
      <c r="D90">
        <v>187</v>
      </c>
      <c r="E90" t="s">
        <v>8</v>
      </c>
      <c r="F90" t="s">
        <v>13</v>
      </c>
      <c r="G90" t="s">
        <v>14</v>
      </c>
      <c r="H90">
        <v>0</v>
      </c>
    </row>
    <row r="91" spans="1:8" x14ac:dyDescent="0.35">
      <c r="A91">
        <v>13928</v>
      </c>
      <c r="B91" t="s">
        <v>11</v>
      </c>
      <c r="C91">
        <v>5</v>
      </c>
      <c r="D91">
        <v>79</v>
      </c>
      <c r="E91" t="s">
        <v>8</v>
      </c>
      <c r="F91" t="s">
        <v>9</v>
      </c>
      <c r="G91" t="s">
        <v>16</v>
      </c>
      <c r="H91">
        <v>0</v>
      </c>
    </row>
    <row r="92" spans="1:8" x14ac:dyDescent="0.35">
      <c r="A92">
        <v>18089</v>
      </c>
      <c r="B92" t="s">
        <v>11</v>
      </c>
      <c r="C92">
        <v>14</v>
      </c>
      <c r="D92">
        <v>313</v>
      </c>
      <c r="E92" t="s">
        <v>8</v>
      </c>
      <c r="F92" t="s">
        <v>13</v>
      </c>
      <c r="G92" t="s">
        <v>16</v>
      </c>
      <c r="H92">
        <v>0</v>
      </c>
    </row>
    <row r="93" spans="1:8" x14ac:dyDescent="0.35">
      <c r="A93">
        <v>11047</v>
      </c>
      <c r="B93" t="s">
        <v>7</v>
      </c>
      <c r="C93">
        <v>10</v>
      </c>
      <c r="D93">
        <v>159</v>
      </c>
      <c r="E93" t="s">
        <v>8</v>
      </c>
      <c r="F93" t="s">
        <v>9</v>
      </c>
      <c r="G93" t="s">
        <v>10</v>
      </c>
      <c r="H93">
        <v>0</v>
      </c>
    </row>
    <row r="94" spans="1:8" x14ac:dyDescent="0.35">
      <c r="A94">
        <v>17558</v>
      </c>
      <c r="B94" t="s">
        <v>11</v>
      </c>
      <c r="C94">
        <v>13</v>
      </c>
      <c r="D94">
        <v>205</v>
      </c>
      <c r="E94" t="s">
        <v>15</v>
      </c>
      <c r="F94" t="s">
        <v>13</v>
      </c>
      <c r="G94" t="s">
        <v>10</v>
      </c>
      <c r="H94">
        <v>1</v>
      </c>
    </row>
    <row r="95" spans="1:8" x14ac:dyDescent="0.35">
      <c r="A95">
        <v>10142</v>
      </c>
      <c r="B95" t="s">
        <v>7</v>
      </c>
      <c r="C95">
        <v>14</v>
      </c>
      <c r="D95">
        <v>295</v>
      </c>
      <c r="E95" t="s">
        <v>8</v>
      </c>
      <c r="F95" t="s">
        <v>13</v>
      </c>
      <c r="G95" t="s">
        <v>10</v>
      </c>
      <c r="H95">
        <v>0</v>
      </c>
    </row>
    <row r="96" spans="1:8" x14ac:dyDescent="0.35">
      <c r="A96">
        <v>16024</v>
      </c>
      <c r="B96" t="s">
        <v>7</v>
      </c>
      <c r="C96">
        <v>1</v>
      </c>
      <c r="D96">
        <v>298</v>
      </c>
      <c r="E96" t="s">
        <v>8</v>
      </c>
      <c r="F96" t="s">
        <v>13</v>
      </c>
      <c r="G96" t="s">
        <v>16</v>
      </c>
      <c r="H96">
        <v>0</v>
      </c>
    </row>
    <row r="97" spans="1:8" x14ac:dyDescent="0.35">
      <c r="A97">
        <v>18073</v>
      </c>
      <c r="B97" t="s">
        <v>7</v>
      </c>
      <c r="C97">
        <v>6</v>
      </c>
      <c r="D97">
        <v>279</v>
      </c>
      <c r="E97" t="s">
        <v>8</v>
      </c>
      <c r="F97" t="s">
        <v>9</v>
      </c>
      <c r="G97" t="s">
        <v>14</v>
      </c>
      <c r="H97">
        <v>0</v>
      </c>
    </row>
    <row r="98" spans="1:8" x14ac:dyDescent="0.35">
      <c r="A98">
        <v>14001</v>
      </c>
      <c r="B98" t="s">
        <v>7</v>
      </c>
      <c r="C98">
        <v>9</v>
      </c>
      <c r="D98">
        <v>360</v>
      </c>
      <c r="E98" t="s">
        <v>8</v>
      </c>
      <c r="F98" t="s">
        <v>13</v>
      </c>
      <c r="G98" t="s">
        <v>14</v>
      </c>
      <c r="H98">
        <v>0</v>
      </c>
    </row>
    <row r="99" spans="1:8" x14ac:dyDescent="0.35">
      <c r="A99">
        <v>16174</v>
      </c>
      <c r="B99" t="s">
        <v>11</v>
      </c>
      <c r="C99">
        <v>2</v>
      </c>
      <c r="D99">
        <v>336</v>
      </c>
      <c r="E99" t="s">
        <v>8</v>
      </c>
      <c r="F99" t="s">
        <v>13</v>
      </c>
      <c r="G99" t="s">
        <v>14</v>
      </c>
      <c r="H99">
        <v>0</v>
      </c>
    </row>
    <row r="100" spans="1:8" x14ac:dyDescent="0.35">
      <c r="A100">
        <v>18149</v>
      </c>
      <c r="B100" t="s">
        <v>7</v>
      </c>
      <c r="C100">
        <v>1</v>
      </c>
      <c r="D100">
        <v>178</v>
      </c>
      <c r="E100" t="s">
        <v>8</v>
      </c>
      <c r="F100" t="s">
        <v>9</v>
      </c>
      <c r="G100" t="s">
        <v>14</v>
      </c>
      <c r="H100">
        <v>0</v>
      </c>
    </row>
    <row r="101" spans="1:8" x14ac:dyDescent="0.35">
      <c r="A101">
        <v>18669</v>
      </c>
      <c r="B101" t="s">
        <v>7</v>
      </c>
      <c r="C101">
        <v>7</v>
      </c>
      <c r="D101">
        <v>80</v>
      </c>
      <c r="E101" t="s">
        <v>8</v>
      </c>
      <c r="F101" t="s">
        <v>9</v>
      </c>
      <c r="G101" t="s">
        <v>12</v>
      </c>
      <c r="H101">
        <v>0</v>
      </c>
    </row>
    <row r="102" spans="1:8" x14ac:dyDescent="0.35">
      <c r="A102">
        <v>10869</v>
      </c>
      <c r="B102" t="s">
        <v>7</v>
      </c>
      <c r="C102">
        <v>11</v>
      </c>
      <c r="D102">
        <v>362</v>
      </c>
      <c r="E102" t="s">
        <v>8</v>
      </c>
      <c r="F102" t="s">
        <v>9</v>
      </c>
      <c r="G102" t="s">
        <v>14</v>
      </c>
      <c r="H102">
        <v>0</v>
      </c>
    </row>
    <row r="103" spans="1:8" x14ac:dyDescent="0.35">
      <c r="A103">
        <v>14207</v>
      </c>
      <c r="B103" t="s">
        <v>11</v>
      </c>
      <c r="C103">
        <v>9</v>
      </c>
      <c r="D103">
        <v>45</v>
      </c>
      <c r="E103" t="s">
        <v>8</v>
      </c>
      <c r="F103" t="s">
        <v>9</v>
      </c>
      <c r="G103" t="s">
        <v>14</v>
      </c>
      <c r="H103">
        <v>0</v>
      </c>
    </row>
    <row r="104" spans="1:8" x14ac:dyDescent="0.35">
      <c r="A104">
        <v>17412</v>
      </c>
      <c r="B104" t="s">
        <v>11</v>
      </c>
      <c r="C104">
        <v>5</v>
      </c>
      <c r="D104">
        <v>319</v>
      </c>
      <c r="E104" t="s">
        <v>8</v>
      </c>
      <c r="F104" t="s">
        <v>9</v>
      </c>
      <c r="G104" t="s">
        <v>14</v>
      </c>
      <c r="H104">
        <v>0</v>
      </c>
    </row>
    <row r="105" spans="1:8" x14ac:dyDescent="0.35">
      <c r="A105">
        <v>14220</v>
      </c>
      <c r="B105" t="s">
        <v>11</v>
      </c>
      <c r="C105">
        <v>14</v>
      </c>
      <c r="D105">
        <v>422</v>
      </c>
      <c r="E105" t="s">
        <v>8</v>
      </c>
      <c r="F105" t="s">
        <v>9</v>
      </c>
      <c r="G105" t="s">
        <v>16</v>
      </c>
      <c r="H105">
        <v>0</v>
      </c>
    </row>
    <row r="106" spans="1:8" x14ac:dyDescent="0.35">
      <c r="A106">
        <v>13555</v>
      </c>
      <c r="B106" t="s">
        <v>7</v>
      </c>
      <c r="C106">
        <v>8</v>
      </c>
      <c r="D106">
        <v>372</v>
      </c>
      <c r="E106" t="s">
        <v>8</v>
      </c>
      <c r="F106" t="s">
        <v>13</v>
      </c>
      <c r="G106" t="s">
        <v>10</v>
      </c>
      <c r="H106">
        <v>0</v>
      </c>
    </row>
    <row r="107" spans="1:8" x14ac:dyDescent="0.35">
      <c r="A107">
        <v>10632</v>
      </c>
      <c r="B107" t="s">
        <v>11</v>
      </c>
      <c r="C107">
        <v>11</v>
      </c>
      <c r="D107">
        <v>302</v>
      </c>
      <c r="E107" t="s">
        <v>8</v>
      </c>
      <c r="F107" t="s">
        <v>13</v>
      </c>
      <c r="G107" t="s">
        <v>10</v>
      </c>
      <c r="H107">
        <v>0</v>
      </c>
    </row>
    <row r="108" spans="1:8" x14ac:dyDescent="0.35">
      <c r="A108">
        <v>13974</v>
      </c>
      <c r="B108" t="s">
        <v>7</v>
      </c>
      <c r="C108">
        <v>2</v>
      </c>
      <c r="D108">
        <v>305</v>
      </c>
      <c r="E108" t="s">
        <v>15</v>
      </c>
      <c r="F108" t="s">
        <v>9</v>
      </c>
      <c r="G108" t="s">
        <v>10</v>
      </c>
      <c r="H108">
        <v>1</v>
      </c>
    </row>
    <row r="109" spans="1:8" x14ac:dyDescent="0.35">
      <c r="A109">
        <v>12612</v>
      </c>
      <c r="B109" t="s">
        <v>11</v>
      </c>
      <c r="C109">
        <v>14</v>
      </c>
      <c r="D109">
        <v>238</v>
      </c>
      <c r="E109" t="s">
        <v>8</v>
      </c>
      <c r="F109" t="s">
        <v>13</v>
      </c>
      <c r="G109" t="s">
        <v>12</v>
      </c>
      <c r="H109">
        <v>0</v>
      </c>
    </row>
    <row r="110" spans="1:8" x14ac:dyDescent="0.35">
      <c r="A110">
        <v>11432</v>
      </c>
      <c r="B110" t="s">
        <v>7</v>
      </c>
      <c r="C110">
        <v>11</v>
      </c>
      <c r="D110">
        <v>202</v>
      </c>
      <c r="E110" t="s">
        <v>8</v>
      </c>
      <c r="F110" t="s">
        <v>13</v>
      </c>
      <c r="G110" t="s">
        <v>16</v>
      </c>
      <c r="H110">
        <v>0</v>
      </c>
    </row>
    <row r="111" spans="1:8" x14ac:dyDescent="0.35">
      <c r="A111">
        <v>15983</v>
      </c>
      <c r="B111" t="s">
        <v>11</v>
      </c>
      <c r="C111">
        <v>11</v>
      </c>
      <c r="D111">
        <v>357</v>
      </c>
      <c r="E111" t="s">
        <v>8</v>
      </c>
      <c r="F111" t="s">
        <v>9</v>
      </c>
      <c r="G111" t="s">
        <v>14</v>
      </c>
      <c r="H111">
        <v>0</v>
      </c>
    </row>
    <row r="112" spans="1:8" x14ac:dyDescent="0.35">
      <c r="A112">
        <v>14964</v>
      </c>
      <c r="B112" t="s">
        <v>11</v>
      </c>
      <c r="C112">
        <v>9</v>
      </c>
      <c r="D112">
        <v>281</v>
      </c>
      <c r="E112" t="s">
        <v>8</v>
      </c>
      <c r="F112" t="s">
        <v>13</v>
      </c>
      <c r="G112" t="s">
        <v>14</v>
      </c>
      <c r="H112">
        <v>0</v>
      </c>
    </row>
    <row r="113" spans="1:8" x14ac:dyDescent="0.35">
      <c r="A113">
        <v>16445</v>
      </c>
      <c r="B113" t="s">
        <v>7</v>
      </c>
      <c r="C113">
        <v>2</v>
      </c>
      <c r="D113">
        <v>100</v>
      </c>
      <c r="E113" t="s">
        <v>8</v>
      </c>
      <c r="F113" t="s">
        <v>9</v>
      </c>
      <c r="G113" t="s">
        <v>14</v>
      </c>
      <c r="H113">
        <v>0</v>
      </c>
    </row>
    <row r="114" spans="1:8" x14ac:dyDescent="0.35">
      <c r="A114">
        <v>12524</v>
      </c>
      <c r="B114" t="s">
        <v>7</v>
      </c>
      <c r="C114">
        <v>5</v>
      </c>
      <c r="D114">
        <v>324</v>
      </c>
      <c r="E114" t="s">
        <v>8</v>
      </c>
      <c r="F114" t="s">
        <v>9</v>
      </c>
      <c r="G114" t="s">
        <v>10</v>
      </c>
      <c r="H114">
        <v>0</v>
      </c>
    </row>
    <row r="115" spans="1:8" x14ac:dyDescent="0.35">
      <c r="A115">
        <v>19961</v>
      </c>
      <c r="B115" t="s">
        <v>7</v>
      </c>
      <c r="C115">
        <v>10</v>
      </c>
      <c r="D115">
        <v>227</v>
      </c>
      <c r="E115" t="s">
        <v>8</v>
      </c>
      <c r="F115" t="s">
        <v>9</v>
      </c>
      <c r="G115" t="s">
        <v>14</v>
      </c>
      <c r="H115">
        <v>0</v>
      </c>
    </row>
    <row r="116" spans="1:8" x14ac:dyDescent="0.35">
      <c r="A116">
        <v>12405</v>
      </c>
      <c r="B116" t="s">
        <v>11</v>
      </c>
      <c r="C116">
        <v>6</v>
      </c>
      <c r="D116">
        <v>213</v>
      </c>
      <c r="E116" t="s">
        <v>8</v>
      </c>
      <c r="F116" t="s">
        <v>9</v>
      </c>
      <c r="G116" t="s">
        <v>12</v>
      </c>
      <c r="H116">
        <v>0</v>
      </c>
    </row>
    <row r="117" spans="1:8" x14ac:dyDescent="0.35">
      <c r="A117">
        <v>11375</v>
      </c>
      <c r="B117" t="s">
        <v>7</v>
      </c>
      <c r="C117">
        <v>13</v>
      </c>
      <c r="D117">
        <v>186</v>
      </c>
      <c r="E117" t="s">
        <v>8</v>
      </c>
      <c r="F117" t="s">
        <v>13</v>
      </c>
      <c r="G117" t="s">
        <v>10</v>
      </c>
      <c r="H117">
        <v>0</v>
      </c>
    </row>
    <row r="118" spans="1:8" x14ac:dyDescent="0.35">
      <c r="A118">
        <v>16652</v>
      </c>
      <c r="B118" t="s">
        <v>7</v>
      </c>
      <c r="C118">
        <v>7</v>
      </c>
      <c r="D118">
        <v>48</v>
      </c>
      <c r="E118" t="s">
        <v>8</v>
      </c>
      <c r="F118" t="s">
        <v>13</v>
      </c>
      <c r="G118" t="s">
        <v>16</v>
      </c>
      <c r="H118">
        <v>0</v>
      </c>
    </row>
    <row r="119" spans="1:8" x14ac:dyDescent="0.35">
      <c r="A119">
        <v>16474</v>
      </c>
      <c r="B119" t="s">
        <v>7</v>
      </c>
      <c r="C119">
        <v>8</v>
      </c>
      <c r="D119">
        <v>187</v>
      </c>
      <c r="E119" t="s">
        <v>8</v>
      </c>
      <c r="F119" t="s">
        <v>9</v>
      </c>
      <c r="G119" t="s">
        <v>14</v>
      </c>
      <c r="H119">
        <v>0</v>
      </c>
    </row>
    <row r="120" spans="1:8" x14ac:dyDescent="0.35">
      <c r="A120">
        <v>16872</v>
      </c>
      <c r="B120" t="s">
        <v>7</v>
      </c>
      <c r="C120">
        <v>2</v>
      </c>
      <c r="D120">
        <v>238</v>
      </c>
      <c r="E120" t="s">
        <v>8</v>
      </c>
      <c r="F120" t="s">
        <v>9</v>
      </c>
      <c r="G120" t="s">
        <v>16</v>
      </c>
      <c r="H120">
        <v>0</v>
      </c>
    </row>
    <row r="121" spans="1:8" x14ac:dyDescent="0.35">
      <c r="A121">
        <v>14643</v>
      </c>
      <c r="B121" t="s">
        <v>7</v>
      </c>
      <c r="C121">
        <v>8</v>
      </c>
      <c r="D121">
        <v>304</v>
      </c>
      <c r="E121" t="s">
        <v>8</v>
      </c>
      <c r="F121" t="s">
        <v>9</v>
      </c>
      <c r="G121" t="s">
        <v>12</v>
      </c>
      <c r="H121">
        <v>0</v>
      </c>
    </row>
    <row r="122" spans="1:8" x14ac:dyDescent="0.35">
      <c r="A122">
        <v>13304</v>
      </c>
      <c r="B122" t="s">
        <v>11</v>
      </c>
      <c r="C122">
        <v>11</v>
      </c>
      <c r="D122">
        <v>285</v>
      </c>
      <c r="E122" t="s">
        <v>8</v>
      </c>
      <c r="F122" t="s">
        <v>9</v>
      </c>
      <c r="G122" t="s">
        <v>12</v>
      </c>
      <c r="H122">
        <v>0</v>
      </c>
    </row>
    <row r="123" spans="1:8" x14ac:dyDescent="0.35">
      <c r="A123">
        <v>17358</v>
      </c>
      <c r="B123" t="s">
        <v>7</v>
      </c>
      <c r="C123">
        <v>8</v>
      </c>
      <c r="D123">
        <v>314</v>
      </c>
      <c r="E123" t="s">
        <v>8</v>
      </c>
      <c r="F123" t="s">
        <v>13</v>
      </c>
      <c r="G123" t="s">
        <v>12</v>
      </c>
      <c r="H123">
        <v>0</v>
      </c>
    </row>
    <row r="124" spans="1:8" x14ac:dyDescent="0.35">
      <c r="A124">
        <v>11846</v>
      </c>
      <c r="B124" t="s">
        <v>7</v>
      </c>
      <c r="C124">
        <v>14</v>
      </c>
      <c r="D124">
        <v>299</v>
      </c>
      <c r="E124" t="s">
        <v>8</v>
      </c>
      <c r="F124" t="s">
        <v>13</v>
      </c>
      <c r="G124" t="s">
        <v>14</v>
      </c>
      <c r="H124">
        <v>0</v>
      </c>
    </row>
    <row r="125" spans="1:8" x14ac:dyDescent="0.35">
      <c r="A125">
        <v>14248</v>
      </c>
      <c r="B125" t="s">
        <v>7</v>
      </c>
      <c r="C125">
        <v>10</v>
      </c>
      <c r="D125">
        <v>140</v>
      </c>
      <c r="E125" t="s">
        <v>15</v>
      </c>
      <c r="F125" t="s">
        <v>9</v>
      </c>
      <c r="G125" t="s">
        <v>16</v>
      </c>
      <c r="H125">
        <v>1</v>
      </c>
    </row>
    <row r="126" spans="1:8" x14ac:dyDescent="0.35">
      <c r="A126">
        <v>10728</v>
      </c>
      <c r="B126" t="s">
        <v>7</v>
      </c>
      <c r="C126">
        <v>11</v>
      </c>
      <c r="D126">
        <v>419</v>
      </c>
      <c r="E126" t="s">
        <v>8</v>
      </c>
      <c r="F126" t="s">
        <v>13</v>
      </c>
      <c r="G126" t="s">
        <v>14</v>
      </c>
      <c r="H126">
        <v>0</v>
      </c>
    </row>
    <row r="127" spans="1:8" x14ac:dyDescent="0.35">
      <c r="A127">
        <v>17854</v>
      </c>
      <c r="B127" t="s">
        <v>7</v>
      </c>
      <c r="C127">
        <v>9</v>
      </c>
      <c r="D127">
        <v>199</v>
      </c>
      <c r="E127" t="s">
        <v>8</v>
      </c>
      <c r="F127" t="s">
        <v>9</v>
      </c>
      <c r="G127" t="s">
        <v>14</v>
      </c>
      <c r="H127">
        <v>0</v>
      </c>
    </row>
    <row r="128" spans="1:8" x14ac:dyDescent="0.35">
      <c r="A128">
        <v>17973</v>
      </c>
      <c r="B128" t="s">
        <v>7</v>
      </c>
      <c r="C128">
        <v>13</v>
      </c>
      <c r="D128">
        <v>419</v>
      </c>
      <c r="E128" t="s">
        <v>8</v>
      </c>
      <c r="F128" t="s">
        <v>13</v>
      </c>
      <c r="G128" t="s">
        <v>16</v>
      </c>
      <c r="H128">
        <v>0</v>
      </c>
    </row>
    <row r="129" spans="1:8" x14ac:dyDescent="0.35">
      <c r="A129">
        <v>19497</v>
      </c>
      <c r="B129" t="s">
        <v>11</v>
      </c>
      <c r="C129">
        <v>11</v>
      </c>
      <c r="D129">
        <v>412</v>
      </c>
      <c r="E129" t="s">
        <v>8</v>
      </c>
      <c r="F129" t="s">
        <v>9</v>
      </c>
      <c r="G129" t="s">
        <v>14</v>
      </c>
      <c r="H129">
        <v>0</v>
      </c>
    </row>
    <row r="130" spans="1:8" x14ac:dyDescent="0.35">
      <c r="A130">
        <v>11642</v>
      </c>
      <c r="B130" t="s">
        <v>7</v>
      </c>
      <c r="C130">
        <v>12</v>
      </c>
      <c r="D130">
        <v>127</v>
      </c>
      <c r="E130" t="s">
        <v>8</v>
      </c>
      <c r="F130" t="s">
        <v>13</v>
      </c>
      <c r="G130" t="s">
        <v>14</v>
      </c>
      <c r="H130">
        <v>0</v>
      </c>
    </row>
    <row r="131" spans="1:8" x14ac:dyDescent="0.35">
      <c r="A131">
        <v>18392</v>
      </c>
      <c r="B131" t="s">
        <v>11</v>
      </c>
      <c r="C131">
        <v>8</v>
      </c>
      <c r="D131">
        <v>440</v>
      </c>
      <c r="E131" t="s">
        <v>8</v>
      </c>
      <c r="F131" t="s">
        <v>9</v>
      </c>
      <c r="G131" t="s">
        <v>12</v>
      </c>
      <c r="H131">
        <v>0</v>
      </c>
    </row>
    <row r="132" spans="1:8" x14ac:dyDescent="0.35">
      <c r="A132">
        <v>17004</v>
      </c>
      <c r="B132" t="s">
        <v>7</v>
      </c>
      <c r="C132">
        <v>8</v>
      </c>
      <c r="D132">
        <v>372</v>
      </c>
      <c r="E132" t="s">
        <v>15</v>
      </c>
      <c r="F132" t="s">
        <v>13</v>
      </c>
      <c r="G132" t="s">
        <v>14</v>
      </c>
      <c r="H132">
        <v>1</v>
      </c>
    </row>
    <row r="133" spans="1:8" x14ac:dyDescent="0.35">
      <c r="A133">
        <v>16546</v>
      </c>
      <c r="B133" t="s">
        <v>7</v>
      </c>
      <c r="C133">
        <v>4</v>
      </c>
      <c r="D133">
        <v>434</v>
      </c>
      <c r="E133" t="s">
        <v>8</v>
      </c>
      <c r="F133" t="s">
        <v>9</v>
      </c>
      <c r="G133" t="s">
        <v>12</v>
      </c>
      <c r="H133">
        <v>0</v>
      </c>
    </row>
    <row r="134" spans="1:8" x14ac:dyDescent="0.35">
      <c r="A134">
        <v>10171</v>
      </c>
      <c r="B134" t="s">
        <v>11</v>
      </c>
      <c r="C134">
        <v>14</v>
      </c>
      <c r="D134">
        <v>179</v>
      </c>
      <c r="E134" t="s">
        <v>8</v>
      </c>
      <c r="F134" t="s">
        <v>13</v>
      </c>
      <c r="G134" t="s">
        <v>10</v>
      </c>
      <c r="H134">
        <v>0</v>
      </c>
    </row>
    <row r="135" spans="1:8" x14ac:dyDescent="0.35">
      <c r="A135">
        <v>16653</v>
      </c>
      <c r="B135" t="s">
        <v>11</v>
      </c>
      <c r="C135">
        <v>7</v>
      </c>
      <c r="D135">
        <v>84</v>
      </c>
      <c r="E135" t="s">
        <v>8</v>
      </c>
      <c r="F135" t="s">
        <v>13</v>
      </c>
      <c r="G135" t="s">
        <v>16</v>
      </c>
      <c r="H135">
        <v>0</v>
      </c>
    </row>
    <row r="136" spans="1:8" x14ac:dyDescent="0.35">
      <c r="A136">
        <v>17336</v>
      </c>
      <c r="B136" t="s">
        <v>7</v>
      </c>
      <c r="C136">
        <v>14</v>
      </c>
      <c r="D136">
        <v>145</v>
      </c>
      <c r="E136" t="s">
        <v>15</v>
      </c>
      <c r="F136" t="s">
        <v>13</v>
      </c>
      <c r="G136" t="s">
        <v>12</v>
      </c>
      <c r="H136">
        <v>1</v>
      </c>
    </row>
    <row r="137" spans="1:8" x14ac:dyDescent="0.35">
      <c r="A137">
        <v>11220</v>
      </c>
      <c r="B137" t="s">
        <v>11</v>
      </c>
      <c r="C137">
        <v>1</v>
      </c>
      <c r="D137">
        <v>385</v>
      </c>
      <c r="E137" t="s">
        <v>8</v>
      </c>
      <c r="F137" t="s">
        <v>9</v>
      </c>
      <c r="G137" t="s">
        <v>10</v>
      </c>
      <c r="H137">
        <v>0</v>
      </c>
    </row>
    <row r="138" spans="1:8" x14ac:dyDescent="0.35">
      <c r="A138">
        <v>16104</v>
      </c>
      <c r="B138" t="s">
        <v>7</v>
      </c>
      <c r="C138">
        <v>3</v>
      </c>
      <c r="D138">
        <v>409</v>
      </c>
      <c r="E138" t="s">
        <v>8</v>
      </c>
      <c r="F138" t="s">
        <v>9</v>
      </c>
      <c r="G138" t="s">
        <v>10</v>
      </c>
      <c r="H138">
        <v>0</v>
      </c>
    </row>
    <row r="139" spans="1:8" x14ac:dyDescent="0.35">
      <c r="A139">
        <v>19145</v>
      </c>
      <c r="B139" t="s">
        <v>11</v>
      </c>
      <c r="C139">
        <v>8</v>
      </c>
      <c r="D139">
        <v>239</v>
      </c>
      <c r="E139" t="s">
        <v>8</v>
      </c>
      <c r="F139" t="s">
        <v>13</v>
      </c>
      <c r="G139" t="s">
        <v>14</v>
      </c>
      <c r="H139">
        <v>0</v>
      </c>
    </row>
    <row r="140" spans="1:8" x14ac:dyDescent="0.35">
      <c r="A140">
        <v>10260</v>
      </c>
      <c r="B140" t="s">
        <v>11</v>
      </c>
      <c r="C140">
        <v>11</v>
      </c>
      <c r="D140">
        <v>264</v>
      </c>
      <c r="E140" t="s">
        <v>8</v>
      </c>
      <c r="F140" t="s">
        <v>9</v>
      </c>
      <c r="G140" t="s">
        <v>14</v>
      </c>
      <c r="H140">
        <v>0</v>
      </c>
    </row>
    <row r="141" spans="1:8" x14ac:dyDescent="0.35">
      <c r="A141">
        <v>15640</v>
      </c>
      <c r="B141" t="s">
        <v>7</v>
      </c>
      <c r="C141">
        <v>8</v>
      </c>
      <c r="D141">
        <v>43</v>
      </c>
      <c r="E141" t="s">
        <v>8</v>
      </c>
      <c r="F141" t="s">
        <v>13</v>
      </c>
      <c r="G141" t="s">
        <v>10</v>
      </c>
      <c r="H141">
        <v>0</v>
      </c>
    </row>
    <row r="142" spans="1:8" x14ac:dyDescent="0.35">
      <c r="A142">
        <v>18888</v>
      </c>
      <c r="B142" t="s">
        <v>7</v>
      </c>
      <c r="C142">
        <v>6</v>
      </c>
      <c r="D142">
        <v>249</v>
      </c>
      <c r="E142" t="s">
        <v>8</v>
      </c>
      <c r="F142" t="s">
        <v>9</v>
      </c>
      <c r="G142" t="s">
        <v>16</v>
      </c>
      <c r="H142">
        <v>0</v>
      </c>
    </row>
    <row r="143" spans="1:8" x14ac:dyDescent="0.35">
      <c r="A143">
        <v>18776</v>
      </c>
      <c r="B143" t="s">
        <v>11</v>
      </c>
      <c r="C143">
        <v>13</v>
      </c>
      <c r="D143">
        <v>81</v>
      </c>
      <c r="E143" t="s">
        <v>8</v>
      </c>
      <c r="F143" t="s">
        <v>13</v>
      </c>
      <c r="G143" t="s">
        <v>10</v>
      </c>
      <c r="H143">
        <v>0</v>
      </c>
    </row>
    <row r="144" spans="1:8" x14ac:dyDescent="0.35">
      <c r="A144">
        <v>18508</v>
      </c>
      <c r="B144" t="s">
        <v>7</v>
      </c>
      <c r="C144">
        <v>2</v>
      </c>
      <c r="D144">
        <v>45</v>
      </c>
      <c r="E144" t="s">
        <v>15</v>
      </c>
      <c r="F144" t="s">
        <v>9</v>
      </c>
      <c r="G144" t="s">
        <v>14</v>
      </c>
      <c r="H144">
        <v>1</v>
      </c>
    </row>
    <row r="145" spans="1:8" x14ac:dyDescent="0.35">
      <c r="A145">
        <v>18312</v>
      </c>
      <c r="B145" t="s">
        <v>11</v>
      </c>
      <c r="C145">
        <v>14</v>
      </c>
      <c r="D145">
        <v>260</v>
      </c>
      <c r="E145" t="s">
        <v>8</v>
      </c>
      <c r="F145" t="s">
        <v>9</v>
      </c>
      <c r="G145" t="s">
        <v>10</v>
      </c>
      <c r="H145">
        <v>0</v>
      </c>
    </row>
    <row r="146" spans="1:8" x14ac:dyDescent="0.35">
      <c r="A146">
        <v>15917</v>
      </c>
      <c r="B146" t="s">
        <v>7</v>
      </c>
      <c r="C146">
        <v>1</v>
      </c>
      <c r="D146">
        <v>349</v>
      </c>
      <c r="E146" t="s">
        <v>15</v>
      </c>
      <c r="F146" t="s">
        <v>13</v>
      </c>
      <c r="G146" t="s">
        <v>10</v>
      </c>
      <c r="H146">
        <v>1</v>
      </c>
    </row>
    <row r="147" spans="1:8" x14ac:dyDescent="0.35">
      <c r="A147">
        <v>15743</v>
      </c>
      <c r="B147" t="s">
        <v>7</v>
      </c>
      <c r="C147">
        <v>8</v>
      </c>
      <c r="D147">
        <v>113</v>
      </c>
      <c r="E147" t="s">
        <v>8</v>
      </c>
      <c r="F147" t="s">
        <v>13</v>
      </c>
      <c r="G147" t="s">
        <v>14</v>
      </c>
      <c r="H147">
        <v>0</v>
      </c>
    </row>
    <row r="148" spans="1:8" x14ac:dyDescent="0.35">
      <c r="A148">
        <v>13942</v>
      </c>
      <c r="B148" t="s">
        <v>7</v>
      </c>
      <c r="C148">
        <v>6</v>
      </c>
      <c r="D148">
        <v>308</v>
      </c>
      <c r="E148" t="s">
        <v>8</v>
      </c>
      <c r="F148" t="s">
        <v>13</v>
      </c>
      <c r="G148" t="s">
        <v>10</v>
      </c>
      <c r="H148">
        <v>0</v>
      </c>
    </row>
    <row r="149" spans="1:8" x14ac:dyDescent="0.35">
      <c r="A149">
        <v>11639</v>
      </c>
      <c r="B149" t="s">
        <v>11</v>
      </c>
      <c r="C149">
        <v>4</v>
      </c>
      <c r="D149">
        <v>345</v>
      </c>
      <c r="E149" t="s">
        <v>8</v>
      </c>
      <c r="F149" t="s">
        <v>9</v>
      </c>
      <c r="G149" t="s">
        <v>10</v>
      </c>
      <c r="H149">
        <v>0</v>
      </c>
    </row>
    <row r="150" spans="1:8" x14ac:dyDescent="0.35">
      <c r="A150">
        <v>19692</v>
      </c>
      <c r="B150" t="s">
        <v>7</v>
      </c>
      <c r="C150">
        <v>7</v>
      </c>
      <c r="D150">
        <v>447</v>
      </c>
      <c r="E150" t="s">
        <v>8</v>
      </c>
      <c r="F150" t="s">
        <v>13</v>
      </c>
      <c r="G150" t="s">
        <v>14</v>
      </c>
      <c r="H150">
        <v>0</v>
      </c>
    </row>
    <row r="151" spans="1:8" x14ac:dyDescent="0.35">
      <c r="A151">
        <v>12221</v>
      </c>
      <c r="B151" t="s">
        <v>11</v>
      </c>
      <c r="C151">
        <v>1</v>
      </c>
      <c r="D151">
        <v>225</v>
      </c>
      <c r="E151" t="s">
        <v>8</v>
      </c>
      <c r="F151" t="s">
        <v>9</v>
      </c>
      <c r="G151" t="s">
        <v>14</v>
      </c>
      <c r="H151">
        <v>0</v>
      </c>
    </row>
    <row r="152" spans="1:8" x14ac:dyDescent="0.35">
      <c r="A152">
        <v>19460</v>
      </c>
      <c r="B152" t="s">
        <v>11</v>
      </c>
      <c r="C152">
        <v>2</v>
      </c>
      <c r="D152">
        <v>49</v>
      </c>
      <c r="E152" t="s">
        <v>8</v>
      </c>
      <c r="F152" t="s">
        <v>9</v>
      </c>
      <c r="G152" t="s">
        <v>10</v>
      </c>
      <c r="H152">
        <v>0</v>
      </c>
    </row>
    <row r="153" spans="1:8" x14ac:dyDescent="0.35">
      <c r="A153">
        <v>19347</v>
      </c>
      <c r="B153" t="s">
        <v>11</v>
      </c>
      <c r="C153">
        <v>13</v>
      </c>
      <c r="D153">
        <v>150</v>
      </c>
      <c r="E153" t="s">
        <v>8</v>
      </c>
      <c r="F153" t="s">
        <v>13</v>
      </c>
      <c r="G153" t="s">
        <v>14</v>
      </c>
      <c r="H153">
        <v>0</v>
      </c>
    </row>
    <row r="154" spans="1:8" x14ac:dyDescent="0.35">
      <c r="A154">
        <v>14656</v>
      </c>
      <c r="B154" t="s">
        <v>7</v>
      </c>
      <c r="C154">
        <v>13</v>
      </c>
      <c r="D154">
        <v>174</v>
      </c>
      <c r="E154" t="s">
        <v>8</v>
      </c>
      <c r="F154" t="s">
        <v>13</v>
      </c>
      <c r="G154" t="s">
        <v>14</v>
      </c>
      <c r="H154">
        <v>0</v>
      </c>
    </row>
    <row r="155" spans="1:8" x14ac:dyDescent="0.35">
      <c r="A155">
        <v>10788</v>
      </c>
      <c r="B155" t="s">
        <v>11</v>
      </c>
      <c r="C155">
        <v>8</v>
      </c>
      <c r="D155">
        <v>384</v>
      </c>
      <c r="E155" t="s">
        <v>8</v>
      </c>
      <c r="F155" t="s">
        <v>13</v>
      </c>
      <c r="G155" t="s">
        <v>14</v>
      </c>
      <c r="H155">
        <v>0</v>
      </c>
    </row>
    <row r="156" spans="1:8" x14ac:dyDescent="0.35">
      <c r="A156">
        <v>13025</v>
      </c>
      <c r="B156" t="s">
        <v>11</v>
      </c>
      <c r="C156">
        <v>13</v>
      </c>
      <c r="D156">
        <v>189</v>
      </c>
      <c r="E156" t="s">
        <v>8</v>
      </c>
      <c r="F156" t="s">
        <v>9</v>
      </c>
      <c r="G156" t="s">
        <v>10</v>
      </c>
      <c r="H156">
        <v>0</v>
      </c>
    </row>
    <row r="157" spans="1:8" x14ac:dyDescent="0.35">
      <c r="A157">
        <v>15534</v>
      </c>
      <c r="B157" t="s">
        <v>7</v>
      </c>
      <c r="C157">
        <v>12</v>
      </c>
      <c r="D157">
        <v>311</v>
      </c>
      <c r="E157" t="s">
        <v>8</v>
      </c>
      <c r="F157" t="s">
        <v>13</v>
      </c>
      <c r="G157" t="s">
        <v>16</v>
      </c>
      <c r="H157">
        <v>0</v>
      </c>
    </row>
    <row r="158" spans="1:8" x14ac:dyDescent="0.35">
      <c r="A158">
        <v>10410</v>
      </c>
      <c r="B158" t="s">
        <v>11</v>
      </c>
      <c r="C158">
        <v>8</v>
      </c>
      <c r="D158">
        <v>291</v>
      </c>
      <c r="E158" t="s">
        <v>8</v>
      </c>
      <c r="F158" t="s">
        <v>9</v>
      </c>
      <c r="G158" t="s">
        <v>14</v>
      </c>
      <c r="H158">
        <v>0</v>
      </c>
    </row>
    <row r="159" spans="1:8" x14ac:dyDescent="0.35">
      <c r="A159">
        <v>12010</v>
      </c>
      <c r="B159" t="s">
        <v>11</v>
      </c>
      <c r="C159">
        <v>9</v>
      </c>
      <c r="D159">
        <v>67</v>
      </c>
      <c r="E159" t="s">
        <v>8</v>
      </c>
      <c r="F159" t="s">
        <v>13</v>
      </c>
      <c r="G159" t="s">
        <v>10</v>
      </c>
      <c r="H159">
        <v>0</v>
      </c>
    </row>
    <row r="160" spans="1:8" x14ac:dyDescent="0.35">
      <c r="A160">
        <v>19264</v>
      </c>
      <c r="B160" t="s">
        <v>11</v>
      </c>
      <c r="C160">
        <v>12</v>
      </c>
      <c r="D160">
        <v>70</v>
      </c>
      <c r="E160" t="s">
        <v>8</v>
      </c>
      <c r="F160" t="s">
        <v>13</v>
      </c>
      <c r="G160" t="s">
        <v>14</v>
      </c>
      <c r="H160">
        <v>0</v>
      </c>
    </row>
    <row r="161" spans="1:8" x14ac:dyDescent="0.35">
      <c r="A161">
        <v>17257</v>
      </c>
      <c r="B161" t="s">
        <v>11</v>
      </c>
      <c r="C161">
        <v>8</v>
      </c>
      <c r="D161">
        <v>262</v>
      </c>
      <c r="E161" t="s">
        <v>8</v>
      </c>
      <c r="F161" t="s">
        <v>13</v>
      </c>
      <c r="G161" t="s">
        <v>12</v>
      </c>
      <c r="H161">
        <v>0</v>
      </c>
    </row>
    <row r="162" spans="1:8" x14ac:dyDescent="0.35">
      <c r="A162">
        <v>11221</v>
      </c>
      <c r="B162" t="s">
        <v>7</v>
      </c>
      <c r="C162">
        <v>4</v>
      </c>
      <c r="D162">
        <v>315</v>
      </c>
      <c r="E162" t="s">
        <v>8</v>
      </c>
      <c r="F162" t="s">
        <v>13</v>
      </c>
      <c r="G162" t="s">
        <v>14</v>
      </c>
      <c r="H162">
        <v>0</v>
      </c>
    </row>
    <row r="163" spans="1:8" x14ac:dyDescent="0.35">
      <c r="A163">
        <v>13116</v>
      </c>
      <c r="B163" t="s">
        <v>11</v>
      </c>
      <c r="C163">
        <v>14</v>
      </c>
      <c r="D163">
        <v>139</v>
      </c>
      <c r="E163" t="s">
        <v>8</v>
      </c>
      <c r="F163" t="s">
        <v>9</v>
      </c>
      <c r="G163" t="s">
        <v>12</v>
      </c>
      <c r="H163">
        <v>0</v>
      </c>
    </row>
    <row r="164" spans="1:8" x14ac:dyDescent="0.35">
      <c r="A164">
        <v>17722</v>
      </c>
      <c r="B164" t="s">
        <v>7</v>
      </c>
      <c r="C164">
        <v>9</v>
      </c>
      <c r="D164">
        <v>173</v>
      </c>
      <c r="E164" t="s">
        <v>8</v>
      </c>
      <c r="F164" t="s">
        <v>13</v>
      </c>
      <c r="G164" t="s">
        <v>12</v>
      </c>
      <c r="H164">
        <v>0</v>
      </c>
    </row>
    <row r="165" spans="1:8" x14ac:dyDescent="0.35">
      <c r="A165">
        <v>18192</v>
      </c>
      <c r="B165" t="s">
        <v>11</v>
      </c>
      <c r="C165">
        <v>1</v>
      </c>
      <c r="D165">
        <v>305</v>
      </c>
      <c r="E165" t="s">
        <v>8</v>
      </c>
      <c r="F165" t="s">
        <v>9</v>
      </c>
      <c r="G165" t="s">
        <v>12</v>
      </c>
      <c r="H165">
        <v>0</v>
      </c>
    </row>
    <row r="166" spans="1:8" x14ac:dyDescent="0.35">
      <c r="A166">
        <v>16757</v>
      </c>
      <c r="B166" t="s">
        <v>7</v>
      </c>
      <c r="C166">
        <v>5</v>
      </c>
      <c r="D166">
        <v>409</v>
      </c>
      <c r="E166" t="s">
        <v>8</v>
      </c>
      <c r="F166" t="s">
        <v>13</v>
      </c>
      <c r="G166" t="s">
        <v>16</v>
      </c>
      <c r="H166">
        <v>0</v>
      </c>
    </row>
    <row r="167" spans="1:8" x14ac:dyDescent="0.35">
      <c r="A167">
        <v>17014</v>
      </c>
      <c r="B167" t="s">
        <v>7</v>
      </c>
      <c r="C167">
        <v>14</v>
      </c>
      <c r="D167">
        <v>403</v>
      </c>
      <c r="E167" t="s">
        <v>8</v>
      </c>
      <c r="F167" t="s">
        <v>13</v>
      </c>
      <c r="G167" t="s">
        <v>10</v>
      </c>
      <c r="H167">
        <v>0</v>
      </c>
    </row>
    <row r="168" spans="1:8" x14ac:dyDescent="0.35">
      <c r="A168">
        <v>15849</v>
      </c>
      <c r="B168" t="s">
        <v>7</v>
      </c>
      <c r="C168">
        <v>4</v>
      </c>
      <c r="D168">
        <v>312</v>
      </c>
      <c r="E168" t="s">
        <v>8</v>
      </c>
      <c r="F168" t="s">
        <v>9</v>
      </c>
      <c r="G168" t="s">
        <v>12</v>
      </c>
      <c r="H168">
        <v>0</v>
      </c>
    </row>
    <row r="169" spans="1:8" x14ac:dyDescent="0.35">
      <c r="A169">
        <v>14654</v>
      </c>
      <c r="B169" t="s">
        <v>11</v>
      </c>
      <c r="C169">
        <v>1</v>
      </c>
      <c r="D169">
        <v>384</v>
      </c>
      <c r="E169" t="s">
        <v>8</v>
      </c>
      <c r="F169" t="s">
        <v>9</v>
      </c>
      <c r="G169" t="s">
        <v>12</v>
      </c>
      <c r="H169">
        <v>0</v>
      </c>
    </row>
    <row r="170" spans="1:8" x14ac:dyDescent="0.35">
      <c r="A170">
        <v>13496</v>
      </c>
      <c r="B170" t="s">
        <v>11</v>
      </c>
      <c r="C170">
        <v>13</v>
      </c>
      <c r="D170">
        <v>266</v>
      </c>
      <c r="E170" t="s">
        <v>8</v>
      </c>
      <c r="F170" t="s">
        <v>13</v>
      </c>
      <c r="G170" t="s">
        <v>16</v>
      </c>
      <c r="H170">
        <v>0</v>
      </c>
    </row>
    <row r="171" spans="1:8" x14ac:dyDescent="0.35">
      <c r="A171">
        <v>19792</v>
      </c>
      <c r="B171" t="s">
        <v>11</v>
      </c>
      <c r="C171">
        <v>6</v>
      </c>
      <c r="D171">
        <v>71</v>
      </c>
      <c r="E171" t="s">
        <v>8</v>
      </c>
      <c r="F171" t="s">
        <v>9</v>
      </c>
      <c r="G171" t="s">
        <v>12</v>
      </c>
      <c r="H171">
        <v>0</v>
      </c>
    </row>
    <row r="172" spans="1:8" x14ac:dyDescent="0.35">
      <c r="A172">
        <v>16632</v>
      </c>
      <c r="B172" t="s">
        <v>11</v>
      </c>
      <c r="C172">
        <v>5</v>
      </c>
      <c r="D172">
        <v>352</v>
      </c>
      <c r="E172" t="s">
        <v>8</v>
      </c>
      <c r="F172" t="s">
        <v>9</v>
      </c>
      <c r="G172" t="s">
        <v>14</v>
      </c>
      <c r="H172">
        <v>0</v>
      </c>
    </row>
    <row r="173" spans="1:8" x14ac:dyDescent="0.35">
      <c r="A173">
        <v>13010</v>
      </c>
      <c r="B173" t="s">
        <v>7</v>
      </c>
      <c r="C173">
        <v>12</v>
      </c>
      <c r="D173">
        <v>216</v>
      </c>
      <c r="E173" t="s">
        <v>8</v>
      </c>
      <c r="F173" t="s">
        <v>13</v>
      </c>
      <c r="G173" t="s">
        <v>10</v>
      </c>
      <c r="H173">
        <v>0</v>
      </c>
    </row>
    <row r="174" spans="1:8" x14ac:dyDescent="0.35">
      <c r="A174">
        <v>15903</v>
      </c>
      <c r="B174" t="s">
        <v>11</v>
      </c>
      <c r="C174">
        <v>11</v>
      </c>
      <c r="D174">
        <v>197</v>
      </c>
      <c r="E174" t="s">
        <v>8</v>
      </c>
      <c r="F174" t="s">
        <v>13</v>
      </c>
      <c r="G174" t="s">
        <v>14</v>
      </c>
      <c r="H174">
        <v>0</v>
      </c>
    </row>
    <row r="175" spans="1:8" x14ac:dyDescent="0.35">
      <c r="A175">
        <v>17964</v>
      </c>
      <c r="B175" t="s">
        <v>7</v>
      </c>
      <c r="C175">
        <v>5</v>
      </c>
      <c r="D175">
        <v>349</v>
      </c>
      <c r="E175" t="s">
        <v>8</v>
      </c>
      <c r="F175" t="s">
        <v>13</v>
      </c>
      <c r="G175" t="s">
        <v>10</v>
      </c>
      <c r="H175">
        <v>0</v>
      </c>
    </row>
    <row r="176" spans="1:8" x14ac:dyDescent="0.35">
      <c r="A176">
        <v>11636</v>
      </c>
      <c r="B176" t="s">
        <v>11</v>
      </c>
      <c r="C176">
        <v>6</v>
      </c>
      <c r="D176">
        <v>447</v>
      </c>
      <c r="E176" t="s">
        <v>8</v>
      </c>
      <c r="F176" t="s">
        <v>9</v>
      </c>
      <c r="G176" t="s">
        <v>10</v>
      </c>
      <c r="H176">
        <v>0</v>
      </c>
    </row>
    <row r="177" spans="1:8" x14ac:dyDescent="0.35">
      <c r="A177">
        <v>12191</v>
      </c>
      <c r="B177" t="s">
        <v>7</v>
      </c>
      <c r="C177">
        <v>5</v>
      </c>
      <c r="D177">
        <v>355</v>
      </c>
      <c r="E177" t="s">
        <v>8</v>
      </c>
      <c r="F177" t="s">
        <v>13</v>
      </c>
      <c r="G177" t="s">
        <v>16</v>
      </c>
      <c r="H177">
        <v>0</v>
      </c>
    </row>
    <row r="178" spans="1:8" x14ac:dyDescent="0.35">
      <c r="A178">
        <v>12406</v>
      </c>
      <c r="B178" t="s">
        <v>7</v>
      </c>
      <c r="C178">
        <v>11</v>
      </c>
      <c r="D178">
        <v>365</v>
      </c>
      <c r="E178" t="s">
        <v>8</v>
      </c>
      <c r="F178" t="s">
        <v>9</v>
      </c>
      <c r="G178" t="s">
        <v>10</v>
      </c>
      <c r="H178">
        <v>0</v>
      </c>
    </row>
    <row r="179" spans="1:8" x14ac:dyDescent="0.35">
      <c r="A179">
        <v>11734</v>
      </c>
      <c r="B179" t="s">
        <v>7</v>
      </c>
      <c r="C179">
        <v>6</v>
      </c>
      <c r="D179">
        <v>67</v>
      </c>
      <c r="E179" t="s">
        <v>8</v>
      </c>
      <c r="F179" t="s">
        <v>9</v>
      </c>
      <c r="G179" t="s">
        <v>14</v>
      </c>
      <c r="H179">
        <v>0</v>
      </c>
    </row>
    <row r="180" spans="1:8" x14ac:dyDescent="0.35">
      <c r="A180">
        <v>11477</v>
      </c>
      <c r="B180" t="s">
        <v>7</v>
      </c>
      <c r="C180">
        <v>7</v>
      </c>
      <c r="D180">
        <v>112</v>
      </c>
      <c r="E180" t="s">
        <v>15</v>
      </c>
      <c r="F180" t="s">
        <v>13</v>
      </c>
      <c r="G180" t="s">
        <v>14</v>
      </c>
      <c r="H180">
        <v>1</v>
      </c>
    </row>
    <row r="181" spans="1:8" x14ac:dyDescent="0.35">
      <c r="A181">
        <v>15141</v>
      </c>
      <c r="B181" t="s">
        <v>11</v>
      </c>
      <c r="C181">
        <v>13</v>
      </c>
      <c r="D181">
        <v>157</v>
      </c>
      <c r="E181" t="s">
        <v>8</v>
      </c>
      <c r="F181" t="s">
        <v>9</v>
      </c>
      <c r="G181" t="s">
        <v>10</v>
      </c>
      <c r="H181">
        <v>0</v>
      </c>
    </row>
    <row r="182" spans="1:8" x14ac:dyDescent="0.35">
      <c r="A182">
        <v>17886</v>
      </c>
      <c r="B182" t="s">
        <v>7</v>
      </c>
      <c r="C182">
        <v>1</v>
      </c>
      <c r="D182">
        <v>77</v>
      </c>
      <c r="E182" t="s">
        <v>8</v>
      </c>
      <c r="F182" t="s">
        <v>13</v>
      </c>
      <c r="G182" t="s">
        <v>10</v>
      </c>
      <c r="H182">
        <v>0</v>
      </c>
    </row>
    <row r="183" spans="1:8" x14ac:dyDescent="0.35">
      <c r="A183">
        <v>11123</v>
      </c>
      <c r="B183" t="s">
        <v>11</v>
      </c>
      <c r="C183">
        <v>5</v>
      </c>
      <c r="D183">
        <v>370</v>
      </c>
      <c r="E183" t="s">
        <v>8</v>
      </c>
      <c r="F183" t="s">
        <v>13</v>
      </c>
      <c r="G183" t="s">
        <v>14</v>
      </c>
      <c r="H183">
        <v>0</v>
      </c>
    </row>
    <row r="184" spans="1:8" x14ac:dyDescent="0.35">
      <c r="A184">
        <v>18881</v>
      </c>
      <c r="B184" t="s">
        <v>11</v>
      </c>
      <c r="C184">
        <v>13</v>
      </c>
      <c r="D184">
        <v>237</v>
      </c>
      <c r="E184" t="s">
        <v>8</v>
      </c>
      <c r="F184" t="s">
        <v>13</v>
      </c>
      <c r="G184" t="s">
        <v>16</v>
      </c>
      <c r="H184">
        <v>0</v>
      </c>
    </row>
    <row r="185" spans="1:8" x14ac:dyDescent="0.35">
      <c r="A185">
        <v>19189</v>
      </c>
      <c r="B185" t="s">
        <v>11</v>
      </c>
      <c r="C185">
        <v>4</v>
      </c>
      <c r="D185">
        <v>93</v>
      </c>
      <c r="E185" t="s">
        <v>8</v>
      </c>
      <c r="F185" t="s">
        <v>13</v>
      </c>
      <c r="G185" t="s">
        <v>10</v>
      </c>
      <c r="H185">
        <v>0</v>
      </c>
    </row>
    <row r="186" spans="1:8" x14ac:dyDescent="0.35">
      <c r="A186">
        <v>16747</v>
      </c>
      <c r="B186" t="s">
        <v>7</v>
      </c>
      <c r="C186">
        <v>11</v>
      </c>
      <c r="D186">
        <v>437</v>
      </c>
      <c r="E186" t="s">
        <v>8</v>
      </c>
      <c r="F186" t="s">
        <v>13</v>
      </c>
      <c r="G186" t="s">
        <v>16</v>
      </c>
      <c r="H186">
        <v>0</v>
      </c>
    </row>
    <row r="187" spans="1:8" x14ac:dyDescent="0.35">
      <c r="A187">
        <v>12845</v>
      </c>
      <c r="B187" t="s">
        <v>7</v>
      </c>
      <c r="C187">
        <v>1</v>
      </c>
      <c r="D187">
        <v>109</v>
      </c>
      <c r="E187" t="s">
        <v>8</v>
      </c>
      <c r="F187" t="s">
        <v>13</v>
      </c>
      <c r="G187" t="s">
        <v>14</v>
      </c>
      <c r="H187">
        <v>0</v>
      </c>
    </row>
    <row r="188" spans="1:8" x14ac:dyDescent="0.35">
      <c r="A188">
        <v>18171</v>
      </c>
      <c r="B188" t="s">
        <v>7</v>
      </c>
      <c r="C188">
        <v>7</v>
      </c>
      <c r="D188">
        <v>201</v>
      </c>
      <c r="E188" t="s">
        <v>8</v>
      </c>
      <c r="F188" t="s">
        <v>13</v>
      </c>
      <c r="G188" t="s">
        <v>12</v>
      </c>
      <c r="H188">
        <v>0</v>
      </c>
    </row>
    <row r="189" spans="1:8" x14ac:dyDescent="0.35">
      <c r="A189">
        <v>19130</v>
      </c>
      <c r="B189" t="s">
        <v>7</v>
      </c>
      <c r="C189">
        <v>7</v>
      </c>
      <c r="D189">
        <v>247</v>
      </c>
      <c r="E189" t="s">
        <v>8</v>
      </c>
      <c r="F189" t="s">
        <v>13</v>
      </c>
      <c r="G189" t="s">
        <v>10</v>
      </c>
      <c r="H189">
        <v>0</v>
      </c>
    </row>
    <row r="190" spans="1:8" x14ac:dyDescent="0.35">
      <c r="A190">
        <v>13188</v>
      </c>
      <c r="B190" t="s">
        <v>7</v>
      </c>
      <c r="C190">
        <v>12</v>
      </c>
      <c r="D190">
        <v>369</v>
      </c>
      <c r="E190" t="s">
        <v>8</v>
      </c>
      <c r="F190" t="s">
        <v>9</v>
      </c>
      <c r="G190" t="s">
        <v>10</v>
      </c>
      <c r="H190">
        <v>0</v>
      </c>
    </row>
    <row r="191" spans="1:8" x14ac:dyDescent="0.35">
      <c r="A191">
        <v>12186</v>
      </c>
      <c r="B191" t="s">
        <v>7</v>
      </c>
      <c r="C191">
        <v>7</v>
      </c>
      <c r="D191">
        <v>369</v>
      </c>
      <c r="E191" t="s">
        <v>8</v>
      </c>
      <c r="F191" t="s">
        <v>13</v>
      </c>
      <c r="G191" t="s">
        <v>14</v>
      </c>
      <c r="H191">
        <v>0</v>
      </c>
    </row>
    <row r="192" spans="1:8" x14ac:dyDescent="0.35">
      <c r="A192">
        <v>17011</v>
      </c>
      <c r="B192" t="s">
        <v>7</v>
      </c>
      <c r="C192">
        <v>11</v>
      </c>
      <c r="D192">
        <v>244</v>
      </c>
      <c r="E192" t="s">
        <v>8</v>
      </c>
      <c r="F192" t="s">
        <v>9</v>
      </c>
      <c r="G192" t="s">
        <v>12</v>
      </c>
      <c r="H192">
        <v>0</v>
      </c>
    </row>
    <row r="193" spans="1:8" x14ac:dyDescent="0.35">
      <c r="A193">
        <v>16828</v>
      </c>
      <c r="B193" t="s">
        <v>7</v>
      </c>
      <c r="C193">
        <v>5</v>
      </c>
      <c r="D193">
        <v>57</v>
      </c>
      <c r="E193" t="s">
        <v>8</v>
      </c>
      <c r="F193" t="s">
        <v>13</v>
      </c>
      <c r="G193" t="s">
        <v>16</v>
      </c>
      <c r="H193">
        <v>0</v>
      </c>
    </row>
    <row r="194" spans="1:8" x14ac:dyDescent="0.35">
      <c r="A194">
        <v>11111</v>
      </c>
      <c r="B194" t="s">
        <v>7</v>
      </c>
      <c r="C194">
        <v>8</v>
      </c>
      <c r="D194">
        <v>253</v>
      </c>
      <c r="E194" t="s">
        <v>8</v>
      </c>
      <c r="F194" t="s">
        <v>9</v>
      </c>
      <c r="G194" t="s">
        <v>12</v>
      </c>
      <c r="H194">
        <v>0</v>
      </c>
    </row>
    <row r="195" spans="1:8" x14ac:dyDescent="0.35">
      <c r="A195">
        <v>19707</v>
      </c>
      <c r="B195" t="s">
        <v>11</v>
      </c>
      <c r="C195">
        <v>1</v>
      </c>
      <c r="D195">
        <v>392</v>
      </c>
      <c r="E195" t="s">
        <v>8</v>
      </c>
      <c r="F195" t="s">
        <v>9</v>
      </c>
      <c r="G195" t="s">
        <v>12</v>
      </c>
      <c r="H195">
        <v>0</v>
      </c>
    </row>
    <row r="196" spans="1:8" x14ac:dyDescent="0.35">
      <c r="A196">
        <v>19270</v>
      </c>
      <c r="B196" t="s">
        <v>11</v>
      </c>
      <c r="C196">
        <v>6</v>
      </c>
      <c r="D196">
        <v>397</v>
      </c>
      <c r="E196" t="s">
        <v>8</v>
      </c>
      <c r="F196" t="s">
        <v>9</v>
      </c>
      <c r="G196" t="s">
        <v>10</v>
      </c>
      <c r="H196">
        <v>0</v>
      </c>
    </row>
    <row r="197" spans="1:8" x14ac:dyDescent="0.35">
      <c r="A197">
        <v>15153</v>
      </c>
      <c r="B197" t="s">
        <v>11</v>
      </c>
      <c r="C197">
        <v>7</v>
      </c>
      <c r="D197">
        <v>243</v>
      </c>
      <c r="E197" t="s">
        <v>8</v>
      </c>
      <c r="F197" t="s">
        <v>13</v>
      </c>
      <c r="G197" t="s">
        <v>16</v>
      </c>
      <c r="H197">
        <v>0</v>
      </c>
    </row>
    <row r="198" spans="1:8" x14ac:dyDescent="0.35">
      <c r="A198">
        <v>11606</v>
      </c>
      <c r="B198" t="s">
        <v>7</v>
      </c>
      <c r="C198">
        <v>7</v>
      </c>
      <c r="D198">
        <v>385</v>
      </c>
      <c r="E198" t="s">
        <v>8</v>
      </c>
      <c r="F198" t="s">
        <v>9</v>
      </c>
      <c r="G198" t="s">
        <v>14</v>
      </c>
      <c r="H198">
        <v>0</v>
      </c>
    </row>
    <row r="199" spans="1:8" x14ac:dyDescent="0.35">
      <c r="A199">
        <v>12485</v>
      </c>
      <c r="B199" t="s">
        <v>7</v>
      </c>
      <c r="C199">
        <v>11</v>
      </c>
      <c r="D199">
        <v>379</v>
      </c>
      <c r="E199" t="s">
        <v>8</v>
      </c>
      <c r="F199" t="s">
        <v>13</v>
      </c>
      <c r="G199" t="s">
        <v>14</v>
      </c>
      <c r="H199">
        <v>0</v>
      </c>
    </row>
    <row r="200" spans="1:8" x14ac:dyDescent="0.35">
      <c r="A200">
        <v>15381</v>
      </c>
      <c r="B200" t="s">
        <v>11</v>
      </c>
      <c r="C200">
        <v>14</v>
      </c>
      <c r="D200">
        <v>349</v>
      </c>
      <c r="E200" t="s">
        <v>8</v>
      </c>
      <c r="F200" t="s">
        <v>9</v>
      </c>
      <c r="G200" t="s">
        <v>12</v>
      </c>
      <c r="H200">
        <v>0</v>
      </c>
    </row>
    <row r="201" spans="1:8" x14ac:dyDescent="0.35">
      <c r="A201">
        <v>12995</v>
      </c>
      <c r="B201" t="s">
        <v>11</v>
      </c>
      <c r="C201">
        <v>14</v>
      </c>
      <c r="D201">
        <v>282</v>
      </c>
      <c r="E201" t="s">
        <v>8</v>
      </c>
      <c r="F201" t="s">
        <v>9</v>
      </c>
      <c r="G201" t="s">
        <v>12</v>
      </c>
      <c r="H201">
        <v>0</v>
      </c>
    </row>
    <row r="202" spans="1:8" x14ac:dyDescent="0.35">
      <c r="A202">
        <v>19814</v>
      </c>
      <c r="B202" t="s">
        <v>11</v>
      </c>
      <c r="C202">
        <v>6</v>
      </c>
      <c r="D202">
        <v>230</v>
      </c>
      <c r="E202" t="s">
        <v>8</v>
      </c>
      <c r="F202" t="s">
        <v>9</v>
      </c>
      <c r="G202" t="s">
        <v>10</v>
      </c>
      <c r="H202">
        <v>0</v>
      </c>
    </row>
    <row r="203" spans="1:8" x14ac:dyDescent="0.35">
      <c r="A203">
        <v>19360</v>
      </c>
      <c r="B203" t="s">
        <v>11</v>
      </c>
      <c r="C203">
        <v>4</v>
      </c>
      <c r="D203">
        <v>148</v>
      </c>
      <c r="E203" t="s">
        <v>8</v>
      </c>
      <c r="F203" t="s">
        <v>13</v>
      </c>
      <c r="G203" t="s">
        <v>12</v>
      </c>
      <c r="H203">
        <v>0</v>
      </c>
    </row>
    <row r="204" spans="1:8" x14ac:dyDescent="0.35">
      <c r="A204">
        <v>16493</v>
      </c>
      <c r="B204" t="s">
        <v>11</v>
      </c>
      <c r="C204">
        <v>12</v>
      </c>
      <c r="D204">
        <v>336</v>
      </c>
      <c r="E204" t="s">
        <v>8</v>
      </c>
      <c r="F204" t="s">
        <v>13</v>
      </c>
      <c r="G204" t="s">
        <v>14</v>
      </c>
      <c r="H204">
        <v>0</v>
      </c>
    </row>
    <row r="205" spans="1:8" x14ac:dyDescent="0.35">
      <c r="A205">
        <v>12152</v>
      </c>
      <c r="B205" t="s">
        <v>7</v>
      </c>
      <c r="C205">
        <v>5</v>
      </c>
      <c r="D205">
        <v>428</v>
      </c>
      <c r="E205" t="s">
        <v>15</v>
      </c>
      <c r="F205" t="s">
        <v>9</v>
      </c>
      <c r="G205" t="s">
        <v>14</v>
      </c>
      <c r="H205">
        <v>1</v>
      </c>
    </row>
    <row r="206" spans="1:8" x14ac:dyDescent="0.35">
      <c r="A206">
        <v>13764</v>
      </c>
      <c r="B206" t="s">
        <v>11</v>
      </c>
      <c r="C206">
        <v>5</v>
      </c>
      <c r="D206">
        <v>250</v>
      </c>
      <c r="E206" t="s">
        <v>8</v>
      </c>
      <c r="F206" t="s">
        <v>13</v>
      </c>
      <c r="G206" t="s">
        <v>16</v>
      </c>
      <c r="H206">
        <v>0</v>
      </c>
    </row>
    <row r="207" spans="1:8" x14ac:dyDescent="0.35">
      <c r="A207">
        <v>15819</v>
      </c>
      <c r="B207" t="s">
        <v>7</v>
      </c>
      <c r="C207">
        <v>1</v>
      </c>
      <c r="D207">
        <v>152</v>
      </c>
      <c r="E207" t="s">
        <v>8</v>
      </c>
      <c r="F207" t="s">
        <v>9</v>
      </c>
      <c r="G207" t="s">
        <v>10</v>
      </c>
      <c r="H207">
        <v>0</v>
      </c>
    </row>
    <row r="208" spans="1:8" x14ac:dyDescent="0.35">
      <c r="A208">
        <v>14490</v>
      </c>
      <c r="B208" t="s">
        <v>11</v>
      </c>
      <c r="C208">
        <v>4</v>
      </c>
      <c r="D208">
        <v>436</v>
      </c>
      <c r="E208" t="s">
        <v>8</v>
      </c>
      <c r="F208" t="s">
        <v>9</v>
      </c>
      <c r="G208" t="s">
        <v>10</v>
      </c>
      <c r="H208">
        <v>0</v>
      </c>
    </row>
    <row r="209" spans="1:8" x14ac:dyDescent="0.35">
      <c r="A209">
        <v>13111</v>
      </c>
      <c r="B209" t="s">
        <v>11</v>
      </c>
      <c r="C209">
        <v>8</v>
      </c>
      <c r="D209">
        <v>404</v>
      </c>
      <c r="E209" t="s">
        <v>8</v>
      </c>
      <c r="F209" t="s">
        <v>13</v>
      </c>
      <c r="G209" t="s">
        <v>14</v>
      </c>
      <c r="H209">
        <v>0</v>
      </c>
    </row>
    <row r="210" spans="1:8" x14ac:dyDescent="0.35">
      <c r="A210">
        <v>10972</v>
      </c>
      <c r="B210" t="s">
        <v>11</v>
      </c>
      <c r="C210">
        <v>13</v>
      </c>
      <c r="D210">
        <v>423</v>
      </c>
      <c r="E210" t="s">
        <v>8</v>
      </c>
      <c r="F210" t="s">
        <v>13</v>
      </c>
      <c r="G210" t="s">
        <v>14</v>
      </c>
      <c r="H210">
        <v>0</v>
      </c>
    </row>
    <row r="211" spans="1:8" x14ac:dyDescent="0.35">
      <c r="A211">
        <v>14458</v>
      </c>
      <c r="B211" t="s">
        <v>11</v>
      </c>
      <c r="C211">
        <v>12</v>
      </c>
      <c r="D211">
        <v>144</v>
      </c>
      <c r="E211" t="s">
        <v>8</v>
      </c>
      <c r="F211" t="s">
        <v>9</v>
      </c>
      <c r="G211" t="s">
        <v>12</v>
      </c>
      <c r="H211">
        <v>0</v>
      </c>
    </row>
    <row r="212" spans="1:8" x14ac:dyDescent="0.35">
      <c r="A212">
        <v>19018</v>
      </c>
      <c r="B212" t="s">
        <v>11</v>
      </c>
      <c r="C212">
        <v>1</v>
      </c>
      <c r="D212">
        <v>234</v>
      </c>
      <c r="E212" t="s">
        <v>8</v>
      </c>
      <c r="F212" t="s">
        <v>9</v>
      </c>
      <c r="G212" t="s">
        <v>10</v>
      </c>
      <c r="H212">
        <v>0</v>
      </c>
    </row>
    <row r="213" spans="1:8" x14ac:dyDescent="0.35">
      <c r="A213">
        <v>17642</v>
      </c>
      <c r="B213" t="s">
        <v>11</v>
      </c>
      <c r="C213">
        <v>9</v>
      </c>
      <c r="D213">
        <v>409</v>
      </c>
      <c r="E213" t="s">
        <v>8</v>
      </c>
      <c r="F213" t="s">
        <v>9</v>
      </c>
      <c r="G213" t="s">
        <v>10</v>
      </c>
      <c r="H213">
        <v>0</v>
      </c>
    </row>
    <row r="214" spans="1:8" x14ac:dyDescent="0.35">
      <c r="A214">
        <v>12996</v>
      </c>
      <c r="B214" t="s">
        <v>11</v>
      </c>
      <c r="C214">
        <v>10</v>
      </c>
      <c r="D214">
        <v>420</v>
      </c>
      <c r="E214" t="s">
        <v>8</v>
      </c>
      <c r="F214" t="s">
        <v>13</v>
      </c>
      <c r="G214" t="s">
        <v>12</v>
      </c>
      <c r="H214">
        <v>0</v>
      </c>
    </row>
    <row r="215" spans="1:8" x14ac:dyDescent="0.35">
      <c r="A215">
        <v>12542</v>
      </c>
      <c r="B215" t="s">
        <v>7</v>
      </c>
      <c r="C215">
        <v>8</v>
      </c>
      <c r="D215">
        <v>216</v>
      </c>
      <c r="E215" t="s">
        <v>8</v>
      </c>
      <c r="F215" t="s">
        <v>9</v>
      </c>
      <c r="G215" t="s">
        <v>16</v>
      </c>
      <c r="H215">
        <v>0</v>
      </c>
    </row>
    <row r="216" spans="1:8" x14ac:dyDescent="0.35">
      <c r="A216">
        <v>14330</v>
      </c>
      <c r="B216" t="s">
        <v>7</v>
      </c>
      <c r="C216">
        <v>7</v>
      </c>
      <c r="D216">
        <v>101</v>
      </c>
      <c r="E216" t="s">
        <v>8</v>
      </c>
      <c r="F216" t="s">
        <v>9</v>
      </c>
      <c r="G216" t="s">
        <v>12</v>
      </c>
      <c r="H216">
        <v>0</v>
      </c>
    </row>
    <row r="217" spans="1:8" x14ac:dyDescent="0.35">
      <c r="A217">
        <v>14790</v>
      </c>
      <c r="B217" t="s">
        <v>11</v>
      </c>
      <c r="C217">
        <v>10</v>
      </c>
      <c r="D217">
        <v>137</v>
      </c>
      <c r="E217" t="s">
        <v>8</v>
      </c>
      <c r="F217" t="s">
        <v>9</v>
      </c>
      <c r="G217" t="s">
        <v>10</v>
      </c>
      <c r="H217">
        <v>0</v>
      </c>
    </row>
    <row r="218" spans="1:8" x14ac:dyDescent="0.35">
      <c r="A218">
        <v>10339</v>
      </c>
      <c r="B218" t="s">
        <v>7</v>
      </c>
      <c r="C218">
        <v>13</v>
      </c>
      <c r="D218">
        <v>208</v>
      </c>
      <c r="E218" t="s">
        <v>8</v>
      </c>
      <c r="F218" t="s">
        <v>9</v>
      </c>
      <c r="G218" t="s">
        <v>14</v>
      </c>
      <c r="H218">
        <v>0</v>
      </c>
    </row>
    <row r="219" spans="1:8" x14ac:dyDescent="0.35">
      <c r="A219">
        <v>10422</v>
      </c>
      <c r="B219" t="s">
        <v>11</v>
      </c>
      <c r="C219">
        <v>6</v>
      </c>
      <c r="D219">
        <v>137</v>
      </c>
      <c r="E219" t="s">
        <v>8</v>
      </c>
      <c r="F219" t="s">
        <v>13</v>
      </c>
      <c r="G219" t="s">
        <v>10</v>
      </c>
      <c r="H219">
        <v>0</v>
      </c>
    </row>
    <row r="220" spans="1:8" x14ac:dyDescent="0.35">
      <c r="A220">
        <v>11292</v>
      </c>
      <c r="B220" t="s">
        <v>11</v>
      </c>
      <c r="C220">
        <v>7</v>
      </c>
      <c r="D220">
        <v>344</v>
      </c>
      <c r="E220" t="s">
        <v>8</v>
      </c>
      <c r="F220" t="s">
        <v>13</v>
      </c>
      <c r="G220" t="s">
        <v>10</v>
      </c>
      <c r="H220">
        <v>0</v>
      </c>
    </row>
    <row r="221" spans="1:8" x14ac:dyDescent="0.35">
      <c r="A221">
        <v>12543</v>
      </c>
      <c r="B221" t="s">
        <v>7</v>
      </c>
      <c r="C221">
        <v>12</v>
      </c>
      <c r="D221">
        <v>305</v>
      </c>
      <c r="E221" t="s">
        <v>8</v>
      </c>
      <c r="F221" t="s">
        <v>9</v>
      </c>
      <c r="G221" t="s">
        <v>16</v>
      </c>
      <c r="H221">
        <v>0</v>
      </c>
    </row>
    <row r="222" spans="1:8" x14ac:dyDescent="0.35">
      <c r="A222">
        <v>14707</v>
      </c>
      <c r="B222" t="s">
        <v>11</v>
      </c>
      <c r="C222">
        <v>2</v>
      </c>
      <c r="D222">
        <v>42</v>
      </c>
      <c r="E222" t="s">
        <v>8</v>
      </c>
      <c r="F222" t="s">
        <v>13</v>
      </c>
      <c r="G222" t="s">
        <v>10</v>
      </c>
      <c r="H222">
        <v>0</v>
      </c>
    </row>
    <row r="223" spans="1:8" x14ac:dyDescent="0.35">
      <c r="A223">
        <v>13065</v>
      </c>
      <c r="B223" t="s">
        <v>11</v>
      </c>
      <c r="C223">
        <v>4</v>
      </c>
      <c r="D223">
        <v>297</v>
      </c>
      <c r="E223" t="s">
        <v>8</v>
      </c>
      <c r="F223" t="s">
        <v>9</v>
      </c>
      <c r="G223" t="s">
        <v>16</v>
      </c>
      <c r="H223">
        <v>0</v>
      </c>
    </row>
    <row r="224" spans="1:8" x14ac:dyDescent="0.35">
      <c r="A224">
        <v>13366</v>
      </c>
      <c r="B224" t="s">
        <v>7</v>
      </c>
      <c r="C224">
        <v>5</v>
      </c>
      <c r="D224">
        <v>99</v>
      </c>
      <c r="E224" t="s">
        <v>15</v>
      </c>
      <c r="F224" t="s">
        <v>13</v>
      </c>
      <c r="G224" t="s">
        <v>16</v>
      </c>
      <c r="H224">
        <v>1</v>
      </c>
    </row>
    <row r="225" spans="1:8" x14ac:dyDescent="0.35">
      <c r="A225">
        <v>16166</v>
      </c>
      <c r="B225" t="s">
        <v>11</v>
      </c>
      <c r="C225">
        <v>11</v>
      </c>
      <c r="D225">
        <v>330</v>
      </c>
      <c r="E225" t="s">
        <v>8</v>
      </c>
      <c r="F225" t="s">
        <v>9</v>
      </c>
      <c r="G225" t="s">
        <v>16</v>
      </c>
      <c r="H225">
        <v>0</v>
      </c>
    </row>
    <row r="226" spans="1:8" x14ac:dyDescent="0.35">
      <c r="A226">
        <v>14675</v>
      </c>
      <c r="B226" t="s">
        <v>7</v>
      </c>
      <c r="C226">
        <v>7</v>
      </c>
      <c r="D226">
        <v>101</v>
      </c>
      <c r="E226" t="s">
        <v>8</v>
      </c>
      <c r="F226" t="s">
        <v>13</v>
      </c>
      <c r="G226" t="s">
        <v>14</v>
      </c>
      <c r="H226">
        <v>0</v>
      </c>
    </row>
    <row r="227" spans="1:8" x14ac:dyDescent="0.35">
      <c r="A227">
        <v>18035</v>
      </c>
      <c r="B227" t="s">
        <v>11</v>
      </c>
      <c r="C227">
        <v>10</v>
      </c>
      <c r="D227">
        <v>208</v>
      </c>
      <c r="E227" t="s">
        <v>8</v>
      </c>
      <c r="F227" t="s">
        <v>9</v>
      </c>
      <c r="G227" t="s">
        <v>12</v>
      </c>
      <c r="H227">
        <v>0</v>
      </c>
    </row>
    <row r="228" spans="1:8" x14ac:dyDescent="0.35">
      <c r="A228">
        <v>16538</v>
      </c>
      <c r="B228" t="s">
        <v>7</v>
      </c>
      <c r="C228">
        <v>4</v>
      </c>
      <c r="D228">
        <v>381</v>
      </c>
      <c r="E228" t="s">
        <v>8</v>
      </c>
      <c r="F228" t="s">
        <v>9</v>
      </c>
      <c r="G228" t="s">
        <v>10</v>
      </c>
      <c r="H228">
        <v>0</v>
      </c>
    </row>
    <row r="229" spans="1:8" x14ac:dyDescent="0.35">
      <c r="A229">
        <v>10508</v>
      </c>
      <c r="B229" t="s">
        <v>7</v>
      </c>
      <c r="C229">
        <v>6</v>
      </c>
      <c r="D229">
        <v>263</v>
      </c>
      <c r="E229" t="s">
        <v>8</v>
      </c>
      <c r="F229" t="s">
        <v>9</v>
      </c>
      <c r="G229" t="s">
        <v>16</v>
      </c>
      <c r="H229">
        <v>0</v>
      </c>
    </row>
    <row r="230" spans="1:8" x14ac:dyDescent="0.35">
      <c r="A230">
        <v>11135</v>
      </c>
      <c r="B230" t="s">
        <v>7</v>
      </c>
      <c r="C230">
        <v>7</v>
      </c>
      <c r="D230">
        <v>79</v>
      </c>
      <c r="E230" t="s">
        <v>15</v>
      </c>
      <c r="F230" t="s">
        <v>13</v>
      </c>
      <c r="G230" t="s">
        <v>14</v>
      </c>
      <c r="H230">
        <v>1</v>
      </c>
    </row>
    <row r="231" spans="1:8" x14ac:dyDescent="0.35">
      <c r="A231">
        <v>11950</v>
      </c>
      <c r="B231" t="s">
        <v>7</v>
      </c>
      <c r="C231">
        <v>7</v>
      </c>
      <c r="D231">
        <v>312</v>
      </c>
      <c r="E231" t="s">
        <v>8</v>
      </c>
      <c r="F231" t="s">
        <v>9</v>
      </c>
      <c r="G231" t="s">
        <v>10</v>
      </c>
      <c r="H231">
        <v>0</v>
      </c>
    </row>
    <row r="232" spans="1:8" x14ac:dyDescent="0.35">
      <c r="A232">
        <v>17266</v>
      </c>
      <c r="B232" t="s">
        <v>7</v>
      </c>
      <c r="C232">
        <v>9</v>
      </c>
      <c r="D232">
        <v>131</v>
      </c>
      <c r="E232" t="s">
        <v>8</v>
      </c>
      <c r="F232" t="s">
        <v>9</v>
      </c>
      <c r="G232" t="s">
        <v>10</v>
      </c>
      <c r="H232">
        <v>0</v>
      </c>
    </row>
    <row r="233" spans="1:8" x14ac:dyDescent="0.35">
      <c r="A233">
        <v>14287</v>
      </c>
      <c r="B233" t="s">
        <v>11</v>
      </c>
      <c r="C233">
        <v>7</v>
      </c>
      <c r="D233">
        <v>357</v>
      </c>
      <c r="E233" t="s">
        <v>8</v>
      </c>
      <c r="F233" t="s">
        <v>13</v>
      </c>
      <c r="G233" t="s">
        <v>10</v>
      </c>
      <c r="H233">
        <v>0</v>
      </c>
    </row>
    <row r="234" spans="1:8" x14ac:dyDescent="0.35">
      <c r="A234">
        <v>19398</v>
      </c>
      <c r="B234" t="s">
        <v>7</v>
      </c>
      <c r="C234">
        <v>2</v>
      </c>
      <c r="D234">
        <v>106</v>
      </c>
      <c r="E234" t="s">
        <v>8</v>
      </c>
      <c r="F234" t="s">
        <v>9</v>
      </c>
      <c r="G234" t="s">
        <v>12</v>
      </c>
      <c r="H234">
        <v>0</v>
      </c>
    </row>
    <row r="235" spans="1:8" x14ac:dyDescent="0.35">
      <c r="A235">
        <v>16738</v>
      </c>
      <c r="B235" t="s">
        <v>11</v>
      </c>
      <c r="C235">
        <v>6</v>
      </c>
      <c r="D235">
        <v>136</v>
      </c>
      <c r="E235" t="s">
        <v>8</v>
      </c>
      <c r="F235" t="s">
        <v>9</v>
      </c>
      <c r="G235" t="s">
        <v>14</v>
      </c>
      <c r="H235">
        <v>0</v>
      </c>
    </row>
    <row r="236" spans="1:8" x14ac:dyDescent="0.35">
      <c r="A236">
        <v>12851</v>
      </c>
      <c r="B236" t="s">
        <v>11</v>
      </c>
      <c r="C236">
        <v>1</v>
      </c>
      <c r="D236">
        <v>304</v>
      </c>
      <c r="E236" t="s">
        <v>8</v>
      </c>
      <c r="F236" t="s">
        <v>9</v>
      </c>
      <c r="G236" t="s">
        <v>12</v>
      </c>
      <c r="H236">
        <v>0</v>
      </c>
    </row>
    <row r="237" spans="1:8" x14ac:dyDescent="0.35">
      <c r="A237">
        <v>12857</v>
      </c>
      <c r="B237" t="s">
        <v>11</v>
      </c>
      <c r="C237">
        <v>13</v>
      </c>
      <c r="D237">
        <v>421</v>
      </c>
      <c r="E237" t="s">
        <v>8</v>
      </c>
      <c r="F237" t="s">
        <v>13</v>
      </c>
      <c r="G237" t="s">
        <v>14</v>
      </c>
      <c r="H237">
        <v>0</v>
      </c>
    </row>
    <row r="238" spans="1:8" x14ac:dyDescent="0.35">
      <c r="A238">
        <v>12073</v>
      </c>
      <c r="B238" t="s">
        <v>11</v>
      </c>
      <c r="C238">
        <v>5</v>
      </c>
      <c r="D238">
        <v>157</v>
      </c>
      <c r="E238" t="s">
        <v>8</v>
      </c>
      <c r="F238" t="s">
        <v>13</v>
      </c>
      <c r="G238" t="s">
        <v>16</v>
      </c>
      <c r="H238">
        <v>0</v>
      </c>
    </row>
    <row r="239" spans="1:8" x14ac:dyDescent="0.35">
      <c r="A239">
        <v>18856</v>
      </c>
      <c r="B239" t="s">
        <v>7</v>
      </c>
      <c r="C239">
        <v>10</v>
      </c>
      <c r="D239">
        <v>127</v>
      </c>
      <c r="E239" t="s">
        <v>8</v>
      </c>
      <c r="F239" t="s">
        <v>13</v>
      </c>
      <c r="G239" t="s">
        <v>12</v>
      </c>
      <c r="H239">
        <v>0</v>
      </c>
    </row>
    <row r="240" spans="1:8" x14ac:dyDescent="0.35">
      <c r="A240">
        <v>18240</v>
      </c>
      <c r="B240" t="s">
        <v>11</v>
      </c>
      <c r="C240">
        <v>13</v>
      </c>
      <c r="D240">
        <v>122</v>
      </c>
      <c r="E240" t="s">
        <v>8</v>
      </c>
      <c r="F240" t="s">
        <v>13</v>
      </c>
      <c r="G240" t="s">
        <v>14</v>
      </c>
      <c r="H240">
        <v>0</v>
      </c>
    </row>
    <row r="241" spans="1:8" x14ac:dyDescent="0.35">
      <c r="A241">
        <v>10428</v>
      </c>
      <c r="B241" t="s">
        <v>7</v>
      </c>
      <c r="C241">
        <v>4</v>
      </c>
      <c r="D241">
        <v>347</v>
      </c>
      <c r="E241" t="s">
        <v>8</v>
      </c>
      <c r="F241" t="s">
        <v>9</v>
      </c>
      <c r="G241" t="s">
        <v>12</v>
      </c>
      <c r="H241">
        <v>0</v>
      </c>
    </row>
    <row r="242" spans="1:8" x14ac:dyDescent="0.35">
      <c r="A242">
        <v>19252</v>
      </c>
      <c r="B242" t="s">
        <v>11</v>
      </c>
      <c r="C242">
        <v>2</v>
      </c>
      <c r="D242">
        <v>126</v>
      </c>
      <c r="E242" t="s">
        <v>8</v>
      </c>
      <c r="F242" t="s">
        <v>13</v>
      </c>
      <c r="G242" t="s">
        <v>14</v>
      </c>
      <c r="H242">
        <v>0</v>
      </c>
    </row>
    <row r="243" spans="1:8" x14ac:dyDescent="0.35">
      <c r="A243">
        <v>11391</v>
      </c>
      <c r="B243" t="s">
        <v>7</v>
      </c>
      <c r="C243">
        <v>5</v>
      </c>
      <c r="D243">
        <v>52</v>
      </c>
      <c r="E243" t="s">
        <v>8</v>
      </c>
      <c r="F243" t="s">
        <v>13</v>
      </c>
      <c r="G243" t="s">
        <v>12</v>
      </c>
      <c r="H243">
        <v>0</v>
      </c>
    </row>
    <row r="244" spans="1:8" x14ac:dyDescent="0.35">
      <c r="A244">
        <v>14442</v>
      </c>
      <c r="B244" t="s">
        <v>7</v>
      </c>
      <c r="C244">
        <v>7</v>
      </c>
      <c r="D244">
        <v>401</v>
      </c>
      <c r="E244" t="s">
        <v>8</v>
      </c>
      <c r="F244" t="s">
        <v>13</v>
      </c>
      <c r="G244" t="s">
        <v>12</v>
      </c>
      <c r="H244">
        <v>0</v>
      </c>
    </row>
    <row r="245" spans="1:8" x14ac:dyDescent="0.35">
      <c r="A245">
        <v>19608</v>
      </c>
      <c r="B245" t="s">
        <v>11</v>
      </c>
      <c r="C245">
        <v>2</v>
      </c>
      <c r="D245">
        <v>438</v>
      </c>
      <c r="E245" t="s">
        <v>8</v>
      </c>
      <c r="F245" t="s">
        <v>13</v>
      </c>
      <c r="G245" t="s">
        <v>14</v>
      </c>
      <c r="H245">
        <v>0</v>
      </c>
    </row>
    <row r="246" spans="1:8" x14ac:dyDescent="0.35">
      <c r="A246">
        <v>17039</v>
      </c>
      <c r="B246" t="s">
        <v>7</v>
      </c>
      <c r="C246">
        <v>6</v>
      </c>
      <c r="D246">
        <v>225</v>
      </c>
      <c r="E246" t="s">
        <v>8</v>
      </c>
      <c r="F246" t="s">
        <v>13</v>
      </c>
      <c r="G246" t="s">
        <v>12</v>
      </c>
      <c r="H246">
        <v>0</v>
      </c>
    </row>
    <row r="247" spans="1:8" x14ac:dyDescent="0.35">
      <c r="A247">
        <v>15427</v>
      </c>
      <c r="B247" t="s">
        <v>11</v>
      </c>
      <c r="C247">
        <v>4</v>
      </c>
      <c r="D247">
        <v>128</v>
      </c>
      <c r="E247" t="s">
        <v>8</v>
      </c>
      <c r="F247" t="s">
        <v>13</v>
      </c>
      <c r="G247" t="s">
        <v>12</v>
      </c>
      <c r="H247">
        <v>0</v>
      </c>
    </row>
    <row r="248" spans="1:8" x14ac:dyDescent="0.35">
      <c r="A248">
        <v>16465</v>
      </c>
      <c r="B248" t="s">
        <v>7</v>
      </c>
      <c r="C248">
        <v>8</v>
      </c>
      <c r="D248">
        <v>423</v>
      </c>
      <c r="E248" t="s">
        <v>8</v>
      </c>
      <c r="F248" t="s">
        <v>9</v>
      </c>
      <c r="G248" t="s">
        <v>16</v>
      </c>
      <c r="H248">
        <v>0</v>
      </c>
    </row>
    <row r="249" spans="1:8" x14ac:dyDescent="0.35">
      <c r="A249">
        <v>10582</v>
      </c>
      <c r="B249" t="s">
        <v>7</v>
      </c>
      <c r="C249">
        <v>2</v>
      </c>
      <c r="D249">
        <v>93</v>
      </c>
      <c r="E249" t="s">
        <v>8</v>
      </c>
      <c r="F249" t="s">
        <v>13</v>
      </c>
      <c r="G249" t="s">
        <v>16</v>
      </c>
      <c r="H249">
        <v>0</v>
      </c>
    </row>
    <row r="250" spans="1:8" x14ac:dyDescent="0.35">
      <c r="A250">
        <v>12134</v>
      </c>
      <c r="B250" t="s">
        <v>7</v>
      </c>
      <c r="C250">
        <v>1</v>
      </c>
      <c r="D250">
        <v>347</v>
      </c>
      <c r="E250" t="s">
        <v>8</v>
      </c>
      <c r="F250" t="s">
        <v>9</v>
      </c>
      <c r="G250" t="s">
        <v>12</v>
      </c>
      <c r="H250">
        <v>0</v>
      </c>
    </row>
    <row r="251" spans="1:8" x14ac:dyDescent="0.35">
      <c r="A251">
        <v>17490</v>
      </c>
      <c r="B251" t="s">
        <v>7</v>
      </c>
      <c r="C251">
        <v>4</v>
      </c>
      <c r="D251">
        <v>122</v>
      </c>
      <c r="E251" t="s">
        <v>8</v>
      </c>
      <c r="F251" t="s">
        <v>13</v>
      </c>
      <c r="G251" t="s">
        <v>14</v>
      </c>
      <c r="H251">
        <v>0</v>
      </c>
    </row>
    <row r="252" spans="1:8" x14ac:dyDescent="0.35">
      <c r="A252">
        <v>16223</v>
      </c>
      <c r="B252" t="s">
        <v>7</v>
      </c>
      <c r="C252">
        <v>5</v>
      </c>
      <c r="D252">
        <v>59</v>
      </c>
      <c r="E252" t="s">
        <v>8</v>
      </c>
      <c r="F252" t="s">
        <v>9</v>
      </c>
      <c r="G252" t="s">
        <v>14</v>
      </c>
      <c r="H252">
        <v>0</v>
      </c>
    </row>
    <row r="253" spans="1:8" x14ac:dyDescent="0.35">
      <c r="A253">
        <v>10688</v>
      </c>
      <c r="B253" t="s">
        <v>7</v>
      </c>
      <c r="C253">
        <v>13</v>
      </c>
      <c r="D253">
        <v>137</v>
      </c>
      <c r="E253" t="s">
        <v>8</v>
      </c>
      <c r="F253" t="s">
        <v>13</v>
      </c>
      <c r="G253" t="s">
        <v>14</v>
      </c>
      <c r="H253">
        <v>0</v>
      </c>
    </row>
    <row r="254" spans="1:8" x14ac:dyDescent="0.35">
      <c r="A254">
        <v>16551</v>
      </c>
      <c r="B254" t="s">
        <v>11</v>
      </c>
      <c r="C254">
        <v>12</v>
      </c>
      <c r="D254">
        <v>156</v>
      </c>
      <c r="E254" t="s">
        <v>8</v>
      </c>
      <c r="F254" t="s">
        <v>13</v>
      </c>
      <c r="G254" t="s">
        <v>12</v>
      </c>
      <c r="H254">
        <v>0</v>
      </c>
    </row>
    <row r="255" spans="1:8" x14ac:dyDescent="0.35">
      <c r="A255">
        <v>19075</v>
      </c>
      <c r="B255" t="s">
        <v>7</v>
      </c>
      <c r="C255">
        <v>9</v>
      </c>
      <c r="D255">
        <v>246</v>
      </c>
      <c r="E255" t="s">
        <v>15</v>
      </c>
      <c r="F255" t="s">
        <v>13</v>
      </c>
      <c r="G255" t="s">
        <v>14</v>
      </c>
      <c r="H255">
        <v>1</v>
      </c>
    </row>
    <row r="256" spans="1:8" x14ac:dyDescent="0.35">
      <c r="A256">
        <v>16526</v>
      </c>
      <c r="B256" t="s">
        <v>7</v>
      </c>
      <c r="C256">
        <v>5</v>
      </c>
      <c r="D256">
        <v>320</v>
      </c>
      <c r="E256" t="s">
        <v>8</v>
      </c>
      <c r="F256" t="s">
        <v>9</v>
      </c>
      <c r="G256" t="s">
        <v>10</v>
      </c>
      <c r="H256">
        <v>0</v>
      </c>
    </row>
    <row r="257" spans="1:8" x14ac:dyDescent="0.35">
      <c r="A257">
        <v>18453</v>
      </c>
      <c r="B257" t="s">
        <v>11</v>
      </c>
      <c r="C257">
        <v>9</v>
      </c>
      <c r="D257">
        <v>207</v>
      </c>
      <c r="E257" t="s">
        <v>8</v>
      </c>
      <c r="F257" t="s">
        <v>13</v>
      </c>
      <c r="G257" t="s">
        <v>16</v>
      </c>
      <c r="H257">
        <v>0</v>
      </c>
    </row>
    <row r="258" spans="1:8" x14ac:dyDescent="0.35">
      <c r="A258">
        <v>19539</v>
      </c>
      <c r="B258" t="s">
        <v>11</v>
      </c>
      <c r="C258">
        <v>5</v>
      </c>
      <c r="D258">
        <v>267</v>
      </c>
      <c r="E258" t="s">
        <v>8</v>
      </c>
      <c r="F258" t="s">
        <v>9</v>
      </c>
      <c r="G258" t="s">
        <v>12</v>
      </c>
      <c r="H258">
        <v>0</v>
      </c>
    </row>
    <row r="259" spans="1:8" x14ac:dyDescent="0.35">
      <c r="A259">
        <v>13578</v>
      </c>
      <c r="B259" t="s">
        <v>11</v>
      </c>
      <c r="C259">
        <v>12</v>
      </c>
      <c r="D259">
        <v>376</v>
      </c>
      <c r="E259" t="s">
        <v>8</v>
      </c>
      <c r="F259" t="s">
        <v>9</v>
      </c>
      <c r="G259" t="s">
        <v>16</v>
      </c>
      <c r="H259">
        <v>0</v>
      </c>
    </row>
    <row r="260" spans="1:8" x14ac:dyDescent="0.35">
      <c r="A260">
        <v>19277</v>
      </c>
      <c r="B260" t="s">
        <v>11</v>
      </c>
      <c r="C260">
        <v>3</v>
      </c>
      <c r="D260">
        <v>45</v>
      </c>
      <c r="E260" t="s">
        <v>8</v>
      </c>
      <c r="F260" t="s">
        <v>9</v>
      </c>
      <c r="G260" t="s">
        <v>12</v>
      </c>
      <c r="H260">
        <v>0</v>
      </c>
    </row>
    <row r="261" spans="1:8" x14ac:dyDescent="0.35">
      <c r="A261">
        <v>11376</v>
      </c>
      <c r="B261" t="s">
        <v>11</v>
      </c>
      <c r="C261">
        <v>5</v>
      </c>
      <c r="D261">
        <v>75</v>
      </c>
      <c r="E261" t="s">
        <v>8</v>
      </c>
      <c r="F261" t="s">
        <v>13</v>
      </c>
      <c r="G261" t="s">
        <v>12</v>
      </c>
      <c r="H261">
        <v>0</v>
      </c>
    </row>
    <row r="262" spans="1:8" x14ac:dyDescent="0.35">
      <c r="A262">
        <v>12068</v>
      </c>
      <c r="B262" t="s">
        <v>7</v>
      </c>
      <c r="C262">
        <v>2</v>
      </c>
      <c r="D262">
        <v>366</v>
      </c>
      <c r="E262" t="s">
        <v>8</v>
      </c>
      <c r="F262" t="s">
        <v>13</v>
      </c>
      <c r="G262" t="s">
        <v>14</v>
      </c>
      <c r="H262">
        <v>0</v>
      </c>
    </row>
    <row r="263" spans="1:8" x14ac:dyDescent="0.35">
      <c r="A263">
        <v>11329</v>
      </c>
      <c r="B263" t="s">
        <v>7</v>
      </c>
      <c r="C263">
        <v>9</v>
      </c>
      <c r="D263">
        <v>416</v>
      </c>
      <c r="E263" t="s">
        <v>8</v>
      </c>
      <c r="F263" t="s">
        <v>9</v>
      </c>
      <c r="G263" t="s">
        <v>16</v>
      </c>
      <c r="H263">
        <v>0</v>
      </c>
    </row>
    <row r="264" spans="1:8" x14ac:dyDescent="0.35">
      <c r="A264">
        <v>16241</v>
      </c>
      <c r="B264" t="s">
        <v>7</v>
      </c>
      <c r="C264">
        <v>9</v>
      </c>
      <c r="D264">
        <v>346</v>
      </c>
      <c r="E264" t="s">
        <v>8</v>
      </c>
      <c r="F264" t="s">
        <v>9</v>
      </c>
      <c r="G264" t="s">
        <v>10</v>
      </c>
      <c r="H264">
        <v>0</v>
      </c>
    </row>
    <row r="265" spans="1:8" x14ac:dyDescent="0.35">
      <c r="A265">
        <v>17892</v>
      </c>
      <c r="B265" t="s">
        <v>7</v>
      </c>
      <c r="C265">
        <v>5</v>
      </c>
      <c r="D265">
        <v>49</v>
      </c>
      <c r="E265" t="s">
        <v>8</v>
      </c>
      <c r="F265" t="s">
        <v>13</v>
      </c>
      <c r="G265" t="s">
        <v>12</v>
      </c>
      <c r="H265">
        <v>0</v>
      </c>
    </row>
    <row r="266" spans="1:8" x14ac:dyDescent="0.35">
      <c r="A266">
        <v>17223</v>
      </c>
      <c r="B266" t="s">
        <v>11</v>
      </c>
      <c r="C266">
        <v>12</v>
      </c>
      <c r="D266">
        <v>223</v>
      </c>
      <c r="E266" t="s">
        <v>8</v>
      </c>
      <c r="F266" t="s">
        <v>9</v>
      </c>
      <c r="G266" t="s">
        <v>14</v>
      </c>
      <c r="H266">
        <v>0</v>
      </c>
    </row>
    <row r="267" spans="1:8" x14ac:dyDescent="0.35">
      <c r="A267">
        <v>12026</v>
      </c>
      <c r="B267" t="s">
        <v>11</v>
      </c>
      <c r="C267">
        <v>2</v>
      </c>
      <c r="D267">
        <v>223</v>
      </c>
      <c r="E267" t="s">
        <v>8</v>
      </c>
      <c r="F267" t="s">
        <v>9</v>
      </c>
      <c r="G267" t="s">
        <v>14</v>
      </c>
      <c r="H267">
        <v>0</v>
      </c>
    </row>
    <row r="268" spans="1:8" x14ac:dyDescent="0.35">
      <c r="A268">
        <v>19477</v>
      </c>
      <c r="B268" t="s">
        <v>7</v>
      </c>
      <c r="C268">
        <v>10</v>
      </c>
      <c r="D268">
        <v>129</v>
      </c>
      <c r="E268" t="s">
        <v>8</v>
      </c>
      <c r="F268" t="s">
        <v>9</v>
      </c>
      <c r="G268" t="s">
        <v>14</v>
      </c>
      <c r="H268">
        <v>0</v>
      </c>
    </row>
    <row r="269" spans="1:8" x14ac:dyDescent="0.35">
      <c r="A269">
        <v>13382</v>
      </c>
      <c r="B269" t="s">
        <v>7</v>
      </c>
      <c r="C269">
        <v>13</v>
      </c>
      <c r="D269">
        <v>382</v>
      </c>
      <c r="E269" t="s">
        <v>8</v>
      </c>
      <c r="F269" t="s">
        <v>13</v>
      </c>
      <c r="G269" t="s">
        <v>14</v>
      </c>
      <c r="H269">
        <v>0</v>
      </c>
    </row>
    <row r="270" spans="1:8" x14ac:dyDescent="0.35">
      <c r="A270">
        <v>15832</v>
      </c>
      <c r="B270" t="s">
        <v>7</v>
      </c>
      <c r="C270">
        <v>10</v>
      </c>
      <c r="D270">
        <v>198</v>
      </c>
      <c r="E270" t="s">
        <v>15</v>
      </c>
      <c r="F270" t="s">
        <v>9</v>
      </c>
      <c r="G270" t="s">
        <v>14</v>
      </c>
      <c r="H270">
        <v>1</v>
      </c>
    </row>
    <row r="271" spans="1:8" x14ac:dyDescent="0.35">
      <c r="A271">
        <v>17393</v>
      </c>
      <c r="B271" t="s">
        <v>7</v>
      </c>
      <c r="C271">
        <v>11</v>
      </c>
      <c r="D271">
        <v>236</v>
      </c>
      <c r="E271" t="s">
        <v>8</v>
      </c>
      <c r="F271" t="s">
        <v>13</v>
      </c>
      <c r="G271" t="s">
        <v>12</v>
      </c>
      <c r="H271">
        <v>0</v>
      </c>
    </row>
    <row r="272" spans="1:8" x14ac:dyDescent="0.35">
      <c r="A272">
        <v>15091</v>
      </c>
      <c r="B272" t="s">
        <v>11</v>
      </c>
      <c r="C272">
        <v>10</v>
      </c>
      <c r="D272">
        <v>226</v>
      </c>
      <c r="E272" t="s">
        <v>8</v>
      </c>
      <c r="F272" t="s">
        <v>13</v>
      </c>
      <c r="G272" t="s">
        <v>10</v>
      </c>
      <c r="H272">
        <v>0</v>
      </c>
    </row>
    <row r="273" spans="1:8" x14ac:dyDescent="0.35">
      <c r="A273">
        <v>16091</v>
      </c>
      <c r="B273" t="s">
        <v>7</v>
      </c>
      <c r="C273">
        <v>4</v>
      </c>
      <c r="D273">
        <v>117</v>
      </c>
      <c r="E273" t="s">
        <v>8</v>
      </c>
      <c r="F273" t="s">
        <v>13</v>
      </c>
      <c r="G273" t="s">
        <v>14</v>
      </c>
      <c r="H273">
        <v>0</v>
      </c>
    </row>
    <row r="274" spans="1:8" x14ac:dyDescent="0.35">
      <c r="A274">
        <v>16966</v>
      </c>
      <c r="B274" t="s">
        <v>7</v>
      </c>
      <c r="C274">
        <v>9</v>
      </c>
      <c r="D274">
        <v>138</v>
      </c>
      <c r="E274" t="s">
        <v>8</v>
      </c>
      <c r="F274" t="s">
        <v>13</v>
      </c>
      <c r="G274" t="s">
        <v>16</v>
      </c>
      <c r="H274">
        <v>0</v>
      </c>
    </row>
    <row r="275" spans="1:8" x14ac:dyDescent="0.35">
      <c r="A275">
        <v>16011</v>
      </c>
      <c r="B275" t="s">
        <v>7</v>
      </c>
      <c r="C275">
        <v>11</v>
      </c>
      <c r="D275">
        <v>402</v>
      </c>
      <c r="E275" t="s">
        <v>8</v>
      </c>
      <c r="F275" t="s">
        <v>13</v>
      </c>
      <c r="G275" t="s">
        <v>12</v>
      </c>
      <c r="H275">
        <v>0</v>
      </c>
    </row>
    <row r="276" spans="1:8" x14ac:dyDescent="0.35">
      <c r="A276">
        <v>10176</v>
      </c>
      <c r="B276" t="s">
        <v>11</v>
      </c>
      <c r="C276">
        <v>1</v>
      </c>
      <c r="D276">
        <v>372</v>
      </c>
      <c r="E276" t="s">
        <v>8</v>
      </c>
      <c r="F276" t="s">
        <v>9</v>
      </c>
      <c r="G276" t="s">
        <v>10</v>
      </c>
      <c r="H276">
        <v>0</v>
      </c>
    </row>
    <row r="277" spans="1:8" x14ac:dyDescent="0.35">
      <c r="A277">
        <v>16477</v>
      </c>
      <c r="B277" t="s">
        <v>11</v>
      </c>
      <c r="C277">
        <v>12</v>
      </c>
      <c r="D277">
        <v>164</v>
      </c>
      <c r="E277" t="s">
        <v>8</v>
      </c>
      <c r="F277" t="s">
        <v>13</v>
      </c>
      <c r="G277" t="s">
        <v>14</v>
      </c>
      <c r="H277">
        <v>0</v>
      </c>
    </row>
    <row r="278" spans="1:8" x14ac:dyDescent="0.35">
      <c r="A278">
        <v>15822</v>
      </c>
      <c r="B278" t="s">
        <v>11</v>
      </c>
      <c r="C278">
        <v>1</v>
      </c>
      <c r="D278">
        <v>251</v>
      </c>
      <c r="E278" t="s">
        <v>8</v>
      </c>
      <c r="F278" t="s">
        <v>9</v>
      </c>
      <c r="G278" t="s">
        <v>10</v>
      </c>
      <c r="H278">
        <v>0</v>
      </c>
    </row>
    <row r="279" spans="1:8" x14ac:dyDescent="0.35">
      <c r="A279">
        <v>13964</v>
      </c>
      <c r="B279" t="s">
        <v>7</v>
      </c>
      <c r="C279">
        <v>9</v>
      </c>
      <c r="D279">
        <v>88</v>
      </c>
      <c r="E279" t="s">
        <v>8</v>
      </c>
      <c r="F279" t="s">
        <v>13</v>
      </c>
      <c r="G279" t="s">
        <v>16</v>
      </c>
      <c r="H279">
        <v>0</v>
      </c>
    </row>
    <row r="280" spans="1:8" x14ac:dyDescent="0.35">
      <c r="A280">
        <v>19328</v>
      </c>
      <c r="B280" t="s">
        <v>11</v>
      </c>
      <c r="C280">
        <v>8</v>
      </c>
      <c r="D280">
        <v>307</v>
      </c>
      <c r="E280" t="s">
        <v>8</v>
      </c>
      <c r="F280" t="s">
        <v>9</v>
      </c>
      <c r="G280" t="s">
        <v>16</v>
      </c>
      <c r="H280">
        <v>0</v>
      </c>
    </row>
    <row r="281" spans="1:8" x14ac:dyDescent="0.35">
      <c r="A281">
        <v>18950</v>
      </c>
      <c r="B281" t="s">
        <v>7</v>
      </c>
      <c r="C281">
        <v>12</v>
      </c>
      <c r="D281">
        <v>370</v>
      </c>
      <c r="E281" t="s">
        <v>8</v>
      </c>
      <c r="F281" t="s">
        <v>13</v>
      </c>
      <c r="G281" t="s">
        <v>16</v>
      </c>
      <c r="H281">
        <v>0</v>
      </c>
    </row>
    <row r="282" spans="1:8" x14ac:dyDescent="0.35">
      <c r="A282">
        <v>13600</v>
      </c>
      <c r="B282" t="s">
        <v>11</v>
      </c>
      <c r="C282">
        <v>5</v>
      </c>
      <c r="D282">
        <v>75</v>
      </c>
      <c r="E282" t="s">
        <v>8</v>
      </c>
      <c r="F282" t="s">
        <v>9</v>
      </c>
      <c r="G282" t="s">
        <v>14</v>
      </c>
      <c r="H282">
        <v>0</v>
      </c>
    </row>
    <row r="283" spans="1:8" x14ac:dyDescent="0.35">
      <c r="A283">
        <v>17501</v>
      </c>
      <c r="B283" t="s">
        <v>11</v>
      </c>
      <c r="C283">
        <v>8</v>
      </c>
      <c r="D283">
        <v>118</v>
      </c>
      <c r="E283" t="s">
        <v>8</v>
      </c>
      <c r="F283" t="s">
        <v>9</v>
      </c>
      <c r="G283" t="s">
        <v>16</v>
      </c>
      <c r="H283">
        <v>0</v>
      </c>
    </row>
    <row r="284" spans="1:8" x14ac:dyDescent="0.35">
      <c r="A284">
        <v>18781</v>
      </c>
      <c r="B284" t="s">
        <v>7</v>
      </c>
      <c r="C284">
        <v>6</v>
      </c>
      <c r="D284">
        <v>337</v>
      </c>
      <c r="E284" t="s">
        <v>15</v>
      </c>
      <c r="F284" t="s">
        <v>13</v>
      </c>
      <c r="G284" t="s">
        <v>14</v>
      </c>
      <c r="H284">
        <v>1</v>
      </c>
    </row>
    <row r="285" spans="1:8" x14ac:dyDescent="0.35">
      <c r="A285">
        <v>19273</v>
      </c>
      <c r="B285" t="s">
        <v>7</v>
      </c>
      <c r="C285">
        <v>9</v>
      </c>
      <c r="D285">
        <v>298</v>
      </c>
      <c r="E285" t="s">
        <v>8</v>
      </c>
      <c r="F285" t="s">
        <v>9</v>
      </c>
      <c r="G285" t="s">
        <v>10</v>
      </c>
      <c r="H285">
        <v>0</v>
      </c>
    </row>
    <row r="286" spans="1:8" x14ac:dyDescent="0.35">
      <c r="A286">
        <v>19724</v>
      </c>
      <c r="B286" t="s">
        <v>7</v>
      </c>
      <c r="C286">
        <v>12</v>
      </c>
      <c r="D286">
        <v>265</v>
      </c>
      <c r="E286" t="s">
        <v>8</v>
      </c>
      <c r="F286" t="s">
        <v>13</v>
      </c>
      <c r="G286" t="s">
        <v>16</v>
      </c>
      <c r="H286">
        <v>0</v>
      </c>
    </row>
    <row r="287" spans="1:8" x14ac:dyDescent="0.35">
      <c r="A287">
        <v>18557</v>
      </c>
      <c r="B287" t="s">
        <v>11</v>
      </c>
      <c r="C287">
        <v>12</v>
      </c>
      <c r="D287">
        <v>235</v>
      </c>
      <c r="E287" t="s">
        <v>8</v>
      </c>
      <c r="F287" t="s">
        <v>13</v>
      </c>
      <c r="G287" t="s">
        <v>12</v>
      </c>
      <c r="H287">
        <v>0</v>
      </c>
    </row>
    <row r="288" spans="1:8" x14ac:dyDescent="0.35">
      <c r="A288">
        <v>16239</v>
      </c>
      <c r="B288" t="s">
        <v>11</v>
      </c>
      <c r="C288">
        <v>13</v>
      </c>
      <c r="D288">
        <v>312</v>
      </c>
      <c r="E288" t="s">
        <v>8</v>
      </c>
      <c r="F288" t="s">
        <v>9</v>
      </c>
      <c r="G288" t="s">
        <v>12</v>
      </c>
      <c r="H288">
        <v>0</v>
      </c>
    </row>
    <row r="289" spans="1:8" x14ac:dyDescent="0.35">
      <c r="A289">
        <v>13013</v>
      </c>
      <c r="B289" t="s">
        <v>11</v>
      </c>
      <c r="C289">
        <v>11</v>
      </c>
      <c r="D289">
        <v>187</v>
      </c>
      <c r="E289" t="s">
        <v>8</v>
      </c>
      <c r="F289" t="s">
        <v>9</v>
      </c>
      <c r="G289" t="s">
        <v>16</v>
      </c>
      <c r="H289">
        <v>0</v>
      </c>
    </row>
    <row r="290" spans="1:8" x14ac:dyDescent="0.35">
      <c r="A290">
        <v>19482</v>
      </c>
      <c r="B290" t="s">
        <v>7</v>
      </c>
      <c r="C290">
        <v>14</v>
      </c>
      <c r="D290">
        <v>383</v>
      </c>
      <c r="E290" t="s">
        <v>8</v>
      </c>
      <c r="F290" t="s">
        <v>13</v>
      </c>
      <c r="G290" t="s">
        <v>16</v>
      </c>
      <c r="H290">
        <v>0</v>
      </c>
    </row>
    <row r="291" spans="1:8" x14ac:dyDescent="0.35">
      <c r="A291">
        <v>14325</v>
      </c>
      <c r="B291" t="s">
        <v>7</v>
      </c>
      <c r="C291">
        <v>5</v>
      </c>
      <c r="D291">
        <v>433</v>
      </c>
      <c r="E291" t="s">
        <v>15</v>
      </c>
      <c r="F291" t="s">
        <v>9</v>
      </c>
      <c r="G291" t="s">
        <v>10</v>
      </c>
      <c r="H291">
        <v>1</v>
      </c>
    </row>
    <row r="292" spans="1:8" x14ac:dyDescent="0.35">
      <c r="A292">
        <v>11097</v>
      </c>
      <c r="B292" t="s">
        <v>11</v>
      </c>
      <c r="C292">
        <v>9</v>
      </c>
      <c r="D292">
        <v>435</v>
      </c>
      <c r="E292" t="s">
        <v>8</v>
      </c>
      <c r="F292" t="s">
        <v>9</v>
      </c>
      <c r="G292" t="s">
        <v>16</v>
      </c>
      <c r="H292">
        <v>0</v>
      </c>
    </row>
    <row r="293" spans="1:8" x14ac:dyDescent="0.35">
      <c r="A293">
        <v>13566</v>
      </c>
      <c r="B293" t="s">
        <v>7</v>
      </c>
      <c r="C293">
        <v>14</v>
      </c>
      <c r="D293">
        <v>117</v>
      </c>
      <c r="E293" t="s">
        <v>8</v>
      </c>
      <c r="F293" t="s">
        <v>13</v>
      </c>
      <c r="G293" t="s">
        <v>12</v>
      </c>
      <c r="H293">
        <v>0</v>
      </c>
    </row>
    <row r="294" spans="1:8" x14ac:dyDescent="0.35">
      <c r="A294">
        <v>17386</v>
      </c>
      <c r="B294" t="s">
        <v>11</v>
      </c>
      <c r="C294">
        <v>11</v>
      </c>
      <c r="D294">
        <v>230</v>
      </c>
      <c r="E294" t="s">
        <v>8</v>
      </c>
      <c r="F294" t="s">
        <v>13</v>
      </c>
      <c r="G294" t="s">
        <v>12</v>
      </c>
      <c r="H294">
        <v>0</v>
      </c>
    </row>
    <row r="295" spans="1:8" x14ac:dyDescent="0.35">
      <c r="A295">
        <v>12546</v>
      </c>
      <c r="B295" t="s">
        <v>11</v>
      </c>
      <c r="C295">
        <v>13</v>
      </c>
      <c r="D295">
        <v>322</v>
      </c>
      <c r="E295" t="s">
        <v>8</v>
      </c>
      <c r="F295" t="s">
        <v>9</v>
      </c>
      <c r="G295" t="s">
        <v>10</v>
      </c>
      <c r="H295">
        <v>0</v>
      </c>
    </row>
    <row r="296" spans="1:8" x14ac:dyDescent="0.35">
      <c r="A296">
        <v>15480</v>
      </c>
      <c r="B296" t="s">
        <v>11</v>
      </c>
      <c r="C296">
        <v>14</v>
      </c>
      <c r="D296">
        <v>118</v>
      </c>
      <c r="E296" t="s">
        <v>8</v>
      </c>
      <c r="F296" t="s">
        <v>9</v>
      </c>
      <c r="G296" t="s">
        <v>16</v>
      </c>
      <c r="H296">
        <v>0</v>
      </c>
    </row>
    <row r="297" spans="1:8" x14ac:dyDescent="0.35">
      <c r="A297">
        <v>15759</v>
      </c>
      <c r="B297" t="s">
        <v>11</v>
      </c>
      <c r="C297">
        <v>11</v>
      </c>
      <c r="D297">
        <v>114</v>
      </c>
      <c r="E297" t="s">
        <v>8</v>
      </c>
      <c r="F297" t="s">
        <v>9</v>
      </c>
      <c r="G297" t="s">
        <v>12</v>
      </c>
      <c r="H297">
        <v>0</v>
      </c>
    </row>
    <row r="298" spans="1:8" x14ac:dyDescent="0.35">
      <c r="A298">
        <v>15690</v>
      </c>
      <c r="B298" t="s">
        <v>7</v>
      </c>
      <c r="C298">
        <v>12</v>
      </c>
      <c r="D298">
        <v>274</v>
      </c>
      <c r="E298" t="s">
        <v>8</v>
      </c>
      <c r="F298" t="s">
        <v>13</v>
      </c>
      <c r="G298" t="s">
        <v>16</v>
      </c>
      <c r="H298">
        <v>0</v>
      </c>
    </row>
    <row r="299" spans="1:8" x14ac:dyDescent="0.35">
      <c r="A299">
        <v>15525</v>
      </c>
      <c r="B299" t="s">
        <v>11</v>
      </c>
      <c r="C299">
        <v>14</v>
      </c>
      <c r="D299">
        <v>322</v>
      </c>
      <c r="E299" t="s">
        <v>8</v>
      </c>
      <c r="F299" t="s">
        <v>13</v>
      </c>
      <c r="G299" t="s">
        <v>10</v>
      </c>
      <c r="H299">
        <v>0</v>
      </c>
    </row>
    <row r="300" spans="1:8" x14ac:dyDescent="0.35">
      <c r="A300">
        <v>17464</v>
      </c>
      <c r="B300" t="s">
        <v>11</v>
      </c>
      <c r="C300">
        <v>1</v>
      </c>
      <c r="D300">
        <v>225</v>
      </c>
      <c r="E300" t="s">
        <v>8</v>
      </c>
      <c r="F300" t="s">
        <v>13</v>
      </c>
      <c r="G300" t="s">
        <v>14</v>
      </c>
      <c r="H300">
        <v>0</v>
      </c>
    </row>
    <row r="301" spans="1:8" x14ac:dyDescent="0.35">
      <c r="A301">
        <v>19345</v>
      </c>
      <c r="B301" t="s">
        <v>7</v>
      </c>
      <c r="C301">
        <v>3</v>
      </c>
      <c r="D301">
        <v>40</v>
      </c>
      <c r="E301" t="s">
        <v>8</v>
      </c>
      <c r="F301" t="s">
        <v>9</v>
      </c>
      <c r="G301" t="s">
        <v>14</v>
      </c>
      <c r="H301">
        <v>0</v>
      </c>
    </row>
    <row r="302" spans="1:8" x14ac:dyDescent="0.35">
      <c r="A302">
        <v>10968</v>
      </c>
      <c r="B302" t="s">
        <v>7</v>
      </c>
      <c r="C302">
        <v>14</v>
      </c>
      <c r="D302">
        <v>186</v>
      </c>
      <c r="E302" t="s">
        <v>8</v>
      </c>
      <c r="F302" t="s">
        <v>13</v>
      </c>
      <c r="G302" t="s">
        <v>10</v>
      </c>
      <c r="H302">
        <v>0</v>
      </c>
    </row>
    <row r="303" spans="1:8" x14ac:dyDescent="0.35">
      <c r="A303">
        <v>15880</v>
      </c>
      <c r="B303" t="s">
        <v>7</v>
      </c>
      <c r="C303">
        <v>11</v>
      </c>
      <c r="D303">
        <v>65</v>
      </c>
      <c r="E303" t="s">
        <v>8</v>
      </c>
      <c r="F303" t="s">
        <v>9</v>
      </c>
      <c r="G303" t="s">
        <v>12</v>
      </c>
      <c r="H303">
        <v>0</v>
      </c>
    </row>
    <row r="304" spans="1:8" x14ac:dyDescent="0.35">
      <c r="A304">
        <v>14955</v>
      </c>
      <c r="B304" t="s">
        <v>11</v>
      </c>
      <c r="C304">
        <v>8</v>
      </c>
      <c r="D304">
        <v>378</v>
      </c>
      <c r="E304" t="s">
        <v>8</v>
      </c>
      <c r="F304" t="s">
        <v>13</v>
      </c>
      <c r="G304" t="s">
        <v>16</v>
      </c>
      <c r="H304">
        <v>0</v>
      </c>
    </row>
    <row r="305" spans="1:8" x14ac:dyDescent="0.35">
      <c r="A305">
        <v>17151</v>
      </c>
      <c r="B305" t="s">
        <v>11</v>
      </c>
      <c r="C305">
        <v>7</v>
      </c>
      <c r="D305">
        <v>301</v>
      </c>
      <c r="E305" t="s">
        <v>8</v>
      </c>
      <c r="F305" t="s">
        <v>9</v>
      </c>
      <c r="G305" t="s">
        <v>14</v>
      </c>
      <c r="H305">
        <v>0</v>
      </c>
    </row>
    <row r="306" spans="1:8" x14ac:dyDescent="0.35">
      <c r="A306">
        <v>10421</v>
      </c>
      <c r="B306" t="s">
        <v>7</v>
      </c>
      <c r="C306">
        <v>7</v>
      </c>
      <c r="D306">
        <v>275</v>
      </c>
      <c r="E306" t="s">
        <v>8</v>
      </c>
      <c r="F306" t="s">
        <v>13</v>
      </c>
      <c r="G306" t="s">
        <v>12</v>
      </c>
      <c r="H306">
        <v>0</v>
      </c>
    </row>
    <row r="307" spans="1:8" x14ac:dyDescent="0.35">
      <c r="A307">
        <v>11282</v>
      </c>
      <c r="B307" t="s">
        <v>7</v>
      </c>
      <c r="C307">
        <v>2</v>
      </c>
      <c r="D307">
        <v>59</v>
      </c>
      <c r="E307" t="s">
        <v>8</v>
      </c>
      <c r="F307" t="s">
        <v>9</v>
      </c>
      <c r="G307" t="s">
        <v>10</v>
      </c>
      <c r="H307">
        <v>0</v>
      </c>
    </row>
    <row r="308" spans="1:8" x14ac:dyDescent="0.35">
      <c r="A308">
        <v>19880</v>
      </c>
      <c r="B308" t="s">
        <v>11</v>
      </c>
      <c r="C308">
        <v>5</v>
      </c>
      <c r="D308">
        <v>373</v>
      </c>
      <c r="E308" t="s">
        <v>8</v>
      </c>
      <c r="F308" t="s">
        <v>9</v>
      </c>
      <c r="G308" t="s">
        <v>14</v>
      </c>
      <c r="H308">
        <v>0</v>
      </c>
    </row>
    <row r="309" spans="1:8" x14ac:dyDescent="0.35">
      <c r="A309">
        <v>10104</v>
      </c>
      <c r="B309" t="s">
        <v>11</v>
      </c>
      <c r="C309">
        <v>1</v>
      </c>
      <c r="D309">
        <v>256</v>
      </c>
      <c r="E309" t="s">
        <v>8</v>
      </c>
      <c r="F309" t="s">
        <v>9</v>
      </c>
      <c r="G309" t="s">
        <v>14</v>
      </c>
      <c r="H309">
        <v>0</v>
      </c>
    </row>
    <row r="310" spans="1:8" x14ac:dyDescent="0.35">
      <c r="A310">
        <v>18501</v>
      </c>
      <c r="B310" t="s">
        <v>7</v>
      </c>
      <c r="C310">
        <v>5</v>
      </c>
      <c r="D310">
        <v>354</v>
      </c>
      <c r="E310" t="s">
        <v>15</v>
      </c>
      <c r="F310" t="s">
        <v>13</v>
      </c>
      <c r="G310" t="s">
        <v>12</v>
      </c>
      <c r="H310">
        <v>1</v>
      </c>
    </row>
    <row r="311" spans="1:8" x14ac:dyDescent="0.35">
      <c r="A311">
        <v>14453</v>
      </c>
      <c r="B311" t="s">
        <v>7</v>
      </c>
      <c r="C311">
        <v>2</v>
      </c>
      <c r="D311">
        <v>293</v>
      </c>
      <c r="E311" t="s">
        <v>8</v>
      </c>
      <c r="F311" t="s">
        <v>13</v>
      </c>
      <c r="G311" t="s">
        <v>12</v>
      </c>
      <c r="H311">
        <v>0</v>
      </c>
    </row>
    <row r="312" spans="1:8" x14ac:dyDescent="0.35">
      <c r="A312">
        <v>15151</v>
      </c>
      <c r="B312" t="s">
        <v>11</v>
      </c>
      <c r="C312">
        <v>10</v>
      </c>
      <c r="D312">
        <v>304</v>
      </c>
      <c r="E312" t="s">
        <v>8</v>
      </c>
      <c r="F312" t="s">
        <v>13</v>
      </c>
      <c r="G312" t="s">
        <v>14</v>
      </c>
      <c r="H312">
        <v>0</v>
      </c>
    </row>
    <row r="313" spans="1:8" x14ac:dyDescent="0.35">
      <c r="A313">
        <v>12416</v>
      </c>
      <c r="B313" t="s">
        <v>11</v>
      </c>
      <c r="C313">
        <v>13</v>
      </c>
      <c r="D313">
        <v>354</v>
      </c>
      <c r="E313" t="s">
        <v>8</v>
      </c>
      <c r="F313" t="s">
        <v>13</v>
      </c>
      <c r="G313" t="s">
        <v>12</v>
      </c>
      <c r="H313">
        <v>0</v>
      </c>
    </row>
    <row r="314" spans="1:8" x14ac:dyDescent="0.35">
      <c r="A314">
        <v>16899</v>
      </c>
      <c r="B314" t="s">
        <v>7</v>
      </c>
      <c r="C314">
        <v>11</v>
      </c>
      <c r="D314">
        <v>79</v>
      </c>
      <c r="E314" t="s">
        <v>15</v>
      </c>
      <c r="F314" t="s">
        <v>13</v>
      </c>
      <c r="G314" t="s">
        <v>16</v>
      </c>
      <c r="H314">
        <v>1</v>
      </c>
    </row>
    <row r="315" spans="1:8" x14ac:dyDescent="0.35">
      <c r="A315">
        <v>12395</v>
      </c>
      <c r="B315" t="s">
        <v>11</v>
      </c>
      <c r="C315">
        <v>5</v>
      </c>
      <c r="D315">
        <v>218</v>
      </c>
      <c r="E315" t="s">
        <v>8</v>
      </c>
      <c r="F315" t="s">
        <v>13</v>
      </c>
      <c r="G315" t="s">
        <v>10</v>
      </c>
      <c r="H315">
        <v>0</v>
      </c>
    </row>
    <row r="316" spans="1:8" x14ac:dyDescent="0.35">
      <c r="A316">
        <v>10115</v>
      </c>
      <c r="B316" t="s">
        <v>11</v>
      </c>
      <c r="C316">
        <v>9</v>
      </c>
      <c r="D316">
        <v>157</v>
      </c>
      <c r="E316" t="s">
        <v>8</v>
      </c>
      <c r="F316" t="s">
        <v>13</v>
      </c>
      <c r="G316" t="s">
        <v>14</v>
      </c>
      <c r="H316">
        <v>0</v>
      </c>
    </row>
    <row r="317" spans="1:8" x14ac:dyDescent="0.35">
      <c r="A317">
        <v>15328</v>
      </c>
      <c r="B317" t="s">
        <v>11</v>
      </c>
      <c r="C317">
        <v>14</v>
      </c>
      <c r="D317">
        <v>73</v>
      </c>
      <c r="E317" t="s">
        <v>8</v>
      </c>
      <c r="F317" t="s">
        <v>9</v>
      </c>
      <c r="G317" t="s">
        <v>12</v>
      </c>
      <c r="H317">
        <v>0</v>
      </c>
    </row>
    <row r="318" spans="1:8" x14ac:dyDescent="0.35">
      <c r="A318">
        <v>14006</v>
      </c>
      <c r="B318" t="s">
        <v>11</v>
      </c>
      <c r="C318">
        <v>5</v>
      </c>
      <c r="D318">
        <v>127</v>
      </c>
      <c r="E318" t="s">
        <v>8</v>
      </c>
      <c r="F318" t="s">
        <v>13</v>
      </c>
      <c r="G318" t="s">
        <v>12</v>
      </c>
      <c r="H318">
        <v>0</v>
      </c>
    </row>
    <row r="319" spans="1:8" x14ac:dyDescent="0.35">
      <c r="A319">
        <v>15613</v>
      </c>
      <c r="B319" t="s">
        <v>7</v>
      </c>
      <c r="C319">
        <v>14</v>
      </c>
      <c r="D319">
        <v>360</v>
      </c>
      <c r="E319" t="s">
        <v>15</v>
      </c>
      <c r="F319" t="s">
        <v>13</v>
      </c>
      <c r="G319" t="s">
        <v>16</v>
      </c>
      <c r="H319">
        <v>1</v>
      </c>
    </row>
    <row r="320" spans="1:8" x14ac:dyDescent="0.35">
      <c r="A320">
        <v>14038</v>
      </c>
      <c r="B320" t="s">
        <v>11</v>
      </c>
      <c r="C320">
        <v>13</v>
      </c>
      <c r="D320">
        <v>393</v>
      </c>
      <c r="E320" t="s">
        <v>8</v>
      </c>
      <c r="F320" t="s">
        <v>9</v>
      </c>
      <c r="G320" t="s">
        <v>16</v>
      </c>
      <c r="H320">
        <v>0</v>
      </c>
    </row>
    <row r="321" spans="1:8" x14ac:dyDescent="0.35">
      <c r="A321">
        <v>16237</v>
      </c>
      <c r="B321" t="s">
        <v>11</v>
      </c>
      <c r="C321">
        <v>6</v>
      </c>
      <c r="D321">
        <v>106</v>
      </c>
      <c r="E321" t="s">
        <v>8</v>
      </c>
      <c r="F321" t="s">
        <v>13</v>
      </c>
      <c r="G321" t="s">
        <v>10</v>
      </c>
      <c r="H321">
        <v>0</v>
      </c>
    </row>
    <row r="322" spans="1:8" x14ac:dyDescent="0.35">
      <c r="A322">
        <v>19913</v>
      </c>
      <c r="B322" t="s">
        <v>7</v>
      </c>
      <c r="C322">
        <v>13</v>
      </c>
      <c r="D322">
        <v>432</v>
      </c>
      <c r="E322" t="s">
        <v>8</v>
      </c>
      <c r="F322" t="s">
        <v>9</v>
      </c>
      <c r="G322" t="s">
        <v>16</v>
      </c>
      <c r="H322">
        <v>0</v>
      </c>
    </row>
    <row r="323" spans="1:8" x14ac:dyDescent="0.35">
      <c r="A323">
        <v>13622</v>
      </c>
      <c r="B323" t="s">
        <v>11</v>
      </c>
      <c r="C323">
        <v>1</v>
      </c>
      <c r="D323">
        <v>178</v>
      </c>
      <c r="E323" t="s">
        <v>8</v>
      </c>
      <c r="F323" t="s">
        <v>13</v>
      </c>
      <c r="G323" t="s">
        <v>12</v>
      </c>
      <c r="H323">
        <v>0</v>
      </c>
    </row>
    <row r="324" spans="1:8" x14ac:dyDescent="0.35">
      <c r="A324">
        <v>17237</v>
      </c>
      <c r="B324" t="s">
        <v>7</v>
      </c>
      <c r="C324">
        <v>6</v>
      </c>
      <c r="D324">
        <v>436</v>
      </c>
      <c r="E324" t="s">
        <v>8</v>
      </c>
      <c r="F324" t="s">
        <v>9</v>
      </c>
      <c r="G324" t="s">
        <v>16</v>
      </c>
      <c r="H324">
        <v>0</v>
      </c>
    </row>
    <row r="325" spans="1:8" x14ac:dyDescent="0.35">
      <c r="A325">
        <v>11545</v>
      </c>
      <c r="B325" t="s">
        <v>11</v>
      </c>
      <c r="C325">
        <v>1</v>
      </c>
      <c r="D325">
        <v>92</v>
      </c>
      <c r="E325" t="s">
        <v>8</v>
      </c>
      <c r="F325" t="s">
        <v>9</v>
      </c>
      <c r="G325" t="s">
        <v>14</v>
      </c>
      <c r="H325">
        <v>0</v>
      </c>
    </row>
    <row r="326" spans="1:8" x14ac:dyDescent="0.35">
      <c r="A326">
        <v>16754</v>
      </c>
      <c r="B326" t="s">
        <v>7</v>
      </c>
      <c r="C326">
        <v>6</v>
      </c>
      <c r="D326">
        <v>134</v>
      </c>
      <c r="E326" t="s">
        <v>15</v>
      </c>
      <c r="F326" t="s">
        <v>9</v>
      </c>
      <c r="G326" t="s">
        <v>14</v>
      </c>
      <c r="H326">
        <v>1</v>
      </c>
    </row>
    <row r="327" spans="1:8" x14ac:dyDescent="0.35">
      <c r="A327">
        <v>10930</v>
      </c>
      <c r="B327" t="s">
        <v>7</v>
      </c>
      <c r="C327">
        <v>12</v>
      </c>
      <c r="D327">
        <v>324</v>
      </c>
      <c r="E327" t="s">
        <v>8</v>
      </c>
      <c r="F327" t="s">
        <v>9</v>
      </c>
      <c r="G327" t="s">
        <v>16</v>
      </c>
      <c r="H327">
        <v>0</v>
      </c>
    </row>
    <row r="328" spans="1:8" x14ac:dyDescent="0.35">
      <c r="A328">
        <v>14430</v>
      </c>
      <c r="B328" t="s">
        <v>11</v>
      </c>
      <c r="C328">
        <v>4</v>
      </c>
      <c r="D328">
        <v>120</v>
      </c>
      <c r="E328" t="s">
        <v>8</v>
      </c>
      <c r="F328" t="s">
        <v>13</v>
      </c>
      <c r="G328" t="s">
        <v>10</v>
      </c>
      <c r="H328">
        <v>0</v>
      </c>
    </row>
    <row r="329" spans="1:8" x14ac:dyDescent="0.35">
      <c r="A329">
        <v>15421</v>
      </c>
      <c r="B329" t="s">
        <v>11</v>
      </c>
      <c r="C329">
        <v>11</v>
      </c>
      <c r="D329">
        <v>217</v>
      </c>
      <c r="E329" t="s">
        <v>8</v>
      </c>
      <c r="F329" t="s">
        <v>9</v>
      </c>
      <c r="G329" t="s">
        <v>12</v>
      </c>
      <c r="H329">
        <v>0</v>
      </c>
    </row>
    <row r="330" spans="1:8" x14ac:dyDescent="0.35">
      <c r="A330">
        <v>10418</v>
      </c>
      <c r="B330" t="s">
        <v>7</v>
      </c>
      <c r="C330">
        <v>11</v>
      </c>
      <c r="D330">
        <v>258</v>
      </c>
      <c r="E330" t="s">
        <v>15</v>
      </c>
      <c r="F330" t="s">
        <v>9</v>
      </c>
      <c r="G330" t="s">
        <v>10</v>
      </c>
      <c r="H330">
        <v>1</v>
      </c>
    </row>
    <row r="331" spans="1:8" x14ac:dyDescent="0.35">
      <c r="A331">
        <v>18223</v>
      </c>
      <c r="B331" t="s">
        <v>11</v>
      </c>
      <c r="C331">
        <v>6</v>
      </c>
      <c r="D331">
        <v>328</v>
      </c>
      <c r="E331" t="s">
        <v>8</v>
      </c>
      <c r="F331" t="s">
        <v>9</v>
      </c>
      <c r="G331" t="s">
        <v>10</v>
      </c>
      <c r="H331">
        <v>0</v>
      </c>
    </row>
    <row r="332" spans="1:8" x14ac:dyDescent="0.35">
      <c r="A332">
        <v>12188</v>
      </c>
      <c r="B332" t="s">
        <v>7</v>
      </c>
      <c r="C332">
        <v>3</v>
      </c>
      <c r="D332">
        <v>140</v>
      </c>
      <c r="E332" t="s">
        <v>8</v>
      </c>
      <c r="F332" t="s">
        <v>13</v>
      </c>
      <c r="G332" t="s">
        <v>10</v>
      </c>
      <c r="H332">
        <v>0</v>
      </c>
    </row>
    <row r="333" spans="1:8" x14ac:dyDescent="0.35">
      <c r="A333">
        <v>18855</v>
      </c>
      <c r="B333" t="s">
        <v>11</v>
      </c>
      <c r="C333">
        <v>12</v>
      </c>
      <c r="D333">
        <v>256</v>
      </c>
      <c r="E333" t="s">
        <v>8</v>
      </c>
      <c r="F333" t="s">
        <v>13</v>
      </c>
      <c r="G333" t="s">
        <v>12</v>
      </c>
      <c r="H333">
        <v>0</v>
      </c>
    </row>
    <row r="334" spans="1:8" x14ac:dyDescent="0.35">
      <c r="A334">
        <v>11996</v>
      </c>
      <c r="B334" t="s">
        <v>7</v>
      </c>
      <c r="C334">
        <v>4</v>
      </c>
      <c r="D334">
        <v>363</v>
      </c>
      <c r="E334" t="s">
        <v>8</v>
      </c>
      <c r="F334" t="s">
        <v>13</v>
      </c>
      <c r="G334" t="s">
        <v>12</v>
      </c>
      <c r="H334">
        <v>0</v>
      </c>
    </row>
    <row r="335" spans="1:8" x14ac:dyDescent="0.35">
      <c r="A335">
        <v>14262</v>
      </c>
      <c r="B335" t="s">
        <v>11</v>
      </c>
      <c r="C335">
        <v>13</v>
      </c>
      <c r="D335">
        <v>252</v>
      </c>
      <c r="E335" t="s">
        <v>8</v>
      </c>
      <c r="F335" t="s">
        <v>9</v>
      </c>
      <c r="G335" t="s">
        <v>14</v>
      </c>
      <c r="H335">
        <v>0</v>
      </c>
    </row>
    <row r="336" spans="1:8" x14ac:dyDescent="0.35">
      <c r="A336">
        <v>18383</v>
      </c>
      <c r="B336" t="s">
        <v>11</v>
      </c>
      <c r="C336">
        <v>13</v>
      </c>
      <c r="D336">
        <v>303</v>
      </c>
      <c r="E336" t="s">
        <v>8</v>
      </c>
      <c r="F336" t="s">
        <v>13</v>
      </c>
      <c r="G336" t="s">
        <v>14</v>
      </c>
      <c r="H336">
        <v>0</v>
      </c>
    </row>
    <row r="337" spans="1:8" x14ac:dyDescent="0.35">
      <c r="A337">
        <v>19202</v>
      </c>
      <c r="B337" t="s">
        <v>7</v>
      </c>
      <c r="C337">
        <v>6</v>
      </c>
      <c r="D337">
        <v>408</v>
      </c>
      <c r="E337" t="s">
        <v>8</v>
      </c>
      <c r="F337" t="s">
        <v>9</v>
      </c>
      <c r="G337" t="s">
        <v>14</v>
      </c>
      <c r="H337">
        <v>0</v>
      </c>
    </row>
    <row r="338" spans="1:8" x14ac:dyDescent="0.35">
      <c r="A338">
        <v>18979</v>
      </c>
      <c r="B338" t="s">
        <v>7</v>
      </c>
      <c r="C338">
        <v>13</v>
      </c>
      <c r="D338">
        <v>43</v>
      </c>
      <c r="E338" t="s">
        <v>8</v>
      </c>
      <c r="F338" t="s">
        <v>9</v>
      </c>
      <c r="G338" t="s">
        <v>16</v>
      </c>
      <c r="H338">
        <v>0</v>
      </c>
    </row>
    <row r="339" spans="1:8" x14ac:dyDescent="0.35">
      <c r="A339">
        <v>15680</v>
      </c>
      <c r="B339" t="s">
        <v>11</v>
      </c>
      <c r="C339">
        <v>2</v>
      </c>
      <c r="D339">
        <v>81</v>
      </c>
      <c r="E339" t="s">
        <v>8</v>
      </c>
      <c r="F339" t="s">
        <v>13</v>
      </c>
      <c r="G339" t="s">
        <v>12</v>
      </c>
      <c r="H339">
        <v>0</v>
      </c>
    </row>
    <row r="340" spans="1:8" x14ac:dyDescent="0.35">
      <c r="A340">
        <v>12935</v>
      </c>
      <c r="B340" t="s">
        <v>11</v>
      </c>
      <c r="C340">
        <v>6</v>
      </c>
      <c r="D340">
        <v>247</v>
      </c>
      <c r="E340" t="s">
        <v>8</v>
      </c>
      <c r="F340" t="s">
        <v>9</v>
      </c>
      <c r="G340" t="s">
        <v>12</v>
      </c>
      <c r="H340">
        <v>0</v>
      </c>
    </row>
    <row r="341" spans="1:8" x14ac:dyDescent="0.35">
      <c r="A341">
        <v>17538</v>
      </c>
      <c r="B341" t="s">
        <v>11</v>
      </c>
      <c r="C341">
        <v>8</v>
      </c>
      <c r="D341">
        <v>205</v>
      </c>
      <c r="E341" t="s">
        <v>8</v>
      </c>
      <c r="F341" t="s">
        <v>13</v>
      </c>
      <c r="G341" t="s">
        <v>12</v>
      </c>
      <c r="H341">
        <v>0</v>
      </c>
    </row>
    <row r="342" spans="1:8" x14ac:dyDescent="0.35">
      <c r="A342">
        <v>16400</v>
      </c>
      <c r="B342" t="s">
        <v>11</v>
      </c>
      <c r="C342">
        <v>1</v>
      </c>
      <c r="D342">
        <v>446</v>
      </c>
      <c r="E342" t="s">
        <v>8</v>
      </c>
      <c r="F342" t="s">
        <v>9</v>
      </c>
      <c r="G342" t="s">
        <v>14</v>
      </c>
      <c r="H342">
        <v>0</v>
      </c>
    </row>
    <row r="343" spans="1:8" x14ac:dyDescent="0.35">
      <c r="A343">
        <v>18513</v>
      </c>
      <c r="B343" t="s">
        <v>11</v>
      </c>
      <c r="C343">
        <v>6</v>
      </c>
      <c r="D343">
        <v>368</v>
      </c>
      <c r="E343" t="s">
        <v>8</v>
      </c>
      <c r="F343" t="s">
        <v>9</v>
      </c>
      <c r="G343" t="s">
        <v>12</v>
      </c>
      <c r="H343">
        <v>0</v>
      </c>
    </row>
    <row r="344" spans="1:8" x14ac:dyDescent="0.35">
      <c r="A344">
        <v>17562</v>
      </c>
      <c r="B344" t="s">
        <v>7</v>
      </c>
      <c r="C344">
        <v>7</v>
      </c>
      <c r="D344">
        <v>377</v>
      </c>
      <c r="E344" t="s">
        <v>8</v>
      </c>
      <c r="F344" t="s">
        <v>13</v>
      </c>
      <c r="G344" t="s">
        <v>16</v>
      </c>
      <c r="H344">
        <v>0</v>
      </c>
    </row>
    <row r="345" spans="1:8" x14ac:dyDescent="0.35">
      <c r="A345">
        <v>12388</v>
      </c>
      <c r="B345" t="s">
        <v>11</v>
      </c>
      <c r="C345">
        <v>14</v>
      </c>
      <c r="D345">
        <v>218</v>
      </c>
      <c r="E345" t="s">
        <v>8</v>
      </c>
      <c r="F345" t="s">
        <v>13</v>
      </c>
      <c r="G345" t="s">
        <v>14</v>
      </c>
      <c r="H345">
        <v>0</v>
      </c>
    </row>
    <row r="346" spans="1:8" x14ac:dyDescent="0.35">
      <c r="A346">
        <v>14739</v>
      </c>
      <c r="B346" t="s">
        <v>11</v>
      </c>
      <c r="C346">
        <v>13</v>
      </c>
      <c r="D346">
        <v>120</v>
      </c>
      <c r="E346" t="s">
        <v>8</v>
      </c>
      <c r="F346" t="s">
        <v>13</v>
      </c>
      <c r="G346" t="s">
        <v>14</v>
      </c>
      <c r="H346">
        <v>0</v>
      </c>
    </row>
    <row r="347" spans="1:8" x14ac:dyDescent="0.35">
      <c r="A347">
        <v>16409</v>
      </c>
      <c r="B347" t="s">
        <v>11</v>
      </c>
      <c r="C347">
        <v>7</v>
      </c>
      <c r="D347">
        <v>372</v>
      </c>
      <c r="E347" t="s">
        <v>8</v>
      </c>
      <c r="F347" t="s">
        <v>13</v>
      </c>
      <c r="G347" t="s">
        <v>14</v>
      </c>
      <c r="H347">
        <v>0</v>
      </c>
    </row>
    <row r="348" spans="1:8" x14ac:dyDescent="0.35">
      <c r="A348">
        <v>11318</v>
      </c>
      <c r="B348" t="s">
        <v>7</v>
      </c>
      <c r="C348">
        <v>1</v>
      </c>
      <c r="D348">
        <v>59</v>
      </c>
      <c r="E348" t="s">
        <v>8</v>
      </c>
      <c r="F348" t="s">
        <v>9</v>
      </c>
      <c r="G348" t="s">
        <v>10</v>
      </c>
      <c r="H348">
        <v>0</v>
      </c>
    </row>
    <row r="349" spans="1:8" x14ac:dyDescent="0.35">
      <c r="A349">
        <v>15373</v>
      </c>
      <c r="B349" t="s">
        <v>11</v>
      </c>
      <c r="C349">
        <v>11</v>
      </c>
      <c r="D349">
        <v>187</v>
      </c>
      <c r="E349" t="s">
        <v>8</v>
      </c>
      <c r="F349" t="s">
        <v>13</v>
      </c>
      <c r="G349" t="s">
        <v>12</v>
      </c>
      <c r="H349">
        <v>0</v>
      </c>
    </row>
    <row r="350" spans="1:8" x14ac:dyDescent="0.35">
      <c r="A350">
        <v>17614</v>
      </c>
      <c r="B350" t="s">
        <v>11</v>
      </c>
      <c r="C350">
        <v>3</v>
      </c>
      <c r="D350">
        <v>395</v>
      </c>
      <c r="E350" t="s">
        <v>8</v>
      </c>
      <c r="F350" t="s">
        <v>13</v>
      </c>
      <c r="G350" t="s">
        <v>10</v>
      </c>
      <c r="H350">
        <v>0</v>
      </c>
    </row>
    <row r="351" spans="1:8" x14ac:dyDescent="0.35">
      <c r="A351">
        <v>12980</v>
      </c>
      <c r="B351" t="s">
        <v>7</v>
      </c>
      <c r="C351">
        <v>6</v>
      </c>
      <c r="D351">
        <v>59</v>
      </c>
      <c r="E351" t="s">
        <v>8</v>
      </c>
      <c r="F351" t="s">
        <v>9</v>
      </c>
      <c r="G351" t="s">
        <v>16</v>
      </c>
      <c r="H351">
        <v>0</v>
      </c>
    </row>
    <row r="352" spans="1:8" x14ac:dyDescent="0.35">
      <c r="A352">
        <v>16115</v>
      </c>
      <c r="B352" t="s">
        <v>11</v>
      </c>
      <c r="C352">
        <v>2</v>
      </c>
      <c r="D352">
        <v>132</v>
      </c>
      <c r="E352" t="s">
        <v>8</v>
      </c>
      <c r="F352" t="s">
        <v>9</v>
      </c>
      <c r="G352" t="s">
        <v>16</v>
      </c>
      <c r="H352">
        <v>0</v>
      </c>
    </row>
    <row r="353" spans="1:8" x14ac:dyDescent="0.35">
      <c r="A353">
        <v>17848</v>
      </c>
      <c r="B353" t="s">
        <v>7</v>
      </c>
      <c r="C353">
        <v>1</v>
      </c>
      <c r="D353">
        <v>150</v>
      </c>
      <c r="E353" t="s">
        <v>8</v>
      </c>
      <c r="F353" t="s">
        <v>13</v>
      </c>
      <c r="G353" t="s">
        <v>14</v>
      </c>
      <c r="H353">
        <v>0</v>
      </c>
    </row>
    <row r="354" spans="1:8" x14ac:dyDescent="0.35">
      <c r="A354">
        <v>17425</v>
      </c>
      <c r="B354" t="s">
        <v>7</v>
      </c>
      <c r="C354">
        <v>4</v>
      </c>
      <c r="D354">
        <v>211</v>
      </c>
      <c r="E354" t="s">
        <v>8</v>
      </c>
      <c r="F354" t="s">
        <v>9</v>
      </c>
      <c r="G354" t="s">
        <v>12</v>
      </c>
      <c r="H354">
        <v>0</v>
      </c>
    </row>
    <row r="355" spans="1:8" x14ac:dyDescent="0.35">
      <c r="A355">
        <v>10405</v>
      </c>
      <c r="B355" t="s">
        <v>11</v>
      </c>
      <c r="C355">
        <v>11</v>
      </c>
      <c r="D355">
        <v>268</v>
      </c>
      <c r="E355" t="s">
        <v>8</v>
      </c>
      <c r="F355" t="s">
        <v>13</v>
      </c>
      <c r="G355" t="s">
        <v>16</v>
      </c>
      <c r="H355">
        <v>0</v>
      </c>
    </row>
    <row r="356" spans="1:8" x14ac:dyDescent="0.35">
      <c r="A356">
        <v>14461</v>
      </c>
      <c r="B356" t="s">
        <v>7</v>
      </c>
      <c r="C356">
        <v>4</v>
      </c>
      <c r="D356">
        <v>408</v>
      </c>
      <c r="E356" t="s">
        <v>8</v>
      </c>
      <c r="F356" t="s">
        <v>13</v>
      </c>
      <c r="G356" t="s">
        <v>14</v>
      </c>
      <c r="H356">
        <v>0</v>
      </c>
    </row>
    <row r="357" spans="1:8" x14ac:dyDescent="0.35">
      <c r="A357">
        <v>14368</v>
      </c>
      <c r="B357" t="s">
        <v>7</v>
      </c>
      <c r="C357">
        <v>6</v>
      </c>
      <c r="D357">
        <v>244</v>
      </c>
      <c r="E357" t="s">
        <v>8</v>
      </c>
      <c r="F357" t="s">
        <v>9</v>
      </c>
      <c r="G357" t="s">
        <v>10</v>
      </c>
      <c r="H357">
        <v>0</v>
      </c>
    </row>
    <row r="358" spans="1:8" x14ac:dyDescent="0.35">
      <c r="A358">
        <v>14515</v>
      </c>
      <c r="B358" t="s">
        <v>11</v>
      </c>
      <c r="C358">
        <v>7</v>
      </c>
      <c r="D358">
        <v>56</v>
      </c>
      <c r="E358" t="s">
        <v>8</v>
      </c>
      <c r="F358" t="s">
        <v>9</v>
      </c>
      <c r="G358" t="s">
        <v>14</v>
      </c>
      <c r="H358">
        <v>0</v>
      </c>
    </row>
    <row r="359" spans="1:8" x14ac:dyDescent="0.35">
      <c r="A359">
        <v>18619</v>
      </c>
      <c r="B359" t="s">
        <v>11</v>
      </c>
      <c r="C359">
        <v>2</v>
      </c>
      <c r="D359">
        <v>66</v>
      </c>
      <c r="E359" t="s">
        <v>8</v>
      </c>
      <c r="F359" t="s">
        <v>9</v>
      </c>
      <c r="G359" t="s">
        <v>12</v>
      </c>
      <c r="H359">
        <v>0</v>
      </c>
    </row>
    <row r="360" spans="1:8" x14ac:dyDescent="0.35">
      <c r="A360">
        <v>14158</v>
      </c>
      <c r="B360" t="s">
        <v>11</v>
      </c>
      <c r="C360">
        <v>2</v>
      </c>
      <c r="D360">
        <v>195</v>
      </c>
      <c r="E360" t="s">
        <v>8</v>
      </c>
      <c r="F360" t="s">
        <v>13</v>
      </c>
      <c r="G360" t="s">
        <v>16</v>
      </c>
      <c r="H360">
        <v>0</v>
      </c>
    </row>
    <row r="361" spans="1:8" x14ac:dyDescent="0.35">
      <c r="A361">
        <v>17334</v>
      </c>
      <c r="B361" t="s">
        <v>7</v>
      </c>
      <c r="C361">
        <v>6</v>
      </c>
      <c r="D361">
        <v>189</v>
      </c>
      <c r="E361" t="s">
        <v>8</v>
      </c>
      <c r="F361" t="s">
        <v>13</v>
      </c>
      <c r="G361" t="s">
        <v>12</v>
      </c>
      <c r="H361">
        <v>0</v>
      </c>
    </row>
    <row r="362" spans="1:8" x14ac:dyDescent="0.35">
      <c r="A362">
        <v>18393</v>
      </c>
      <c r="B362" t="s">
        <v>7</v>
      </c>
      <c r="C362">
        <v>14</v>
      </c>
      <c r="D362">
        <v>343</v>
      </c>
      <c r="E362" t="s">
        <v>8</v>
      </c>
      <c r="F362" t="s">
        <v>9</v>
      </c>
      <c r="G362" t="s">
        <v>16</v>
      </c>
      <c r="H362">
        <v>0</v>
      </c>
    </row>
    <row r="363" spans="1:8" x14ac:dyDescent="0.35">
      <c r="A363">
        <v>11701</v>
      </c>
      <c r="B363" t="s">
        <v>7</v>
      </c>
      <c r="C363">
        <v>6</v>
      </c>
      <c r="D363">
        <v>125</v>
      </c>
      <c r="E363" t="s">
        <v>8</v>
      </c>
      <c r="F363" t="s">
        <v>13</v>
      </c>
      <c r="G363" t="s">
        <v>16</v>
      </c>
      <c r="H363">
        <v>0</v>
      </c>
    </row>
    <row r="364" spans="1:8" x14ac:dyDescent="0.35">
      <c r="A364">
        <v>17487</v>
      </c>
      <c r="B364" t="s">
        <v>11</v>
      </c>
      <c r="C364">
        <v>4</v>
      </c>
      <c r="D364">
        <v>238</v>
      </c>
      <c r="E364" t="s">
        <v>8</v>
      </c>
      <c r="F364" t="s">
        <v>9</v>
      </c>
      <c r="G364" t="s">
        <v>16</v>
      </c>
      <c r="H364">
        <v>0</v>
      </c>
    </row>
    <row r="365" spans="1:8" x14ac:dyDescent="0.35">
      <c r="A365">
        <v>14703</v>
      </c>
      <c r="B365" t="s">
        <v>11</v>
      </c>
      <c r="C365">
        <v>5</v>
      </c>
      <c r="D365">
        <v>82</v>
      </c>
      <c r="E365" t="s">
        <v>8</v>
      </c>
      <c r="F365" t="s">
        <v>13</v>
      </c>
      <c r="G365" t="s">
        <v>10</v>
      </c>
      <c r="H365">
        <v>0</v>
      </c>
    </row>
    <row r="366" spans="1:8" x14ac:dyDescent="0.35">
      <c r="A366">
        <v>11156</v>
      </c>
      <c r="B366" t="s">
        <v>11</v>
      </c>
      <c r="C366">
        <v>11</v>
      </c>
      <c r="D366">
        <v>152</v>
      </c>
      <c r="E366" t="s">
        <v>8</v>
      </c>
      <c r="F366" t="s">
        <v>9</v>
      </c>
      <c r="G366" t="s">
        <v>16</v>
      </c>
      <c r="H366">
        <v>0</v>
      </c>
    </row>
    <row r="367" spans="1:8" x14ac:dyDescent="0.35">
      <c r="A367">
        <v>16018</v>
      </c>
      <c r="B367" t="s">
        <v>7</v>
      </c>
      <c r="C367">
        <v>2</v>
      </c>
      <c r="D367">
        <v>308</v>
      </c>
      <c r="E367" t="s">
        <v>8</v>
      </c>
      <c r="F367" t="s">
        <v>9</v>
      </c>
      <c r="G367" t="s">
        <v>14</v>
      </c>
      <c r="H367">
        <v>0</v>
      </c>
    </row>
    <row r="368" spans="1:8" x14ac:dyDescent="0.35">
      <c r="A368">
        <v>12321</v>
      </c>
      <c r="B368" t="s">
        <v>11</v>
      </c>
      <c r="C368">
        <v>14</v>
      </c>
      <c r="D368">
        <v>83</v>
      </c>
      <c r="E368" t="s">
        <v>8</v>
      </c>
      <c r="F368" t="s">
        <v>9</v>
      </c>
      <c r="G368" t="s">
        <v>12</v>
      </c>
      <c r="H368">
        <v>0</v>
      </c>
    </row>
    <row r="369" spans="1:8" x14ac:dyDescent="0.35">
      <c r="A369">
        <v>11256</v>
      </c>
      <c r="B369" t="s">
        <v>11</v>
      </c>
      <c r="C369">
        <v>11</v>
      </c>
      <c r="D369">
        <v>260</v>
      </c>
      <c r="E369" t="s">
        <v>8</v>
      </c>
      <c r="F369" t="s">
        <v>9</v>
      </c>
      <c r="G369" t="s">
        <v>10</v>
      </c>
      <c r="H369">
        <v>0</v>
      </c>
    </row>
    <row r="370" spans="1:8" x14ac:dyDescent="0.35">
      <c r="A370">
        <v>11858</v>
      </c>
      <c r="B370" t="s">
        <v>11</v>
      </c>
      <c r="C370">
        <v>7</v>
      </c>
      <c r="D370">
        <v>176</v>
      </c>
      <c r="E370" t="s">
        <v>8</v>
      </c>
      <c r="F370" t="s">
        <v>13</v>
      </c>
      <c r="G370" t="s">
        <v>10</v>
      </c>
      <c r="H370">
        <v>0</v>
      </c>
    </row>
    <row r="371" spans="1:8" x14ac:dyDescent="0.35">
      <c r="A371">
        <v>18514</v>
      </c>
      <c r="B371" t="s">
        <v>7</v>
      </c>
      <c r="C371">
        <v>8</v>
      </c>
      <c r="D371">
        <v>51</v>
      </c>
      <c r="E371" t="s">
        <v>8</v>
      </c>
      <c r="F371" t="s">
        <v>9</v>
      </c>
      <c r="G371" t="s">
        <v>14</v>
      </c>
      <c r="H371">
        <v>0</v>
      </c>
    </row>
    <row r="372" spans="1:8" x14ac:dyDescent="0.35">
      <c r="A372">
        <v>19489</v>
      </c>
      <c r="B372" t="s">
        <v>7</v>
      </c>
      <c r="C372">
        <v>14</v>
      </c>
      <c r="D372">
        <v>58</v>
      </c>
      <c r="E372" t="s">
        <v>8</v>
      </c>
      <c r="F372" t="s">
        <v>9</v>
      </c>
      <c r="G372" t="s">
        <v>16</v>
      </c>
      <c r="H372">
        <v>0</v>
      </c>
    </row>
    <row r="373" spans="1:8" x14ac:dyDescent="0.35">
      <c r="A373">
        <v>11963</v>
      </c>
      <c r="B373" t="s">
        <v>11</v>
      </c>
      <c r="C373">
        <v>2</v>
      </c>
      <c r="D373">
        <v>432</v>
      </c>
      <c r="E373" t="s">
        <v>8</v>
      </c>
      <c r="F373" t="s">
        <v>13</v>
      </c>
      <c r="G373" t="s">
        <v>16</v>
      </c>
      <c r="H373">
        <v>0</v>
      </c>
    </row>
    <row r="374" spans="1:8" x14ac:dyDescent="0.35">
      <c r="A374">
        <v>17810</v>
      </c>
      <c r="B374" t="s">
        <v>11</v>
      </c>
      <c r="C374">
        <v>4</v>
      </c>
      <c r="D374">
        <v>326</v>
      </c>
      <c r="E374" t="s">
        <v>8</v>
      </c>
      <c r="F374" t="s">
        <v>9</v>
      </c>
      <c r="G374" t="s">
        <v>16</v>
      </c>
      <c r="H374">
        <v>0</v>
      </c>
    </row>
    <row r="375" spans="1:8" x14ac:dyDescent="0.35">
      <c r="A375">
        <v>15232</v>
      </c>
      <c r="B375" t="s">
        <v>7</v>
      </c>
      <c r="C375">
        <v>10</v>
      </c>
      <c r="D375">
        <v>126</v>
      </c>
      <c r="E375" t="s">
        <v>8</v>
      </c>
      <c r="F375" t="s">
        <v>13</v>
      </c>
      <c r="G375" t="s">
        <v>14</v>
      </c>
      <c r="H375">
        <v>0</v>
      </c>
    </row>
    <row r="376" spans="1:8" x14ac:dyDescent="0.35">
      <c r="A376">
        <v>16452</v>
      </c>
      <c r="B376" t="s">
        <v>7</v>
      </c>
      <c r="C376">
        <v>2</v>
      </c>
      <c r="D376">
        <v>319</v>
      </c>
      <c r="E376" t="s">
        <v>8</v>
      </c>
      <c r="F376" t="s">
        <v>9</v>
      </c>
      <c r="G376" t="s">
        <v>10</v>
      </c>
      <c r="H376">
        <v>0</v>
      </c>
    </row>
    <row r="377" spans="1:8" x14ac:dyDescent="0.35">
      <c r="A377">
        <v>10463</v>
      </c>
      <c r="B377" t="s">
        <v>11</v>
      </c>
      <c r="C377">
        <v>13</v>
      </c>
      <c r="D377">
        <v>249</v>
      </c>
      <c r="E377" t="s">
        <v>8</v>
      </c>
      <c r="F377" t="s">
        <v>9</v>
      </c>
      <c r="G377" t="s">
        <v>14</v>
      </c>
      <c r="H377">
        <v>0</v>
      </c>
    </row>
    <row r="378" spans="1:8" x14ac:dyDescent="0.35">
      <c r="A378">
        <v>19297</v>
      </c>
      <c r="B378" t="s">
        <v>7</v>
      </c>
      <c r="C378">
        <v>10</v>
      </c>
      <c r="D378">
        <v>116</v>
      </c>
      <c r="E378" t="s">
        <v>8</v>
      </c>
      <c r="F378" t="s">
        <v>13</v>
      </c>
      <c r="G378" t="s">
        <v>14</v>
      </c>
      <c r="H378">
        <v>0</v>
      </c>
    </row>
    <row r="379" spans="1:8" x14ac:dyDescent="0.35">
      <c r="A379">
        <v>17809</v>
      </c>
      <c r="B379" t="s">
        <v>11</v>
      </c>
      <c r="C379">
        <v>12</v>
      </c>
      <c r="D379">
        <v>354</v>
      </c>
      <c r="E379" t="s">
        <v>8</v>
      </c>
      <c r="F379" t="s">
        <v>9</v>
      </c>
      <c r="G379" t="s">
        <v>12</v>
      </c>
      <c r="H379">
        <v>0</v>
      </c>
    </row>
    <row r="380" spans="1:8" x14ac:dyDescent="0.35">
      <c r="A380">
        <v>11791</v>
      </c>
      <c r="B380" t="s">
        <v>11</v>
      </c>
      <c r="C380">
        <v>12</v>
      </c>
      <c r="D380">
        <v>150</v>
      </c>
      <c r="E380" t="s">
        <v>8</v>
      </c>
      <c r="F380" t="s">
        <v>9</v>
      </c>
      <c r="G380" t="s">
        <v>12</v>
      </c>
      <c r="H380">
        <v>0</v>
      </c>
    </row>
    <row r="381" spans="1:8" x14ac:dyDescent="0.35">
      <c r="A381">
        <v>15080</v>
      </c>
      <c r="B381" t="s">
        <v>7</v>
      </c>
      <c r="C381">
        <v>9</v>
      </c>
      <c r="D381">
        <v>361</v>
      </c>
      <c r="E381" t="s">
        <v>8</v>
      </c>
      <c r="F381" t="s">
        <v>13</v>
      </c>
      <c r="G381" t="s">
        <v>10</v>
      </c>
      <c r="H381">
        <v>0</v>
      </c>
    </row>
    <row r="382" spans="1:8" x14ac:dyDescent="0.35">
      <c r="A382">
        <v>14588</v>
      </c>
      <c r="B382" t="s">
        <v>7</v>
      </c>
      <c r="C382">
        <v>6</v>
      </c>
      <c r="D382">
        <v>160</v>
      </c>
      <c r="E382" t="s">
        <v>8</v>
      </c>
      <c r="F382" t="s">
        <v>9</v>
      </c>
      <c r="G382" t="s">
        <v>12</v>
      </c>
      <c r="H382">
        <v>0</v>
      </c>
    </row>
    <row r="383" spans="1:8" x14ac:dyDescent="0.35">
      <c r="A383">
        <v>11169</v>
      </c>
      <c r="B383" t="s">
        <v>7</v>
      </c>
      <c r="C383">
        <v>4</v>
      </c>
      <c r="D383">
        <v>167</v>
      </c>
      <c r="E383" t="s">
        <v>8</v>
      </c>
      <c r="F383" t="s">
        <v>9</v>
      </c>
      <c r="G383" t="s">
        <v>14</v>
      </c>
      <c r="H383">
        <v>0</v>
      </c>
    </row>
    <row r="384" spans="1:8" x14ac:dyDescent="0.35">
      <c r="A384">
        <v>19375</v>
      </c>
      <c r="B384" t="s">
        <v>11</v>
      </c>
      <c r="C384">
        <v>11</v>
      </c>
      <c r="D384">
        <v>301</v>
      </c>
      <c r="E384" t="s">
        <v>8</v>
      </c>
      <c r="F384" t="s">
        <v>9</v>
      </c>
      <c r="G384" t="s">
        <v>14</v>
      </c>
      <c r="H384">
        <v>0</v>
      </c>
    </row>
    <row r="385" spans="1:8" x14ac:dyDescent="0.35">
      <c r="A385">
        <v>14621</v>
      </c>
      <c r="B385" t="s">
        <v>11</v>
      </c>
      <c r="C385">
        <v>13</v>
      </c>
      <c r="D385">
        <v>380</v>
      </c>
      <c r="E385" t="s">
        <v>8</v>
      </c>
      <c r="F385" t="s">
        <v>9</v>
      </c>
      <c r="G385" t="s">
        <v>10</v>
      </c>
      <c r="H385">
        <v>0</v>
      </c>
    </row>
    <row r="386" spans="1:8" x14ac:dyDescent="0.35">
      <c r="A386">
        <v>15230</v>
      </c>
      <c r="B386" t="s">
        <v>7</v>
      </c>
      <c r="C386">
        <v>2</v>
      </c>
      <c r="D386">
        <v>442</v>
      </c>
      <c r="E386" t="s">
        <v>8</v>
      </c>
      <c r="F386" t="s">
        <v>9</v>
      </c>
      <c r="G386" t="s">
        <v>14</v>
      </c>
      <c r="H386">
        <v>0</v>
      </c>
    </row>
    <row r="387" spans="1:8" x14ac:dyDescent="0.35">
      <c r="A387">
        <v>13633</v>
      </c>
      <c r="B387" t="s">
        <v>11</v>
      </c>
      <c r="C387">
        <v>2</v>
      </c>
      <c r="D387">
        <v>399</v>
      </c>
      <c r="E387" t="s">
        <v>8</v>
      </c>
      <c r="F387" t="s">
        <v>9</v>
      </c>
      <c r="G387" t="s">
        <v>14</v>
      </c>
      <c r="H387">
        <v>0</v>
      </c>
    </row>
    <row r="388" spans="1:8" x14ac:dyDescent="0.35">
      <c r="A388">
        <v>11246</v>
      </c>
      <c r="B388" t="s">
        <v>11</v>
      </c>
      <c r="C388">
        <v>14</v>
      </c>
      <c r="D388">
        <v>305</v>
      </c>
      <c r="E388" t="s">
        <v>8</v>
      </c>
      <c r="F388" t="s">
        <v>13</v>
      </c>
      <c r="G388" t="s">
        <v>12</v>
      </c>
      <c r="H388">
        <v>0</v>
      </c>
    </row>
    <row r="389" spans="1:8" x14ac:dyDescent="0.35">
      <c r="A389">
        <v>14326</v>
      </c>
      <c r="B389" t="s">
        <v>11</v>
      </c>
      <c r="C389">
        <v>3</v>
      </c>
      <c r="D389">
        <v>196</v>
      </c>
      <c r="E389" t="s">
        <v>8</v>
      </c>
      <c r="F389" t="s">
        <v>13</v>
      </c>
      <c r="G389" t="s">
        <v>12</v>
      </c>
      <c r="H389">
        <v>0</v>
      </c>
    </row>
    <row r="390" spans="1:8" x14ac:dyDescent="0.35">
      <c r="A390">
        <v>19107</v>
      </c>
      <c r="B390" t="s">
        <v>7</v>
      </c>
      <c r="C390">
        <v>14</v>
      </c>
      <c r="D390">
        <v>376</v>
      </c>
      <c r="E390" t="s">
        <v>8</v>
      </c>
      <c r="F390" t="s">
        <v>13</v>
      </c>
      <c r="G390" t="s">
        <v>14</v>
      </c>
      <c r="H390">
        <v>0</v>
      </c>
    </row>
    <row r="391" spans="1:8" x14ac:dyDescent="0.35">
      <c r="A391">
        <v>13501</v>
      </c>
      <c r="B391" t="s">
        <v>7</v>
      </c>
      <c r="C391">
        <v>8</v>
      </c>
      <c r="D391">
        <v>376</v>
      </c>
      <c r="E391" t="s">
        <v>8</v>
      </c>
      <c r="F391" t="s">
        <v>13</v>
      </c>
      <c r="G391" t="s">
        <v>16</v>
      </c>
      <c r="H391">
        <v>0</v>
      </c>
    </row>
    <row r="392" spans="1:8" x14ac:dyDescent="0.35">
      <c r="A392">
        <v>11368</v>
      </c>
      <c r="B392" t="s">
        <v>11</v>
      </c>
      <c r="C392">
        <v>10</v>
      </c>
      <c r="D392">
        <v>364</v>
      </c>
      <c r="E392" t="s">
        <v>8</v>
      </c>
      <c r="F392" t="s">
        <v>9</v>
      </c>
      <c r="G392" t="s">
        <v>12</v>
      </c>
      <c r="H392">
        <v>0</v>
      </c>
    </row>
    <row r="393" spans="1:8" x14ac:dyDescent="0.35">
      <c r="A393">
        <v>17270</v>
      </c>
      <c r="B393" t="s">
        <v>7</v>
      </c>
      <c r="C393">
        <v>14</v>
      </c>
      <c r="D393">
        <v>361</v>
      </c>
      <c r="E393" t="s">
        <v>8</v>
      </c>
      <c r="F393" t="s">
        <v>13</v>
      </c>
      <c r="G393" t="s">
        <v>16</v>
      </c>
      <c r="H393">
        <v>0</v>
      </c>
    </row>
    <row r="394" spans="1:8" x14ac:dyDescent="0.35">
      <c r="A394">
        <v>11440</v>
      </c>
      <c r="B394" t="s">
        <v>7</v>
      </c>
      <c r="C394">
        <v>6</v>
      </c>
      <c r="D394">
        <v>301</v>
      </c>
      <c r="E394" t="s">
        <v>8</v>
      </c>
      <c r="F394" t="s">
        <v>9</v>
      </c>
      <c r="G394" t="s">
        <v>14</v>
      </c>
      <c r="H394">
        <v>0</v>
      </c>
    </row>
    <row r="395" spans="1:8" x14ac:dyDescent="0.35">
      <c r="A395">
        <v>11267</v>
      </c>
      <c r="B395" t="s">
        <v>7</v>
      </c>
      <c r="C395">
        <v>9</v>
      </c>
      <c r="D395">
        <v>160</v>
      </c>
      <c r="E395" t="s">
        <v>8</v>
      </c>
      <c r="F395" t="s">
        <v>13</v>
      </c>
      <c r="G395" t="s">
        <v>10</v>
      </c>
      <c r="H395">
        <v>0</v>
      </c>
    </row>
    <row r="396" spans="1:8" x14ac:dyDescent="0.35">
      <c r="A396">
        <v>17833</v>
      </c>
      <c r="B396" t="s">
        <v>11</v>
      </c>
      <c r="C396">
        <v>5</v>
      </c>
      <c r="D396">
        <v>284</v>
      </c>
      <c r="E396" t="s">
        <v>8</v>
      </c>
      <c r="F396" t="s">
        <v>13</v>
      </c>
      <c r="G396" t="s">
        <v>12</v>
      </c>
      <c r="H396">
        <v>0</v>
      </c>
    </row>
    <row r="397" spans="1:8" x14ac:dyDescent="0.35">
      <c r="A397">
        <v>17846</v>
      </c>
      <c r="B397" t="s">
        <v>11</v>
      </c>
      <c r="C397">
        <v>5</v>
      </c>
      <c r="D397">
        <v>329</v>
      </c>
      <c r="E397" t="s">
        <v>15</v>
      </c>
      <c r="F397" t="s">
        <v>13</v>
      </c>
      <c r="G397" t="s">
        <v>10</v>
      </c>
      <c r="H397">
        <v>1</v>
      </c>
    </row>
    <row r="398" spans="1:8" x14ac:dyDescent="0.35">
      <c r="A398">
        <v>17706</v>
      </c>
      <c r="B398" t="s">
        <v>7</v>
      </c>
      <c r="C398">
        <v>3</v>
      </c>
      <c r="D398">
        <v>353</v>
      </c>
      <c r="E398" t="s">
        <v>8</v>
      </c>
      <c r="F398" t="s">
        <v>13</v>
      </c>
      <c r="G398" t="s">
        <v>10</v>
      </c>
      <c r="H398">
        <v>0</v>
      </c>
    </row>
    <row r="399" spans="1:8" x14ac:dyDescent="0.35">
      <c r="A399">
        <v>11000</v>
      </c>
      <c r="B399" t="s">
        <v>7</v>
      </c>
      <c r="C399">
        <v>4</v>
      </c>
      <c r="D399">
        <v>194</v>
      </c>
      <c r="E399" t="s">
        <v>8</v>
      </c>
      <c r="F399" t="s">
        <v>9</v>
      </c>
      <c r="G399" t="s">
        <v>14</v>
      </c>
      <c r="H399">
        <v>0</v>
      </c>
    </row>
    <row r="400" spans="1:8" x14ac:dyDescent="0.35">
      <c r="A400">
        <v>19472</v>
      </c>
      <c r="B400" t="s">
        <v>7</v>
      </c>
      <c r="C400">
        <v>11</v>
      </c>
      <c r="D400">
        <v>395</v>
      </c>
      <c r="E400" t="s">
        <v>8</v>
      </c>
      <c r="F400" t="s">
        <v>13</v>
      </c>
      <c r="G400" t="s">
        <v>10</v>
      </c>
      <c r="H400">
        <v>0</v>
      </c>
    </row>
    <row r="401" spans="1:8" x14ac:dyDescent="0.35">
      <c r="A401">
        <v>11882</v>
      </c>
      <c r="B401" t="s">
        <v>7</v>
      </c>
      <c r="C401">
        <v>8</v>
      </c>
      <c r="D401">
        <v>387</v>
      </c>
      <c r="E401" t="s">
        <v>8</v>
      </c>
      <c r="F401" t="s">
        <v>13</v>
      </c>
      <c r="G401" t="s">
        <v>12</v>
      </c>
      <c r="H401">
        <v>0</v>
      </c>
    </row>
    <row r="402" spans="1:8" x14ac:dyDescent="0.35">
      <c r="A402">
        <v>11660</v>
      </c>
      <c r="B402" t="s">
        <v>7</v>
      </c>
      <c r="C402">
        <v>5</v>
      </c>
      <c r="D402">
        <v>259</v>
      </c>
      <c r="E402" t="s">
        <v>8</v>
      </c>
      <c r="F402" t="s">
        <v>9</v>
      </c>
      <c r="G402" t="s">
        <v>14</v>
      </c>
      <c r="H402">
        <v>0</v>
      </c>
    </row>
    <row r="403" spans="1:8" x14ac:dyDescent="0.35">
      <c r="A403">
        <v>16371</v>
      </c>
      <c r="B403" t="s">
        <v>11</v>
      </c>
      <c r="C403">
        <v>3</v>
      </c>
      <c r="D403">
        <v>413</v>
      </c>
      <c r="E403" t="s">
        <v>8</v>
      </c>
      <c r="F403" t="s">
        <v>9</v>
      </c>
      <c r="G403" t="s">
        <v>12</v>
      </c>
      <c r="H403">
        <v>0</v>
      </c>
    </row>
    <row r="404" spans="1:8" x14ac:dyDescent="0.35">
      <c r="A404">
        <v>14891</v>
      </c>
      <c r="B404" t="s">
        <v>7</v>
      </c>
      <c r="C404">
        <v>12</v>
      </c>
      <c r="D404">
        <v>328</v>
      </c>
      <c r="E404" t="s">
        <v>8</v>
      </c>
      <c r="F404" t="s">
        <v>9</v>
      </c>
      <c r="G404" t="s">
        <v>16</v>
      </c>
      <c r="H404">
        <v>0</v>
      </c>
    </row>
    <row r="405" spans="1:8" x14ac:dyDescent="0.35">
      <c r="A405">
        <v>10199</v>
      </c>
      <c r="B405" t="s">
        <v>11</v>
      </c>
      <c r="C405">
        <v>14</v>
      </c>
      <c r="D405">
        <v>295</v>
      </c>
      <c r="E405" t="s">
        <v>8</v>
      </c>
      <c r="F405" t="s">
        <v>13</v>
      </c>
      <c r="G405" t="s">
        <v>14</v>
      </c>
      <c r="H405">
        <v>0</v>
      </c>
    </row>
    <row r="406" spans="1:8" x14ac:dyDescent="0.35">
      <c r="A406">
        <v>15828</v>
      </c>
      <c r="B406" t="s">
        <v>11</v>
      </c>
      <c r="C406">
        <v>7</v>
      </c>
      <c r="D406">
        <v>169</v>
      </c>
      <c r="E406" t="s">
        <v>8</v>
      </c>
      <c r="F406" t="s">
        <v>9</v>
      </c>
      <c r="G406" t="s">
        <v>16</v>
      </c>
      <c r="H406">
        <v>0</v>
      </c>
    </row>
    <row r="407" spans="1:8" x14ac:dyDescent="0.35">
      <c r="A407">
        <v>14195</v>
      </c>
      <c r="B407" t="s">
        <v>11</v>
      </c>
      <c r="C407">
        <v>7</v>
      </c>
      <c r="D407">
        <v>84</v>
      </c>
      <c r="E407" t="s">
        <v>8</v>
      </c>
      <c r="F407" t="s">
        <v>9</v>
      </c>
      <c r="G407" t="s">
        <v>12</v>
      </c>
      <c r="H407">
        <v>0</v>
      </c>
    </row>
    <row r="408" spans="1:8" x14ac:dyDescent="0.35">
      <c r="A408">
        <v>14529</v>
      </c>
      <c r="B408" t="s">
        <v>7</v>
      </c>
      <c r="C408">
        <v>1</v>
      </c>
      <c r="D408">
        <v>277</v>
      </c>
      <c r="E408" t="s">
        <v>8</v>
      </c>
      <c r="F408" t="s">
        <v>9</v>
      </c>
      <c r="G408" t="s">
        <v>12</v>
      </c>
      <c r="H408">
        <v>0</v>
      </c>
    </row>
    <row r="409" spans="1:8" x14ac:dyDescent="0.35">
      <c r="A409">
        <v>17744</v>
      </c>
      <c r="B409" t="s">
        <v>7</v>
      </c>
      <c r="C409">
        <v>1</v>
      </c>
      <c r="D409">
        <v>198</v>
      </c>
      <c r="E409" t="s">
        <v>8</v>
      </c>
      <c r="F409" t="s">
        <v>9</v>
      </c>
      <c r="G409" t="s">
        <v>16</v>
      </c>
      <c r="H409">
        <v>0</v>
      </c>
    </row>
    <row r="410" spans="1:8" x14ac:dyDescent="0.35">
      <c r="A410">
        <v>10313</v>
      </c>
      <c r="B410" t="s">
        <v>11</v>
      </c>
      <c r="C410">
        <v>6</v>
      </c>
      <c r="D410">
        <v>282</v>
      </c>
      <c r="E410" t="s">
        <v>8</v>
      </c>
      <c r="F410" t="s">
        <v>13</v>
      </c>
      <c r="G410" t="s">
        <v>12</v>
      </c>
      <c r="H410">
        <v>0</v>
      </c>
    </row>
    <row r="411" spans="1:8" x14ac:dyDescent="0.35">
      <c r="A411">
        <v>11795</v>
      </c>
      <c r="B411" t="s">
        <v>11</v>
      </c>
      <c r="C411">
        <v>14</v>
      </c>
      <c r="D411">
        <v>235</v>
      </c>
      <c r="E411" t="s">
        <v>8</v>
      </c>
      <c r="F411" t="s">
        <v>13</v>
      </c>
      <c r="G411" t="s">
        <v>16</v>
      </c>
      <c r="H411">
        <v>0</v>
      </c>
    </row>
    <row r="412" spans="1:8" x14ac:dyDescent="0.35">
      <c r="A412">
        <v>13844</v>
      </c>
      <c r="B412" t="s">
        <v>11</v>
      </c>
      <c r="C412">
        <v>6</v>
      </c>
      <c r="D412">
        <v>78</v>
      </c>
      <c r="E412" t="s">
        <v>8</v>
      </c>
      <c r="F412" t="s">
        <v>13</v>
      </c>
      <c r="G412" t="s">
        <v>12</v>
      </c>
      <c r="H412">
        <v>0</v>
      </c>
    </row>
    <row r="413" spans="1:8" x14ac:dyDescent="0.35">
      <c r="A413">
        <v>16361</v>
      </c>
      <c r="B413" t="s">
        <v>11</v>
      </c>
      <c r="C413">
        <v>5</v>
      </c>
      <c r="D413">
        <v>298</v>
      </c>
      <c r="E413" t="s">
        <v>8</v>
      </c>
      <c r="F413" t="s">
        <v>13</v>
      </c>
      <c r="G413" t="s">
        <v>16</v>
      </c>
      <c r="H413">
        <v>0</v>
      </c>
    </row>
    <row r="414" spans="1:8" x14ac:dyDescent="0.35">
      <c r="A414">
        <v>12880</v>
      </c>
      <c r="B414" t="s">
        <v>11</v>
      </c>
      <c r="C414">
        <v>11</v>
      </c>
      <c r="D414">
        <v>338</v>
      </c>
      <c r="E414" t="s">
        <v>8</v>
      </c>
      <c r="F414" t="s">
        <v>13</v>
      </c>
      <c r="G414" t="s">
        <v>10</v>
      </c>
      <c r="H414">
        <v>0</v>
      </c>
    </row>
    <row r="415" spans="1:8" x14ac:dyDescent="0.35">
      <c r="A415">
        <v>18241</v>
      </c>
      <c r="B415" t="s">
        <v>7</v>
      </c>
      <c r="C415">
        <v>14</v>
      </c>
      <c r="D415">
        <v>312</v>
      </c>
      <c r="E415" t="s">
        <v>8</v>
      </c>
      <c r="F415" t="s">
        <v>9</v>
      </c>
      <c r="G415" t="s">
        <v>14</v>
      </c>
      <c r="H415">
        <v>0</v>
      </c>
    </row>
    <row r="416" spans="1:8" x14ac:dyDescent="0.35">
      <c r="A416">
        <v>18706</v>
      </c>
      <c r="B416" t="s">
        <v>7</v>
      </c>
      <c r="C416">
        <v>8</v>
      </c>
      <c r="D416">
        <v>281</v>
      </c>
      <c r="E416" t="s">
        <v>8</v>
      </c>
      <c r="F416" t="s">
        <v>9</v>
      </c>
      <c r="G416" t="s">
        <v>12</v>
      </c>
      <c r="H416">
        <v>0</v>
      </c>
    </row>
    <row r="417" spans="1:8" x14ac:dyDescent="0.35">
      <c r="A417">
        <v>19674</v>
      </c>
      <c r="B417" t="s">
        <v>11</v>
      </c>
      <c r="C417">
        <v>13</v>
      </c>
      <c r="D417">
        <v>432</v>
      </c>
      <c r="E417" t="s">
        <v>8</v>
      </c>
      <c r="F417" t="s">
        <v>13</v>
      </c>
      <c r="G417" t="s">
        <v>14</v>
      </c>
      <c r="H417">
        <v>0</v>
      </c>
    </row>
    <row r="418" spans="1:8" x14ac:dyDescent="0.35">
      <c r="A418">
        <v>10824</v>
      </c>
      <c r="B418" t="s">
        <v>7</v>
      </c>
      <c r="C418">
        <v>12</v>
      </c>
      <c r="D418">
        <v>253</v>
      </c>
      <c r="E418" t="s">
        <v>15</v>
      </c>
      <c r="F418" t="s">
        <v>9</v>
      </c>
      <c r="G418" t="s">
        <v>16</v>
      </c>
      <c r="H418">
        <v>1</v>
      </c>
    </row>
    <row r="419" spans="1:8" x14ac:dyDescent="0.35">
      <c r="A419">
        <v>15797</v>
      </c>
      <c r="B419" t="s">
        <v>11</v>
      </c>
      <c r="C419">
        <v>4</v>
      </c>
      <c r="D419">
        <v>379</v>
      </c>
      <c r="E419" t="s">
        <v>8</v>
      </c>
      <c r="F419" t="s">
        <v>9</v>
      </c>
      <c r="G419" t="s">
        <v>16</v>
      </c>
      <c r="H419">
        <v>0</v>
      </c>
    </row>
    <row r="420" spans="1:8" x14ac:dyDescent="0.35">
      <c r="A420">
        <v>10338</v>
      </c>
      <c r="B420" t="s">
        <v>11</v>
      </c>
      <c r="C420">
        <v>5</v>
      </c>
      <c r="D420">
        <v>383</v>
      </c>
      <c r="E420" t="s">
        <v>8</v>
      </c>
      <c r="F420" t="s">
        <v>13</v>
      </c>
      <c r="G420" t="s">
        <v>12</v>
      </c>
      <c r="H420">
        <v>0</v>
      </c>
    </row>
    <row r="421" spans="1:8" x14ac:dyDescent="0.35">
      <c r="A421">
        <v>16619</v>
      </c>
      <c r="B421" t="s">
        <v>7</v>
      </c>
      <c r="C421">
        <v>7</v>
      </c>
      <c r="D421">
        <v>384</v>
      </c>
      <c r="E421" t="s">
        <v>8</v>
      </c>
      <c r="F421" t="s">
        <v>13</v>
      </c>
      <c r="G421" t="s">
        <v>16</v>
      </c>
      <c r="H421">
        <v>0</v>
      </c>
    </row>
    <row r="422" spans="1:8" x14ac:dyDescent="0.35">
      <c r="A422">
        <v>10547</v>
      </c>
      <c r="B422" t="s">
        <v>11</v>
      </c>
      <c r="C422">
        <v>3</v>
      </c>
      <c r="D422">
        <v>164</v>
      </c>
      <c r="E422" t="s">
        <v>8</v>
      </c>
      <c r="F422" t="s">
        <v>13</v>
      </c>
      <c r="G422" t="s">
        <v>12</v>
      </c>
      <c r="H422">
        <v>0</v>
      </c>
    </row>
    <row r="423" spans="1:8" x14ac:dyDescent="0.35">
      <c r="A423">
        <v>11166</v>
      </c>
      <c r="B423" t="s">
        <v>7</v>
      </c>
      <c r="C423">
        <v>14</v>
      </c>
      <c r="D423">
        <v>199</v>
      </c>
      <c r="E423" t="s">
        <v>8</v>
      </c>
      <c r="F423" t="s">
        <v>9</v>
      </c>
      <c r="G423" t="s">
        <v>12</v>
      </c>
      <c r="H423">
        <v>0</v>
      </c>
    </row>
    <row r="424" spans="1:8" x14ac:dyDescent="0.35">
      <c r="A424">
        <v>19325</v>
      </c>
      <c r="B424" t="s">
        <v>11</v>
      </c>
      <c r="C424">
        <v>6</v>
      </c>
      <c r="D424">
        <v>81</v>
      </c>
      <c r="E424" t="s">
        <v>8</v>
      </c>
      <c r="F424" t="s">
        <v>9</v>
      </c>
      <c r="G424" t="s">
        <v>10</v>
      </c>
      <c r="H424">
        <v>0</v>
      </c>
    </row>
    <row r="425" spans="1:8" x14ac:dyDescent="0.35">
      <c r="A425">
        <v>15269</v>
      </c>
      <c r="B425" t="s">
        <v>7</v>
      </c>
      <c r="C425">
        <v>12</v>
      </c>
      <c r="D425">
        <v>292</v>
      </c>
      <c r="E425" t="s">
        <v>8</v>
      </c>
      <c r="F425" t="s">
        <v>13</v>
      </c>
      <c r="G425" t="s">
        <v>12</v>
      </c>
      <c r="H425">
        <v>0</v>
      </c>
    </row>
    <row r="426" spans="1:8" x14ac:dyDescent="0.35">
      <c r="A426">
        <v>16433</v>
      </c>
      <c r="B426" t="s">
        <v>11</v>
      </c>
      <c r="C426">
        <v>8</v>
      </c>
      <c r="D426">
        <v>277</v>
      </c>
      <c r="E426" t="s">
        <v>8</v>
      </c>
      <c r="F426" t="s">
        <v>9</v>
      </c>
      <c r="G426" t="s">
        <v>10</v>
      </c>
      <c r="H426">
        <v>0</v>
      </c>
    </row>
    <row r="427" spans="1:8" x14ac:dyDescent="0.35">
      <c r="A427">
        <v>13996</v>
      </c>
      <c r="B427" t="s">
        <v>7</v>
      </c>
      <c r="C427">
        <v>13</v>
      </c>
      <c r="D427">
        <v>134</v>
      </c>
      <c r="E427" t="s">
        <v>15</v>
      </c>
      <c r="F427" t="s">
        <v>13</v>
      </c>
      <c r="G427" t="s">
        <v>12</v>
      </c>
      <c r="H427">
        <v>1</v>
      </c>
    </row>
    <row r="428" spans="1:8" x14ac:dyDescent="0.35">
      <c r="A428">
        <v>13543</v>
      </c>
      <c r="B428" t="s">
        <v>11</v>
      </c>
      <c r="C428">
        <v>2</v>
      </c>
      <c r="D428">
        <v>258</v>
      </c>
      <c r="E428" t="s">
        <v>8</v>
      </c>
      <c r="F428" t="s">
        <v>13</v>
      </c>
      <c r="G428" t="s">
        <v>16</v>
      </c>
      <c r="H428">
        <v>0</v>
      </c>
    </row>
    <row r="429" spans="1:8" x14ac:dyDescent="0.35">
      <c r="A429">
        <v>15501</v>
      </c>
      <c r="B429" t="s">
        <v>11</v>
      </c>
      <c r="C429">
        <v>7</v>
      </c>
      <c r="D429">
        <v>228</v>
      </c>
      <c r="E429" t="s">
        <v>15</v>
      </c>
      <c r="F429" t="s">
        <v>13</v>
      </c>
      <c r="G429" t="s">
        <v>16</v>
      </c>
      <c r="H429">
        <v>1</v>
      </c>
    </row>
    <row r="430" spans="1:8" x14ac:dyDescent="0.35">
      <c r="A430">
        <v>10327</v>
      </c>
      <c r="B430" t="s">
        <v>11</v>
      </c>
      <c r="C430">
        <v>8</v>
      </c>
      <c r="D430">
        <v>336</v>
      </c>
      <c r="E430" t="s">
        <v>8</v>
      </c>
      <c r="F430" t="s">
        <v>9</v>
      </c>
      <c r="G430" t="s">
        <v>14</v>
      </c>
      <c r="H430">
        <v>0</v>
      </c>
    </row>
    <row r="431" spans="1:8" x14ac:dyDescent="0.35">
      <c r="A431">
        <v>11474</v>
      </c>
      <c r="B431" t="s">
        <v>7</v>
      </c>
      <c r="C431">
        <v>3</v>
      </c>
      <c r="D431">
        <v>380</v>
      </c>
      <c r="E431" t="s">
        <v>8</v>
      </c>
      <c r="F431" t="s">
        <v>13</v>
      </c>
      <c r="G431" t="s">
        <v>16</v>
      </c>
      <c r="H431">
        <v>0</v>
      </c>
    </row>
    <row r="432" spans="1:8" x14ac:dyDescent="0.35">
      <c r="A432">
        <v>13591</v>
      </c>
      <c r="B432" t="s">
        <v>11</v>
      </c>
      <c r="C432">
        <v>4</v>
      </c>
      <c r="D432">
        <v>102</v>
      </c>
      <c r="E432" t="s">
        <v>8</v>
      </c>
      <c r="F432" t="s">
        <v>13</v>
      </c>
      <c r="G432" t="s">
        <v>16</v>
      </c>
      <c r="H432">
        <v>0</v>
      </c>
    </row>
    <row r="433" spans="1:8" x14ac:dyDescent="0.35">
      <c r="A433">
        <v>19181</v>
      </c>
      <c r="B433" t="s">
        <v>11</v>
      </c>
      <c r="C433">
        <v>5</v>
      </c>
      <c r="D433">
        <v>179</v>
      </c>
      <c r="E433" t="s">
        <v>15</v>
      </c>
      <c r="F433" t="s">
        <v>13</v>
      </c>
      <c r="G433" t="s">
        <v>14</v>
      </c>
      <c r="H433">
        <v>1</v>
      </c>
    </row>
    <row r="434" spans="1:8" x14ac:dyDescent="0.35">
      <c r="A434">
        <v>14361</v>
      </c>
      <c r="B434" t="s">
        <v>7</v>
      </c>
      <c r="C434">
        <v>5</v>
      </c>
      <c r="D434">
        <v>193</v>
      </c>
      <c r="E434" t="s">
        <v>8</v>
      </c>
      <c r="F434" t="s">
        <v>13</v>
      </c>
      <c r="G434" t="s">
        <v>16</v>
      </c>
      <c r="H434">
        <v>0</v>
      </c>
    </row>
    <row r="435" spans="1:8" x14ac:dyDescent="0.35">
      <c r="A435">
        <v>17550</v>
      </c>
      <c r="B435" t="s">
        <v>11</v>
      </c>
      <c r="C435">
        <v>9</v>
      </c>
      <c r="D435">
        <v>180</v>
      </c>
      <c r="E435" t="s">
        <v>8</v>
      </c>
      <c r="F435" t="s">
        <v>13</v>
      </c>
      <c r="G435" t="s">
        <v>16</v>
      </c>
      <c r="H435">
        <v>0</v>
      </c>
    </row>
    <row r="436" spans="1:8" x14ac:dyDescent="0.35">
      <c r="A436">
        <v>14134</v>
      </c>
      <c r="B436" t="s">
        <v>7</v>
      </c>
      <c r="C436">
        <v>3</v>
      </c>
      <c r="D436">
        <v>360</v>
      </c>
      <c r="E436" t="s">
        <v>8</v>
      </c>
      <c r="F436" t="s">
        <v>13</v>
      </c>
      <c r="G436" t="s">
        <v>14</v>
      </c>
      <c r="H436">
        <v>0</v>
      </c>
    </row>
    <row r="437" spans="1:8" x14ac:dyDescent="0.35">
      <c r="A437">
        <v>14555</v>
      </c>
      <c r="B437" t="s">
        <v>7</v>
      </c>
      <c r="C437">
        <v>11</v>
      </c>
      <c r="D437">
        <v>348</v>
      </c>
      <c r="E437" t="s">
        <v>8</v>
      </c>
      <c r="F437" t="s">
        <v>13</v>
      </c>
      <c r="G437" t="s">
        <v>10</v>
      </c>
      <c r="H437">
        <v>0</v>
      </c>
    </row>
    <row r="438" spans="1:8" x14ac:dyDescent="0.35">
      <c r="A438">
        <v>19084</v>
      </c>
      <c r="B438" t="s">
        <v>7</v>
      </c>
      <c r="C438">
        <v>5</v>
      </c>
      <c r="D438">
        <v>390</v>
      </c>
      <c r="E438" t="s">
        <v>8</v>
      </c>
      <c r="F438" t="s">
        <v>9</v>
      </c>
      <c r="G438" t="s">
        <v>10</v>
      </c>
      <c r="H438">
        <v>0</v>
      </c>
    </row>
    <row r="439" spans="1:8" x14ac:dyDescent="0.35">
      <c r="A439">
        <v>12570</v>
      </c>
      <c r="B439" t="s">
        <v>7</v>
      </c>
      <c r="C439">
        <v>13</v>
      </c>
      <c r="D439">
        <v>201</v>
      </c>
      <c r="E439" t="s">
        <v>8</v>
      </c>
      <c r="F439" t="s">
        <v>9</v>
      </c>
      <c r="G439" t="s">
        <v>16</v>
      </c>
      <c r="H439">
        <v>0</v>
      </c>
    </row>
    <row r="440" spans="1:8" x14ac:dyDescent="0.35">
      <c r="A440">
        <v>14282</v>
      </c>
      <c r="B440" t="s">
        <v>11</v>
      </c>
      <c r="C440">
        <v>1</v>
      </c>
      <c r="D440">
        <v>381</v>
      </c>
      <c r="E440" t="s">
        <v>8</v>
      </c>
      <c r="F440" t="s">
        <v>13</v>
      </c>
      <c r="G440" t="s">
        <v>16</v>
      </c>
      <c r="H440">
        <v>0</v>
      </c>
    </row>
    <row r="441" spans="1:8" x14ac:dyDescent="0.35">
      <c r="A441">
        <v>12258</v>
      </c>
      <c r="B441" t="s">
        <v>7</v>
      </c>
      <c r="C441">
        <v>11</v>
      </c>
      <c r="D441">
        <v>440</v>
      </c>
      <c r="E441" t="s">
        <v>8</v>
      </c>
      <c r="F441" t="s">
        <v>13</v>
      </c>
      <c r="G441" t="s">
        <v>10</v>
      </c>
      <c r="H441">
        <v>0</v>
      </c>
    </row>
    <row r="442" spans="1:8" x14ac:dyDescent="0.35">
      <c r="A442">
        <v>15019</v>
      </c>
      <c r="B442" t="s">
        <v>11</v>
      </c>
      <c r="C442">
        <v>9</v>
      </c>
      <c r="D442">
        <v>338</v>
      </c>
      <c r="E442" t="s">
        <v>8</v>
      </c>
      <c r="F442" t="s">
        <v>13</v>
      </c>
      <c r="G442" t="s">
        <v>10</v>
      </c>
      <c r="H442">
        <v>0</v>
      </c>
    </row>
    <row r="443" spans="1:8" x14ac:dyDescent="0.35">
      <c r="A443">
        <v>18740</v>
      </c>
      <c r="B443" t="s">
        <v>11</v>
      </c>
      <c r="C443">
        <v>5</v>
      </c>
      <c r="D443">
        <v>407</v>
      </c>
      <c r="E443" t="s">
        <v>8</v>
      </c>
      <c r="F443" t="s">
        <v>13</v>
      </c>
      <c r="G443" t="s">
        <v>14</v>
      </c>
      <c r="H443">
        <v>0</v>
      </c>
    </row>
    <row r="444" spans="1:8" x14ac:dyDescent="0.35">
      <c r="A444">
        <v>12562</v>
      </c>
      <c r="B444" t="s">
        <v>11</v>
      </c>
      <c r="C444">
        <v>1</v>
      </c>
      <c r="D444">
        <v>203</v>
      </c>
      <c r="E444" t="s">
        <v>8</v>
      </c>
      <c r="F444" t="s">
        <v>9</v>
      </c>
      <c r="G444" t="s">
        <v>12</v>
      </c>
      <c r="H444">
        <v>0</v>
      </c>
    </row>
    <row r="445" spans="1:8" x14ac:dyDescent="0.35">
      <c r="A445">
        <v>14999</v>
      </c>
      <c r="B445" t="s">
        <v>7</v>
      </c>
      <c r="C445">
        <v>7</v>
      </c>
      <c r="D445">
        <v>140</v>
      </c>
      <c r="E445" t="s">
        <v>15</v>
      </c>
      <c r="F445" t="s">
        <v>13</v>
      </c>
      <c r="G445" t="s">
        <v>16</v>
      </c>
      <c r="H445">
        <v>1</v>
      </c>
    </row>
    <row r="446" spans="1:8" x14ac:dyDescent="0.35">
      <c r="A446">
        <v>19508</v>
      </c>
      <c r="B446" t="s">
        <v>7</v>
      </c>
      <c r="C446">
        <v>14</v>
      </c>
      <c r="D446">
        <v>358</v>
      </c>
      <c r="E446" t="s">
        <v>8</v>
      </c>
      <c r="F446" t="s">
        <v>13</v>
      </c>
      <c r="G446" t="s">
        <v>12</v>
      </c>
      <c r="H446">
        <v>0</v>
      </c>
    </row>
    <row r="447" spans="1:8" x14ac:dyDescent="0.35">
      <c r="A447">
        <v>10931</v>
      </c>
      <c r="B447" t="s">
        <v>7</v>
      </c>
      <c r="C447">
        <v>10</v>
      </c>
      <c r="D447">
        <v>103</v>
      </c>
      <c r="E447" t="s">
        <v>8</v>
      </c>
      <c r="F447" t="s">
        <v>13</v>
      </c>
      <c r="G447" t="s">
        <v>12</v>
      </c>
      <c r="H447">
        <v>0</v>
      </c>
    </row>
    <row r="448" spans="1:8" x14ac:dyDescent="0.35">
      <c r="A448">
        <v>19901</v>
      </c>
      <c r="B448" t="s">
        <v>7</v>
      </c>
      <c r="C448">
        <v>2</v>
      </c>
      <c r="D448">
        <v>406</v>
      </c>
      <c r="E448" t="s">
        <v>8</v>
      </c>
      <c r="F448" t="s">
        <v>13</v>
      </c>
      <c r="G448" t="s">
        <v>16</v>
      </c>
      <c r="H448">
        <v>0</v>
      </c>
    </row>
    <row r="449" spans="1:8" x14ac:dyDescent="0.35">
      <c r="A449">
        <v>10335</v>
      </c>
      <c r="B449" t="s">
        <v>7</v>
      </c>
      <c r="C449">
        <v>3</v>
      </c>
      <c r="D449">
        <v>228</v>
      </c>
      <c r="E449" t="s">
        <v>15</v>
      </c>
      <c r="F449" t="s">
        <v>9</v>
      </c>
      <c r="G449" t="s">
        <v>16</v>
      </c>
      <c r="H449">
        <v>1</v>
      </c>
    </row>
    <row r="450" spans="1:8" x14ac:dyDescent="0.35">
      <c r="A450">
        <v>19053</v>
      </c>
      <c r="B450" t="s">
        <v>7</v>
      </c>
      <c r="C450">
        <v>2</v>
      </c>
      <c r="D450">
        <v>322</v>
      </c>
      <c r="E450" t="s">
        <v>8</v>
      </c>
      <c r="F450" t="s">
        <v>9</v>
      </c>
      <c r="G450" t="s">
        <v>14</v>
      </c>
      <c r="H450">
        <v>0</v>
      </c>
    </row>
    <row r="451" spans="1:8" x14ac:dyDescent="0.35">
      <c r="A451">
        <v>18612</v>
      </c>
      <c r="B451" t="s">
        <v>11</v>
      </c>
      <c r="C451">
        <v>10</v>
      </c>
      <c r="D451">
        <v>142</v>
      </c>
      <c r="E451" t="s">
        <v>8</v>
      </c>
      <c r="F451" t="s">
        <v>9</v>
      </c>
      <c r="G451" t="s">
        <v>12</v>
      </c>
      <c r="H451">
        <v>0</v>
      </c>
    </row>
    <row r="452" spans="1:8" x14ac:dyDescent="0.35">
      <c r="A452">
        <v>19589</v>
      </c>
      <c r="B452" t="s">
        <v>7</v>
      </c>
      <c r="C452">
        <v>1</v>
      </c>
      <c r="D452">
        <v>175</v>
      </c>
      <c r="E452" t="s">
        <v>15</v>
      </c>
      <c r="F452" t="s">
        <v>13</v>
      </c>
      <c r="G452" t="s">
        <v>10</v>
      </c>
      <c r="H452">
        <v>1</v>
      </c>
    </row>
    <row r="453" spans="1:8" x14ac:dyDescent="0.35">
      <c r="A453">
        <v>11248</v>
      </c>
      <c r="B453" t="s">
        <v>7</v>
      </c>
      <c r="C453">
        <v>14</v>
      </c>
      <c r="D453">
        <v>241</v>
      </c>
      <c r="E453" t="s">
        <v>8</v>
      </c>
      <c r="F453" t="s">
        <v>9</v>
      </c>
      <c r="G453" t="s">
        <v>14</v>
      </c>
      <c r="H453">
        <v>0</v>
      </c>
    </row>
    <row r="454" spans="1:8" x14ac:dyDescent="0.35">
      <c r="A454">
        <v>17102</v>
      </c>
      <c r="B454" t="s">
        <v>7</v>
      </c>
      <c r="C454">
        <v>5</v>
      </c>
      <c r="D454">
        <v>239</v>
      </c>
      <c r="E454" t="s">
        <v>8</v>
      </c>
      <c r="F454" t="s">
        <v>13</v>
      </c>
      <c r="G454" t="s">
        <v>12</v>
      </c>
      <c r="H454">
        <v>0</v>
      </c>
    </row>
    <row r="455" spans="1:8" x14ac:dyDescent="0.35">
      <c r="A455">
        <v>14189</v>
      </c>
      <c r="B455" t="s">
        <v>11</v>
      </c>
      <c r="C455">
        <v>6</v>
      </c>
      <c r="D455">
        <v>197</v>
      </c>
      <c r="E455" t="s">
        <v>8</v>
      </c>
      <c r="F455" t="s">
        <v>9</v>
      </c>
      <c r="G455" t="s">
        <v>12</v>
      </c>
      <c r="H455">
        <v>0</v>
      </c>
    </row>
    <row r="456" spans="1:8" x14ac:dyDescent="0.35">
      <c r="A456">
        <v>10057</v>
      </c>
      <c r="B456" t="s">
        <v>7</v>
      </c>
      <c r="C456">
        <v>8</v>
      </c>
      <c r="D456">
        <v>217</v>
      </c>
      <c r="E456" t="s">
        <v>8</v>
      </c>
      <c r="F456" t="s">
        <v>13</v>
      </c>
      <c r="G456" t="s">
        <v>14</v>
      </c>
      <c r="H456">
        <v>0</v>
      </c>
    </row>
    <row r="457" spans="1:8" x14ac:dyDescent="0.35">
      <c r="A457">
        <v>14355</v>
      </c>
      <c r="B457" t="s">
        <v>11</v>
      </c>
      <c r="C457">
        <v>2</v>
      </c>
      <c r="D457">
        <v>428</v>
      </c>
      <c r="E457" t="s">
        <v>8</v>
      </c>
      <c r="F457" t="s">
        <v>13</v>
      </c>
      <c r="G457" t="s">
        <v>10</v>
      </c>
      <c r="H457">
        <v>0</v>
      </c>
    </row>
    <row r="458" spans="1:8" x14ac:dyDescent="0.35">
      <c r="A458">
        <v>12781</v>
      </c>
      <c r="B458" t="s">
        <v>11</v>
      </c>
      <c r="C458">
        <v>1</v>
      </c>
      <c r="D458">
        <v>388</v>
      </c>
      <c r="E458" t="s">
        <v>15</v>
      </c>
      <c r="F458" t="s">
        <v>9</v>
      </c>
      <c r="G458" t="s">
        <v>16</v>
      </c>
      <c r="H458">
        <v>1</v>
      </c>
    </row>
    <row r="459" spans="1:8" x14ac:dyDescent="0.35">
      <c r="A459">
        <v>10940</v>
      </c>
      <c r="B459" t="s">
        <v>11</v>
      </c>
      <c r="C459">
        <v>9</v>
      </c>
      <c r="D459">
        <v>44</v>
      </c>
      <c r="E459" t="s">
        <v>8</v>
      </c>
      <c r="F459" t="s">
        <v>9</v>
      </c>
      <c r="G459" t="s">
        <v>14</v>
      </c>
      <c r="H459">
        <v>0</v>
      </c>
    </row>
    <row r="460" spans="1:8" x14ac:dyDescent="0.35">
      <c r="A460">
        <v>16782</v>
      </c>
      <c r="B460" t="s">
        <v>7</v>
      </c>
      <c r="C460">
        <v>11</v>
      </c>
      <c r="D460">
        <v>408</v>
      </c>
      <c r="E460" t="s">
        <v>8</v>
      </c>
      <c r="F460" t="s">
        <v>9</v>
      </c>
      <c r="G460" t="s">
        <v>16</v>
      </c>
      <c r="H460">
        <v>0</v>
      </c>
    </row>
    <row r="461" spans="1:8" x14ac:dyDescent="0.35">
      <c r="A461">
        <v>11384</v>
      </c>
      <c r="B461" t="s">
        <v>7</v>
      </c>
      <c r="C461">
        <v>12</v>
      </c>
      <c r="D461">
        <v>261</v>
      </c>
      <c r="E461" t="s">
        <v>8</v>
      </c>
      <c r="F461" t="s">
        <v>9</v>
      </c>
      <c r="G461" t="s">
        <v>14</v>
      </c>
      <c r="H461">
        <v>0</v>
      </c>
    </row>
    <row r="462" spans="1:8" x14ac:dyDescent="0.35">
      <c r="A462">
        <v>16008</v>
      </c>
      <c r="B462" t="s">
        <v>11</v>
      </c>
      <c r="C462">
        <v>11</v>
      </c>
      <c r="D462">
        <v>248</v>
      </c>
      <c r="E462" t="s">
        <v>8</v>
      </c>
      <c r="F462" t="s">
        <v>13</v>
      </c>
      <c r="G462" t="s">
        <v>10</v>
      </c>
      <c r="H462">
        <v>0</v>
      </c>
    </row>
    <row r="463" spans="1:8" x14ac:dyDescent="0.35">
      <c r="A463">
        <v>12322</v>
      </c>
      <c r="B463" t="s">
        <v>11</v>
      </c>
      <c r="C463">
        <v>7</v>
      </c>
      <c r="D463">
        <v>431</v>
      </c>
      <c r="E463" t="s">
        <v>8</v>
      </c>
      <c r="F463" t="s">
        <v>9</v>
      </c>
      <c r="G463" t="s">
        <v>14</v>
      </c>
      <c r="H463">
        <v>0</v>
      </c>
    </row>
    <row r="464" spans="1:8" x14ac:dyDescent="0.35">
      <c r="A464">
        <v>14768</v>
      </c>
      <c r="B464" t="s">
        <v>11</v>
      </c>
      <c r="C464">
        <v>2</v>
      </c>
      <c r="D464">
        <v>114</v>
      </c>
      <c r="E464" t="s">
        <v>8</v>
      </c>
      <c r="F464" t="s">
        <v>13</v>
      </c>
      <c r="G464" t="s">
        <v>16</v>
      </c>
      <c r="H464">
        <v>0</v>
      </c>
    </row>
    <row r="465" spans="1:8" x14ac:dyDescent="0.35">
      <c r="A465">
        <v>18440</v>
      </c>
      <c r="B465" t="s">
        <v>11</v>
      </c>
      <c r="C465">
        <v>7</v>
      </c>
      <c r="D465">
        <v>132</v>
      </c>
      <c r="E465" t="s">
        <v>8</v>
      </c>
      <c r="F465" t="s">
        <v>9</v>
      </c>
      <c r="G465" t="s">
        <v>16</v>
      </c>
      <c r="H465">
        <v>0</v>
      </c>
    </row>
    <row r="466" spans="1:8" x14ac:dyDescent="0.35">
      <c r="A466">
        <v>12921</v>
      </c>
      <c r="B466" t="s">
        <v>11</v>
      </c>
      <c r="C466">
        <v>4</v>
      </c>
      <c r="D466">
        <v>157</v>
      </c>
      <c r="E466" t="s">
        <v>15</v>
      </c>
      <c r="F466" t="s">
        <v>9</v>
      </c>
      <c r="G466" t="s">
        <v>14</v>
      </c>
      <c r="H466">
        <v>1</v>
      </c>
    </row>
    <row r="467" spans="1:8" x14ac:dyDescent="0.35">
      <c r="A467">
        <v>14395</v>
      </c>
      <c r="B467" t="s">
        <v>11</v>
      </c>
      <c r="C467">
        <v>8</v>
      </c>
      <c r="D467">
        <v>62</v>
      </c>
      <c r="E467" t="s">
        <v>8</v>
      </c>
      <c r="F467" t="s">
        <v>13</v>
      </c>
      <c r="G467" t="s">
        <v>16</v>
      </c>
      <c r="H467">
        <v>0</v>
      </c>
    </row>
    <row r="468" spans="1:8" x14ac:dyDescent="0.35">
      <c r="A468">
        <v>13613</v>
      </c>
      <c r="B468" t="s">
        <v>7</v>
      </c>
      <c r="C468">
        <v>9</v>
      </c>
      <c r="D468">
        <v>292</v>
      </c>
      <c r="E468" t="s">
        <v>8</v>
      </c>
      <c r="F468" t="s">
        <v>13</v>
      </c>
      <c r="G468" t="s">
        <v>12</v>
      </c>
      <c r="H468">
        <v>0</v>
      </c>
    </row>
    <row r="469" spans="1:8" x14ac:dyDescent="0.35">
      <c r="A469">
        <v>12761</v>
      </c>
      <c r="B469" t="s">
        <v>11</v>
      </c>
      <c r="C469">
        <v>13</v>
      </c>
      <c r="D469">
        <v>267</v>
      </c>
      <c r="E469" t="s">
        <v>8</v>
      </c>
      <c r="F469" t="s">
        <v>13</v>
      </c>
      <c r="G469" t="s">
        <v>12</v>
      </c>
      <c r="H469">
        <v>0</v>
      </c>
    </row>
    <row r="470" spans="1:8" x14ac:dyDescent="0.35">
      <c r="A470">
        <v>11699</v>
      </c>
      <c r="B470" t="s">
        <v>7</v>
      </c>
      <c r="C470">
        <v>7</v>
      </c>
      <c r="D470">
        <v>239</v>
      </c>
      <c r="E470" t="s">
        <v>8</v>
      </c>
      <c r="F470" t="s">
        <v>13</v>
      </c>
      <c r="G470" t="s">
        <v>16</v>
      </c>
      <c r="H470">
        <v>0</v>
      </c>
    </row>
    <row r="471" spans="1:8" x14ac:dyDescent="0.35">
      <c r="A471">
        <v>16144</v>
      </c>
      <c r="B471" t="s">
        <v>7</v>
      </c>
      <c r="C471">
        <v>6</v>
      </c>
      <c r="D471">
        <v>246</v>
      </c>
      <c r="E471" t="s">
        <v>8</v>
      </c>
      <c r="F471" t="s">
        <v>13</v>
      </c>
      <c r="G471" t="s">
        <v>16</v>
      </c>
      <c r="H471">
        <v>0</v>
      </c>
    </row>
    <row r="472" spans="1:8" x14ac:dyDescent="0.35">
      <c r="A472">
        <v>19469</v>
      </c>
      <c r="B472" t="s">
        <v>11</v>
      </c>
      <c r="C472">
        <v>8</v>
      </c>
      <c r="D472">
        <v>305</v>
      </c>
      <c r="E472" t="s">
        <v>8</v>
      </c>
      <c r="F472" t="s">
        <v>13</v>
      </c>
      <c r="G472" t="s">
        <v>12</v>
      </c>
      <c r="H472">
        <v>0</v>
      </c>
    </row>
    <row r="473" spans="1:8" x14ac:dyDescent="0.35">
      <c r="A473">
        <v>16262</v>
      </c>
      <c r="B473" t="s">
        <v>7</v>
      </c>
      <c r="C473">
        <v>9</v>
      </c>
      <c r="D473">
        <v>327</v>
      </c>
      <c r="E473" t="s">
        <v>15</v>
      </c>
      <c r="F473" t="s">
        <v>9</v>
      </c>
      <c r="G473" t="s">
        <v>16</v>
      </c>
      <c r="H473">
        <v>1</v>
      </c>
    </row>
    <row r="474" spans="1:8" x14ac:dyDescent="0.35">
      <c r="A474">
        <v>19049</v>
      </c>
      <c r="B474" t="s">
        <v>11</v>
      </c>
      <c r="C474">
        <v>2</v>
      </c>
      <c r="D474">
        <v>253</v>
      </c>
      <c r="E474" t="s">
        <v>8</v>
      </c>
      <c r="F474" t="s">
        <v>13</v>
      </c>
      <c r="G474" t="s">
        <v>12</v>
      </c>
      <c r="H474">
        <v>0</v>
      </c>
    </row>
    <row r="475" spans="1:8" x14ac:dyDescent="0.35">
      <c r="A475">
        <v>13355</v>
      </c>
      <c r="B475" t="s">
        <v>11</v>
      </c>
      <c r="C475">
        <v>8</v>
      </c>
      <c r="D475">
        <v>124</v>
      </c>
      <c r="E475" t="s">
        <v>15</v>
      </c>
      <c r="F475" t="s">
        <v>13</v>
      </c>
      <c r="G475" t="s">
        <v>16</v>
      </c>
      <c r="H475">
        <v>1</v>
      </c>
    </row>
    <row r="476" spans="1:8" x14ac:dyDescent="0.35">
      <c r="A476">
        <v>17166</v>
      </c>
      <c r="B476" t="s">
        <v>11</v>
      </c>
      <c r="C476">
        <v>5</v>
      </c>
      <c r="D476">
        <v>203</v>
      </c>
      <c r="E476" t="s">
        <v>8</v>
      </c>
      <c r="F476" t="s">
        <v>9</v>
      </c>
      <c r="G476" t="s">
        <v>10</v>
      </c>
      <c r="H476">
        <v>0</v>
      </c>
    </row>
    <row r="477" spans="1:8" x14ac:dyDescent="0.35">
      <c r="A477">
        <v>13470</v>
      </c>
      <c r="B477" t="s">
        <v>11</v>
      </c>
      <c r="C477">
        <v>3</v>
      </c>
      <c r="D477">
        <v>242</v>
      </c>
      <c r="E477" t="s">
        <v>8</v>
      </c>
      <c r="F477" t="s">
        <v>13</v>
      </c>
      <c r="G477" t="s">
        <v>12</v>
      </c>
      <c r="H477">
        <v>0</v>
      </c>
    </row>
    <row r="478" spans="1:8" x14ac:dyDescent="0.35">
      <c r="A478">
        <v>14839</v>
      </c>
      <c r="B478" t="s">
        <v>11</v>
      </c>
      <c r="C478">
        <v>10</v>
      </c>
      <c r="D478">
        <v>75</v>
      </c>
      <c r="E478" t="s">
        <v>8</v>
      </c>
      <c r="F478" t="s">
        <v>9</v>
      </c>
      <c r="G478" t="s">
        <v>14</v>
      </c>
      <c r="H478">
        <v>0</v>
      </c>
    </row>
    <row r="479" spans="1:8" x14ac:dyDescent="0.35">
      <c r="A479">
        <v>16349</v>
      </c>
      <c r="B479" t="s">
        <v>11</v>
      </c>
      <c r="C479">
        <v>4</v>
      </c>
      <c r="D479">
        <v>268</v>
      </c>
      <c r="E479" t="s">
        <v>8</v>
      </c>
      <c r="F479" t="s">
        <v>13</v>
      </c>
      <c r="G479" t="s">
        <v>14</v>
      </c>
      <c r="H479">
        <v>0</v>
      </c>
    </row>
    <row r="480" spans="1:8" x14ac:dyDescent="0.35">
      <c r="A480">
        <v>15068</v>
      </c>
      <c r="B480" t="s">
        <v>7</v>
      </c>
      <c r="C480">
        <v>8</v>
      </c>
      <c r="D480">
        <v>132</v>
      </c>
      <c r="E480" t="s">
        <v>8</v>
      </c>
      <c r="F480" t="s">
        <v>9</v>
      </c>
      <c r="G480" t="s">
        <v>10</v>
      </c>
      <c r="H480">
        <v>0</v>
      </c>
    </row>
    <row r="481" spans="1:8" x14ac:dyDescent="0.35">
      <c r="A481">
        <v>13368</v>
      </c>
      <c r="B481" t="s">
        <v>7</v>
      </c>
      <c r="C481">
        <v>14</v>
      </c>
      <c r="D481">
        <v>364</v>
      </c>
      <c r="E481" t="s">
        <v>8</v>
      </c>
      <c r="F481" t="s">
        <v>9</v>
      </c>
      <c r="G481" t="s">
        <v>16</v>
      </c>
      <c r="H481">
        <v>0</v>
      </c>
    </row>
    <row r="482" spans="1:8" x14ac:dyDescent="0.35">
      <c r="A482">
        <v>19039</v>
      </c>
      <c r="B482" t="s">
        <v>11</v>
      </c>
      <c r="C482">
        <v>4</v>
      </c>
      <c r="D482">
        <v>340</v>
      </c>
      <c r="E482" t="s">
        <v>8</v>
      </c>
      <c r="F482" t="s">
        <v>9</v>
      </c>
      <c r="G482" t="s">
        <v>14</v>
      </c>
      <c r="H482">
        <v>0</v>
      </c>
    </row>
    <row r="483" spans="1:8" x14ac:dyDescent="0.35">
      <c r="A483">
        <v>16636</v>
      </c>
      <c r="B483" t="s">
        <v>11</v>
      </c>
      <c r="C483">
        <v>5</v>
      </c>
      <c r="D483">
        <v>79</v>
      </c>
      <c r="E483" t="s">
        <v>8</v>
      </c>
      <c r="F483" t="s">
        <v>9</v>
      </c>
      <c r="G483" t="s">
        <v>16</v>
      </c>
      <c r="H483">
        <v>0</v>
      </c>
    </row>
    <row r="484" spans="1:8" x14ac:dyDescent="0.35">
      <c r="A484">
        <v>14649</v>
      </c>
      <c r="B484" t="s">
        <v>11</v>
      </c>
      <c r="C484">
        <v>4</v>
      </c>
      <c r="D484">
        <v>244</v>
      </c>
      <c r="E484" t="s">
        <v>8</v>
      </c>
      <c r="F484" t="s">
        <v>13</v>
      </c>
      <c r="G484" t="s">
        <v>14</v>
      </c>
      <c r="H484">
        <v>0</v>
      </c>
    </row>
    <row r="485" spans="1:8" x14ac:dyDescent="0.35">
      <c r="A485">
        <v>12687</v>
      </c>
      <c r="B485" t="s">
        <v>7</v>
      </c>
      <c r="C485">
        <v>10</v>
      </c>
      <c r="D485">
        <v>187</v>
      </c>
      <c r="E485" t="s">
        <v>8</v>
      </c>
      <c r="F485" t="s">
        <v>13</v>
      </c>
      <c r="G485" t="s">
        <v>12</v>
      </c>
      <c r="H485">
        <v>0</v>
      </c>
    </row>
    <row r="486" spans="1:8" x14ac:dyDescent="0.35">
      <c r="A486">
        <v>12852</v>
      </c>
      <c r="B486" t="s">
        <v>11</v>
      </c>
      <c r="C486">
        <v>6</v>
      </c>
      <c r="D486">
        <v>99</v>
      </c>
      <c r="E486" t="s">
        <v>15</v>
      </c>
      <c r="F486" t="s">
        <v>9</v>
      </c>
      <c r="G486" t="s">
        <v>16</v>
      </c>
      <c r="H486">
        <v>1</v>
      </c>
    </row>
    <row r="487" spans="1:8" x14ac:dyDescent="0.35">
      <c r="A487">
        <v>18233</v>
      </c>
      <c r="B487" t="s">
        <v>11</v>
      </c>
      <c r="C487">
        <v>9</v>
      </c>
      <c r="D487">
        <v>433</v>
      </c>
      <c r="E487" t="s">
        <v>8</v>
      </c>
      <c r="F487" t="s">
        <v>9</v>
      </c>
      <c r="G487" t="s">
        <v>16</v>
      </c>
      <c r="H487">
        <v>0</v>
      </c>
    </row>
    <row r="488" spans="1:8" x14ac:dyDescent="0.35">
      <c r="A488">
        <v>11060</v>
      </c>
      <c r="B488" t="s">
        <v>7</v>
      </c>
      <c r="C488">
        <v>5</v>
      </c>
      <c r="D488">
        <v>199</v>
      </c>
      <c r="E488" t="s">
        <v>8</v>
      </c>
      <c r="F488" t="s">
        <v>9</v>
      </c>
      <c r="G488" t="s">
        <v>10</v>
      </c>
      <c r="H488">
        <v>0</v>
      </c>
    </row>
    <row r="489" spans="1:8" x14ac:dyDescent="0.35">
      <c r="A489">
        <v>18132</v>
      </c>
      <c r="B489" t="s">
        <v>11</v>
      </c>
      <c r="C489">
        <v>13</v>
      </c>
      <c r="D489">
        <v>252</v>
      </c>
      <c r="E489" t="s">
        <v>8</v>
      </c>
      <c r="F489" t="s">
        <v>9</v>
      </c>
      <c r="G489" t="s">
        <v>12</v>
      </c>
      <c r="H489">
        <v>0</v>
      </c>
    </row>
    <row r="490" spans="1:8" x14ac:dyDescent="0.35">
      <c r="A490">
        <v>15847</v>
      </c>
      <c r="B490" t="s">
        <v>11</v>
      </c>
      <c r="C490">
        <v>13</v>
      </c>
      <c r="D490">
        <v>243</v>
      </c>
      <c r="E490" t="s">
        <v>8</v>
      </c>
      <c r="F490" t="s">
        <v>13</v>
      </c>
      <c r="G490" t="s">
        <v>10</v>
      </c>
      <c r="H490">
        <v>0</v>
      </c>
    </row>
    <row r="491" spans="1:8" x14ac:dyDescent="0.35">
      <c r="A491">
        <v>11508</v>
      </c>
      <c r="B491" t="s">
        <v>7</v>
      </c>
      <c r="C491">
        <v>6</v>
      </c>
      <c r="D491">
        <v>387</v>
      </c>
      <c r="E491" t="s">
        <v>8</v>
      </c>
      <c r="F491" t="s">
        <v>9</v>
      </c>
      <c r="G491" t="s">
        <v>12</v>
      </c>
      <c r="H491">
        <v>0</v>
      </c>
    </row>
    <row r="492" spans="1:8" x14ac:dyDescent="0.35">
      <c r="A492">
        <v>17229</v>
      </c>
      <c r="B492" t="s">
        <v>11</v>
      </c>
      <c r="C492">
        <v>10</v>
      </c>
      <c r="D492">
        <v>115</v>
      </c>
      <c r="E492" t="s">
        <v>8</v>
      </c>
      <c r="F492" t="s">
        <v>13</v>
      </c>
      <c r="G492" t="s">
        <v>12</v>
      </c>
      <c r="H492">
        <v>0</v>
      </c>
    </row>
    <row r="493" spans="1:8" x14ac:dyDescent="0.35">
      <c r="A493">
        <v>19784</v>
      </c>
      <c r="B493" t="s">
        <v>7</v>
      </c>
      <c r="C493">
        <v>13</v>
      </c>
      <c r="D493">
        <v>111</v>
      </c>
      <c r="E493" t="s">
        <v>15</v>
      </c>
      <c r="F493" t="s">
        <v>9</v>
      </c>
      <c r="G493" t="s">
        <v>10</v>
      </c>
      <c r="H493">
        <v>1</v>
      </c>
    </row>
    <row r="494" spans="1:8" x14ac:dyDescent="0.35">
      <c r="A494">
        <v>15310</v>
      </c>
      <c r="B494" t="s">
        <v>7</v>
      </c>
      <c r="C494">
        <v>6</v>
      </c>
      <c r="D494">
        <v>426</v>
      </c>
      <c r="E494" t="s">
        <v>8</v>
      </c>
      <c r="F494" t="s">
        <v>13</v>
      </c>
      <c r="G494" t="s">
        <v>16</v>
      </c>
      <c r="H494">
        <v>0</v>
      </c>
    </row>
    <row r="495" spans="1:8" x14ac:dyDescent="0.35">
      <c r="A495">
        <v>17948</v>
      </c>
      <c r="B495" t="s">
        <v>11</v>
      </c>
      <c r="C495">
        <v>7</v>
      </c>
      <c r="D495">
        <v>144</v>
      </c>
      <c r="E495" t="s">
        <v>8</v>
      </c>
      <c r="F495" t="s">
        <v>9</v>
      </c>
      <c r="G495" t="s">
        <v>10</v>
      </c>
      <c r="H495">
        <v>0</v>
      </c>
    </row>
    <row r="496" spans="1:8" x14ac:dyDescent="0.35">
      <c r="A496">
        <v>10532</v>
      </c>
      <c r="B496" t="s">
        <v>11</v>
      </c>
      <c r="C496">
        <v>5</v>
      </c>
      <c r="D496">
        <v>340</v>
      </c>
      <c r="E496" t="s">
        <v>8</v>
      </c>
      <c r="F496" t="s">
        <v>9</v>
      </c>
      <c r="G496" t="s">
        <v>16</v>
      </c>
      <c r="H496">
        <v>0</v>
      </c>
    </row>
    <row r="497" spans="1:8" x14ac:dyDescent="0.35">
      <c r="A497">
        <v>14080</v>
      </c>
      <c r="B497" t="s">
        <v>7</v>
      </c>
      <c r="C497">
        <v>3</v>
      </c>
      <c r="D497">
        <v>164</v>
      </c>
      <c r="E497" t="s">
        <v>8</v>
      </c>
      <c r="F497" t="s">
        <v>9</v>
      </c>
      <c r="G497" t="s">
        <v>12</v>
      </c>
      <c r="H497">
        <v>0</v>
      </c>
    </row>
    <row r="498" spans="1:8" x14ac:dyDescent="0.35">
      <c r="A498">
        <v>17354</v>
      </c>
      <c r="B498" t="s">
        <v>11</v>
      </c>
      <c r="C498">
        <v>12</v>
      </c>
      <c r="D498">
        <v>86</v>
      </c>
      <c r="E498" t="s">
        <v>8</v>
      </c>
      <c r="F498" t="s">
        <v>13</v>
      </c>
      <c r="G498" t="s">
        <v>14</v>
      </c>
      <c r="H498">
        <v>0</v>
      </c>
    </row>
    <row r="499" spans="1:8" x14ac:dyDescent="0.35">
      <c r="A499">
        <v>17006</v>
      </c>
      <c r="B499" t="s">
        <v>11</v>
      </c>
      <c r="C499">
        <v>2</v>
      </c>
      <c r="D499">
        <v>121</v>
      </c>
      <c r="E499" t="s">
        <v>8</v>
      </c>
      <c r="F499" t="s">
        <v>9</v>
      </c>
      <c r="G499" t="s">
        <v>14</v>
      </c>
      <c r="H499">
        <v>0</v>
      </c>
    </row>
    <row r="500" spans="1:8" x14ac:dyDescent="0.35">
      <c r="A500">
        <v>12551</v>
      </c>
      <c r="B500" t="s">
        <v>7</v>
      </c>
      <c r="C500">
        <v>6</v>
      </c>
      <c r="D500">
        <v>238</v>
      </c>
      <c r="E500" t="s">
        <v>8</v>
      </c>
      <c r="F500" t="s">
        <v>9</v>
      </c>
      <c r="G500" t="s">
        <v>16</v>
      </c>
      <c r="H500">
        <v>0</v>
      </c>
    </row>
    <row r="501" spans="1:8" x14ac:dyDescent="0.35">
      <c r="A501">
        <v>17136</v>
      </c>
      <c r="B501" t="s">
        <v>11</v>
      </c>
      <c r="C501">
        <v>10</v>
      </c>
      <c r="D501">
        <v>419</v>
      </c>
      <c r="E501" t="s">
        <v>8</v>
      </c>
      <c r="F501" t="s">
        <v>13</v>
      </c>
      <c r="G501" t="s">
        <v>14</v>
      </c>
      <c r="H501">
        <v>0</v>
      </c>
    </row>
    <row r="502" spans="1:8" x14ac:dyDescent="0.35">
      <c r="A502">
        <v>15304</v>
      </c>
      <c r="B502" t="s">
        <v>7</v>
      </c>
      <c r="C502">
        <v>2</v>
      </c>
      <c r="D502">
        <v>249</v>
      </c>
      <c r="E502" t="s">
        <v>15</v>
      </c>
      <c r="F502" t="s">
        <v>13</v>
      </c>
      <c r="G502" t="s">
        <v>16</v>
      </c>
      <c r="H502">
        <v>1</v>
      </c>
    </row>
    <row r="503" spans="1:8" x14ac:dyDescent="0.35">
      <c r="A503">
        <v>13685</v>
      </c>
      <c r="B503" t="s">
        <v>11</v>
      </c>
      <c r="C503">
        <v>2</v>
      </c>
      <c r="D503">
        <v>329</v>
      </c>
      <c r="E503" t="s">
        <v>8</v>
      </c>
      <c r="F503" t="s">
        <v>9</v>
      </c>
      <c r="G503" t="s">
        <v>10</v>
      </c>
      <c r="H503">
        <v>0</v>
      </c>
    </row>
    <row r="504" spans="1:8" x14ac:dyDescent="0.35">
      <c r="A504">
        <v>10536</v>
      </c>
      <c r="B504" t="s">
        <v>7</v>
      </c>
      <c r="C504">
        <v>6</v>
      </c>
      <c r="D504">
        <v>46</v>
      </c>
      <c r="E504" t="s">
        <v>8</v>
      </c>
      <c r="F504" t="s">
        <v>13</v>
      </c>
      <c r="G504" t="s">
        <v>10</v>
      </c>
      <c r="H504">
        <v>0</v>
      </c>
    </row>
    <row r="505" spans="1:8" x14ac:dyDescent="0.35">
      <c r="A505">
        <v>12136</v>
      </c>
      <c r="B505" t="s">
        <v>7</v>
      </c>
      <c r="C505">
        <v>7</v>
      </c>
      <c r="D505">
        <v>398</v>
      </c>
      <c r="E505" t="s">
        <v>8</v>
      </c>
      <c r="F505" t="s">
        <v>13</v>
      </c>
      <c r="G505" t="s">
        <v>10</v>
      </c>
      <c r="H505">
        <v>0</v>
      </c>
    </row>
    <row r="506" spans="1:8" x14ac:dyDescent="0.35">
      <c r="A506">
        <v>14812</v>
      </c>
      <c r="B506" t="s">
        <v>11</v>
      </c>
      <c r="C506">
        <v>8</v>
      </c>
      <c r="D506">
        <v>438</v>
      </c>
      <c r="E506" t="s">
        <v>8</v>
      </c>
      <c r="F506" t="s">
        <v>13</v>
      </c>
      <c r="G506" t="s">
        <v>14</v>
      </c>
      <c r="H506">
        <v>0</v>
      </c>
    </row>
    <row r="507" spans="1:8" x14ac:dyDescent="0.35">
      <c r="A507">
        <v>17290</v>
      </c>
      <c r="B507" t="s">
        <v>7</v>
      </c>
      <c r="C507">
        <v>14</v>
      </c>
      <c r="D507">
        <v>290</v>
      </c>
      <c r="E507" t="s">
        <v>15</v>
      </c>
      <c r="F507" t="s">
        <v>9</v>
      </c>
      <c r="G507" t="s">
        <v>16</v>
      </c>
      <c r="H507">
        <v>1</v>
      </c>
    </row>
    <row r="508" spans="1:8" x14ac:dyDescent="0.35">
      <c r="A508">
        <v>18923</v>
      </c>
      <c r="B508" t="s">
        <v>7</v>
      </c>
      <c r="C508">
        <v>10</v>
      </c>
      <c r="D508">
        <v>315</v>
      </c>
      <c r="E508" t="s">
        <v>8</v>
      </c>
      <c r="F508" t="s">
        <v>13</v>
      </c>
      <c r="G508" t="s">
        <v>14</v>
      </c>
      <c r="H508">
        <v>0</v>
      </c>
    </row>
    <row r="509" spans="1:8" x14ac:dyDescent="0.35">
      <c r="A509">
        <v>13044</v>
      </c>
      <c r="B509" t="s">
        <v>7</v>
      </c>
      <c r="C509">
        <v>6</v>
      </c>
      <c r="D509">
        <v>296</v>
      </c>
      <c r="E509" t="s">
        <v>8</v>
      </c>
      <c r="F509" t="s">
        <v>13</v>
      </c>
      <c r="G509" t="s">
        <v>16</v>
      </c>
      <c r="H509">
        <v>0</v>
      </c>
    </row>
    <row r="510" spans="1:8" x14ac:dyDescent="0.35">
      <c r="A510">
        <v>17991</v>
      </c>
      <c r="B510" t="s">
        <v>11</v>
      </c>
      <c r="C510">
        <v>2</v>
      </c>
      <c r="D510">
        <v>195</v>
      </c>
      <c r="E510" t="s">
        <v>8</v>
      </c>
      <c r="F510" t="s">
        <v>13</v>
      </c>
      <c r="G510" t="s">
        <v>16</v>
      </c>
      <c r="H510">
        <v>0</v>
      </c>
    </row>
    <row r="511" spans="1:8" x14ac:dyDescent="0.35">
      <c r="A511">
        <v>11774</v>
      </c>
      <c r="B511" t="s">
        <v>11</v>
      </c>
      <c r="C511">
        <v>13</v>
      </c>
      <c r="D511">
        <v>47</v>
      </c>
      <c r="E511" t="s">
        <v>8</v>
      </c>
      <c r="F511" t="s">
        <v>9</v>
      </c>
      <c r="G511" t="s">
        <v>14</v>
      </c>
      <c r="H511">
        <v>0</v>
      </c>
    </row>
    <row r="512" spans="1:8" x14ac:dyDescent="0.35">
      <c r="A512">
        <v>11742</v>
      </c>
      <c r="B512" t="s">
        <v>11</v>
      </c>
      <c r="C512">
        <v>6</v>
      </c>
      <c r="D512">
        <v>58</v>
      </c>
      <c r="E512" t="s">
        <v>8</v>
      </c>
      <c r="F512" t="s">
        <v>9</v>
      </c>
      <c r="G512" t="s">
        <v>16</v>
      </c>
      <c r="H512">
        <v>0</v>
      </c>
    </row>
    <row r="513" spans="1:8" x14ac:dyDescent="0.35">
      <c r="A513">
        <v>13649</v>
      </c>
      <c r="B513" t="s">
        <v>11</v>
      </c>
      <c r="C513">
        <v>12</v>
      </c>
      <c r="D513">
        <v>123</v>
      </c>
      <c r="E513" t="s">
        <v>8</v>
      </c>
      <c r="F513" t="s">
        <v>9</v>
      </c>
      <c r="G513" t="s">
        <v>14</v>
      </c>
      <c r="H513">
        <v>0</v>
      </c>
    </row>
    <row r="514" spans="1:8" x14ac:dyDescent="0.35">
      <c r="A514">
        <v>16998</v>
      </c>
      <c r="B514" t="s">
        <v>7</v>
      </c>
      <c r="C514">
        <v>8</v>
      </c>
      <c r="D514">
        <v>109</v>
      </c>
      <c r="E514" t="s">
        <v>8</v>
      </c>
      <c r="F514" t="s">
        <v>9</v>
      </c>
      <c r="G514" t="s">
        <v>10</v>
      </c>
      <c r="H514">
        <v>0</v>
      </c>
    </row>
    <row r="515" spans="1:8" x14ac:dyDescent="0.35">
      <c r="A515">
        <v>18462</v>
      </c>
      <c r="B515" t="s">
        <v>7</v>
      </c>
      <c r="C515">
        <v>8</v>
      </c>
      <c r="D515">
        <v>45</v>
      </c>
      <c r="E515" t="s">
        <v>8</v>
      </c>
      <c r="F515" t="s">
        <v>9</v>
      </c>
      <c r="G515" t="s">
        <v>12</v>
      </c>
      <c r="H515">
        <v>0</v>
      </c>
    </row>
    <row r="516" spans="1:8" x14ac:dyDescent="0.35">
      <c r="A516">
        <v>18135</v>
      </c>
      <c r="B516" t="s">
        <v>11</v>
      </c>
      <c r="C516">
        <v>9</v>
      </c>
      <c r="D516">
        <v>384</v>
      </c>
      <c r="E516" t="s">
        <v>8</v>
      </c>
      <c r="F516" t="s">
        <v>9</v>
      </c>
      <c r="G516" t="s">
        <v>16</v>
      </c>
      <c r="H516">
        <v>0</v>
      </c>
    </row>
    <row r="517" spans="1:8" x14ac:dyDescent="0.35">
      <c r="A517">
        <v>11280</v>
      </c>
      <c r="B517" t="s">
        <v>7</v>
      </c>
      <c r="C517">
        <v>8</v>
      </c>
      <c r="D517">
        <v>381</v>
      </c>
      <c r="E517" t="s">
        <v>8</v>
      </c>
      <c r="F517" t="s">
        <v>9</v>
      </c>
      <c r="G517" t="s">
        <v>12</v>
      </c>
      <c r="H517">
        <v>0</v>
      </c>
    </row>
    <row r="518" spans="1:8" x14ac:dyDescent="0.35">
      <c r="A518">
        <v>15434</v>
      </c>
      <c r="B518" t="s">
        <v>7</v>
      </c>
      <c r="C518">
        <v>4</v>
      </c>
      <c r="D518">
        <v>311</v>
      </c>
      <c r="E518" t="s">
        <v>8</v>
      </c>
      <c r="F518" t="s">
        <v>13</v>
      </c>
      <c r="G518" t="s">
        <v>12</v>
      </c>
      <c r="H518">
        <v>0</v>
      </c>
    </row>
    <row r="519" spans="1:8" x14ac:dyDescent="0.35">
      <c r="A519">
        <v>10280</v>
      </c>
      <c r="B519" t="s">
        <v>7</v>
      </c>
      <c r="C519">
        <v>1</v>
      </c>
      <c r="D519">
        <v>109</v>
      </c>
      <c r="E519" t="s">
        <v>8</v>
      </c>
      <c r="F519" t="s">
        <v>13</v>
      </c>
      <c r="G519" t="s">
        <v>10</v>
      </c>
      <c r="H519">
        <v>0</v>
      </c>
    </row>
    <row r="520" spans="1:8" x14ac:dyDescent="0.35">
      <c r="A520">
        <v>12893</v>
      </c>
      <c r="B520" t="s">
        <v>7</v>
      </c>
      <c r="C520">
        <v>13</v>
      </c>
      <c r="D520">
        <v>146</v>
      </c>
      <c r="E520" t="s">
        <v>8</v>
      </c>
      <c r="F520" t="s">
        <v>13</v>
      </c>
      <c r="G520" t="s">
        <v>10</v>
      </c>
      <c r="H520">
        <v>0</v>
      </c>
    </row>
    <row r="521" spans="1:8" x14ac:dyDescent="0.35">
      <c r="A521">
        <v>16584</v>
      </c>
      <c r="B521" t="s">
        <v>11</v>
      </c>
      <c r="C521">
        <v>6</v>
      </c>
      <c r="D521">
        <v>390</v>
      </c>
      <c r="E521" t="s">
        <v>8</v>
      </c>
      <c r="F521" t="s">
        <v>9</v>
      </c>
      <c r="G521" t="s">
        <v>16</v>
      </c>
      <c r="H521">
        <v>0</v>
      </c>
    </row>
    <row r="522" spans="1:8" x14ac:dyDescent="0.35">
      <c r="A522">
        <v>13736</v>
      </c>
      <c r="B522" t="s">
        <v>7</v>
      </c>
      <c r="C522">
        <v>14</v>
      </c>
      <c r="D522">
        <v>56</v>
      </c>
      <c r="E522" t="s">
        <v>8</v>
      </c>
      <c r="F522" t="s">
        <v>13</v>
      </c>
      <c r="G522" t="s">
        <v>12</v>
      </c>
      <c r="H522">
        <v>0</v>
      </c>
    </row>
    <row r="523" spans="1:8" x14ac:dyDescent="0.35">
      <c r="A523">
        <v>19476</v>
      </c>
      <c r="B523" t="s">
        <v>11</v>
      </c>
      <c r="C523">
        <v>6</v>
      </c>
      <c r="D523">
        <v>183</v>
      </c>
      <c r="E523" t="s">
        <v>8</v>
      </c>
      <c r="F523" t="s">
        <v>9</v>
      </c>
      <c r="G523" t="s">
        <v>14</v>
      </c>
      <c r="H523">
        <v>0</v>
      </c>
    </row>
    <row r="524" spans="1:8" x14ac:dyDescent="0.35">
      <c r="A524">
        <v>19494</v>
      </c>
      <c r="B524" t="s">
        <v>11</v>
      </c>
      <c r="C524">
        <v>11</v>
      </c>
      <c r="D524">
        <v>113</v>
      </c>
      <c r="E524" t="s">
        <v>8</v>
      </c>
      <c r="F524" t="s">
        <v>9</v>
      </c>
      <c r="G524" t="s">
        <v>16</v>
      </c>
      <c r="H524">
        <v>0</v>
      </c>
    </row>
    <row r="525" spans="1:8" x14ac:dyDescent="0.35">
      <c r="A525">
        <v>13801</v>
      </c>
      <c r="B525" t="s">
        <v>7</v>
      </c>
      <c r="C525">
        <v>1</v>
      </c>
      <c r="D525">
        <v>257</v>
      </c>
      <c r="E525" t="s">
        <v>8</v>
      </c>
      <c r="F525" t="s">
        <v>9</v>
      </c>
      <c r="G525" t="s">
        <v>12</v>
      </c>
      <c r="H525">
        <v>0</v>
      </c>
    </row>
    <row r="526" spans="1:8" x14ac:dyDescent="0.35">
      <c r="A526">
        <v>17630</v>
      </c>
      <c r="B526" t="s">
        <v>11</v>
      </c>
      <c r="C526">
        <v>9</v>
      </c>
      <c r="D526">
        <v>142</v>
      </c>
      <c r="E526" t="s">
        <v>8</v>
      </c>
      <c r="F526" t="s">
        <v>9</v>
      </c>
      <c r="G526" t="s">
        <v>12</v>
      </c>
      <c r="H526">
        <v>0</v>
      </c>
    </row>
    <row r="527" spans="1:8" x14ac:dyDescent="0.35">
      <c r="A527">
        <v>10775</v>
      </c>
      <c r="B527" t="s">
        <v>7</v>
      </c>
      <c r="C527">
        <v>11</v>
      </c>
      <c r="D527">
        <v>293</v>
      </c>
      <c r="E527" t="s">
        <v>8</v>
      </c>
      <c r="F527" t="s">
        <v>9</v>
      </c>
      <c r="G527" t="s">
        <v>10</v>
      </c>
      <c r="H527">
        <v>0</v>
      </c>
    </row>
    <row r="528" spans="1:8" x14ac:dyDescent="0.35">
      <c r="A528">
        <v>10885</v>
      </c>
      <c r="B528" t="s">
        <v>7</v>
      </c>
      <c r="C528">
        <v>11</v>
      </c>
      <c r="D528">
        <v>194</v>
      </c>
      <c r="E528" t="s">
        <v>15</v>
      </c>
      <c r="F528" t="s">
        <v>13</v>
      </c>
      <c r="G528" t="s">
        <v>12</v>
      </c>
      <c r="H528">
        <v>1</v>
      </c>
    </row>
    <row r="529" spans="1:8" x14ac:dyDescent="0.35">
      <c r="A529">
        <v>13572</v>
      </c>
      <c r="B529" t="s">
        <v>7</v>
      </c>
      <c r="C529">
        <v>3</v>
      </c>
      <c r="D529">
        <v>111</v>
      </c>
      <c r="E529" t="s">
        <v>8</v>
      </c>
      <c r="F529" t="s">
        <v>13</v>
      </c>
      <c r="G529" t="s">
        <v>12</v>
      </c>
      <c r="H529">
        <v>0</v>
      </c>
    </row>
    <row r="530" spans="1:8" x14ac:dyDescent="0.35">
      <c r="A530">
        <v>15389</v>
      </c>
      <c r="B530" t="s">
        <v>11</v>
      </c>
      <c r="C530">
        <v>7</v>
      </c>
      <c r="D530">
        <v>288</v>
      </c>
      <c r="E530" t="s">
        <v>8</v>
      </c>
      <c r="F530" t="s">
        <v>9</v>
      </c>
      <c r="G530" t="s">
        <v>12</v>
      </c>
      <c r="H530">
        <v>0</v>
      </c>
    </row>
    <row r="531" spans="1:8" x14ac:dyDescent="0.35">
      <c r="A531">
        <v>15796</v>
      </c>
      <c r="B531" t="s">
        <v>11</v>
      </c>
      <c r="C531">
        <v>12</v>
      </c>
      <c r="D531">
        <v>110</v>
      </c>
      <c r="E531" t="s">
        <v>8</v>
      </c>
      <c r="F531" t="s">
        <v>9</v>
      </c>
      <c r="G531" t="s">
        <v>10</v>
      </c>
      <c r="H531">
        <v>0</v>
      </c>
    </row>
    <row r="532" spans="1:8" x14ac:dyDescent="0.35">
      <c r="A532">
        <v>11966</v>
      </c>
      <c r="B532" t="s">
        <v>7</v>
      </c>
      <c r="C532">
        <v>5</v>
      </c>
      <c r="D532">
        <v>176</v>
      </c>
      <c r="E532" t="s">
        <v>15</v>
      </c>
      <c r="F532" t="s">
        <v>13</v>
      </c>
      <c r="G532" t="s">
        <v>14</v>
      </c>
      <c r="H532">
        <v>1</v>
      </c>
    </row>
    <row r="533" spans="1:8" x14ac:dyDescent="0.35">
      <c r="A533">
        <v>19797</v>
      </c>
      <c r="B533" t="s">
        <v>7</v>
      </c>
      <c r="C533">
        <v>2</v>
      </c>
      <c r="D533">
        <v>159</v>
      </c>
      <c r="E533" t="s">
        <v>8</v>
      </c>
      <c r="F533" t="s">
        <v>9</v>
      </c>
      <c r="G533" t="s">
        <v>16</v>
      </c>
      <c r="H533">
        <v>0</v>
      </c>
    </row>
    <row r="534" spans="1:8" x14ac:dyDescent="0.35">
      <c r="A534">
        <v>16968</v>
      </c>
      <c r="B534" t="s">
        <v>11</v>
      </c>
      <c r="C534">
        <v>10</v>
      </c>
      <c r="D534">
        <v>420</v>
      </c>
      <c r="E534" t="s">
        <v>8</v>
      </c>
      <c r="F534" t="s">
        <v>13</v>
      </c>
      <c r="G534" t="s">
        <v>12</v>
      </c>
      <c r="H534">
        <v>0</v>
      </c>
    </row>
    <row r="535" spans="1:8" x14ac:dyDescent="0.35">
      <c r="A535">
        <v>14990</v>
      </c>
      <c r="B535" t="s">
        <v>7</v>
      </c>
      <c r="C535">
        <v>10</v>
      </c>
      <c r="D535">
        <v>393</v>
      </c>
      <c r="E535" t="s">
        <v>8</v>
      </c>
      <c r="F535" t="s">
        <v>9</v>
      </c>
      <c r="G535" t="s">
        <v>10</v>
      </c>
      <c r="H535">
        <v>0</v>
      </c>
    </row>
    <row r="536" spans="1:8" x14ac:dyDescent="0.35">
      <c r="A536">
        <v>14779</v>
      </c>
      <c r="B536" t="s">
        <v>11</v>
      </c>
      <c r="C536">
        <v>13</v>
      </c>
      <c r="D536">
        <v>256</v>
      </c>
      <c r="E536" t="s">
        <v>8</v>
      </c>
      <c r="F536" t="s">
        <v>13</v>
      </c>
      <c r="G536" t="s">
        <v>16</v>
      </c>
      <c r="H536">
        <v>0</v>
      </c>
    </row>
    <row r="537" spans="1:8" x14ac:dyDescent="0.35">
      <c r="A537">
        <v>18778</v>
      </c>
      <c r="B537" t="s">
        <v>11</v>
      </c>
      <c r="C537">
        <v>3</v>
      </c>
      <c r="D537">
        <v>284</v>
      </c>
      <c r="E537" t="s">
        <v>15</v>
      </c>
      <c r="F537" t="s">
        <v>9</v>
      </c>
      <c r="G537" t="s">
        <v>14</v>
      </c>
      <c r="H537">
        <v>1</v>
      </c>
    </row>
    <row r="538" spans="1:8" x14ac:dyDescent="0.35">
      <c r="A538">
        <v>16962</v>
      </c>
      <c r="B538" t="s">
        <v>11</v>
      </c>
      <c r="C538">
        <v>6</v>
      </c>
      <c r="D538">
        <v>82</v>
      </c>
      <c r="E538" t="s">
        <v>15</v>
      </c>
      <c r="F538" t="s">
        <v>13</v>
      </c>
      <c r="G538" t="s">
        <v>12</v>
      </c>
      <c r="H538">
        <v>1</v>
      </c>
    </row>
    <row r="539" spans="1:8" x14ac:dyDescent="0.35">
      <c r="A539">
        <v>15898</v>
      </c>
      <c r="B539" t="s">
        <v>7</v>
      </c>
      <c r="C539">
        <v>13</v>
      </c>
      <c r="D539">
        <v>284</v>
      </c>
      <c r="E539" t="s">
        <v>8</v>
      </c>
      <c r="F539" t="s">
        <v>13</v>
      </c>
      <c r="G539" t="s">
        <v>12</v>
      </c>
      <c r="H539">
        <v>0</v>
      </c>
    </row>
    <row r="540" spans="1:8" x14ac:dyDescent="0.35">
      <c r="A540">
        <v>17585</v>
      </c>
      <c r="B540" t="s">
        <v>11</v>
      </c>
      <c r="C540">
        <v>9</v>
      </c>
      <c r="D540">
        <v>332</v>
      </c>
      <c r="E540" t="s">
        <v>8</v>
      </c>
      <c r="F540" t="s">
        <v>9</v>
      </c>
      <c r="G540" t="s">
        <v>14</v>
      </c>
      <c r="H540">
        <v>0</v>
      </c>
    </row>
    <row r="541" spans="1:8" x14ac:dyDescent="0.35">
      <c r="A541">
        <v>17365</v>
      </c>
      <c r="B541" t="s">
        <v>11</v>
      </c>
      <c r="C541">
        <v>5</v>
      </c>
      <c r="D541">
        <v>114</v>
      </c>
      <c r="E541" t="s">
        <v>8</v>
      </c>
      <c r="F541" t="s">
        <v>13</v>
      </c>
      <c r="G541" t="s">
        <v>16</v>
      </c>
      <c r="H541">
        <v>0</v>
      </c>
    </row>
    <row r="542" spans="1:8" x14ac:dyDescent="0.35">
      <c r="A542">
        <v>18894</v>
      </c>
      <c r="B542" t="s">
        <v>11</v>
      </c>
      <c r="C542">
        <v>10</v>
      </c>
      <c r="D542">
        <v>138</v>
      </c>
      <c r="E542" t="s">
        <v>8</v>
      </c>
      <c r="F542" t="s">
        <v>13</v>
      </c>
      <c r="G542" t="s">
        <v>14</v>
      </c>
      <c r="H542">
        <v>0</v>
      </c>
    </row>
    <row r="543" spans="1:8" x14ac:dyDescent="0.35">
      <c r="A543">
        <v>12360</v>
      </c>
      <c r="B543" t="s">
        <v>11</v>
      </c>
      <c r="C543">
        <v>14</v>
      </c>
      <c r="D543">
        <v>264</v>
      </c>
      <c r="E543" t="s">
        <v>8</v>
      </c>
      <c r="F543" t="s">
        <v>9</v>
      </c>
      <c r="G543" t="s">
        <v>16</v>
      </c>
      <c r="H543">
        <v>0</v>
      </c>
    </row>
    <row r="544" spans="1:8" x14ac:dyDescent="0.35">
      <c r="A544">
        <v>12006</v>
      </c>
      <c r="B544" t="s">
        <v>11</v>
      </c>
      <c r="C544">
        <v>9</v>
      </c>
      <c r="D544">
        <v>126</v>
      </c>
      <c r="E544" t="s">
        <v>8</v>
      </c>
      <c r="F544" t="s">
        <v>9</v>
      </c>
      <c r="G544" t="s">
        <v>14</v>
      </c>
      <c r="H544">
        <v>0</v>
      </c>
    </row>
    <row r="545" spans="1:8" x14ac:dyDescent="0.35">
      <c r="A545">
        <v>17822</v>
      </c>
      <c r="B545" t="s">
        <v>11</v>
      </c>
      <c r="C545">
        <v>12</v>
      </c>
      <c r="D545">
        <v>331</v>
      </c>
      <c r="E545" t="s">
        <v>8</v>
      </c>
      <c r="F545" t="s">
        <v>9</v>
      </c>
      <c r="G545" t="s">
        <v>14</v>
      </c>
      <c r="H545">
        <v>0</v>
      </c>
    </row>
    <row r="546" spans="1:8" x14ac:dyDescent="0.35">
      <c r="A546">
        <v>12945</v>
      </c>
      <c r="B546" t="s">
        <v>11</v>
      </c>
      <c r="C546">
        <v>8</v>
      </c>
      <c r="D546">
        <v>165</v>
      </c>
      <c r="E546" t="s">
        <v>8</v>
      </c>
      <c r="F546" t="s">
        <v>9</v>
      </c>
      <c r="G546" t="s">
        <v>12</v>
      </c>
      <c r="H546">
        <v>0</v>
      </c>
    </row>
    <row r="547" spans="1:8" x14ac:dyDescent="0.35">
      <c r="A547">
        <v>19019</v>
      </c>
      <c r="B547" t="s">
        <v>11</v>
      </c>
      <c r="C547">
        <v>7</v>
      </c>
      <c r="D547">
        <v>143</v>
      </c>
      <c r="E547" t="s">
        <v>8</v>
      </c>
      <c r="F547" t="s">
        <v>13</v>
      </c>
      <c r="G547" t="s">
        <v>10</v>
      </c>
      <c r="H547">
        <v>0</v>
      </c>
    </row>
    <row r="548" spans="1:8" x14ac:dyDescent="0.35">
      <c r="A548">
        <v>14122</v>
      </c>
      <c r="B548" t="s">
        <v>11</v>
      </c>
      <c r="C548">
        <v>3</v>
      </c>
      <c r="D548">
        <v>157</v>
      </c>
      <c r="E548" t="s">
        <v>8</v>
      </c>
      <c r="F548" t="s">
        <v>13</v>
      </c>
      <c r="G548" t="s">
        <v>16</v>
      </c>
      <c r="H548">
        <v>0</v>
      </c>
    </row>
    <row r="549" spans="1:8" x14ac:dyDescent="0.35">
      <c r="A549">
        <v>18864</v>
      </c>
      <c r="B549" t="s">
        <v>11</v>
      </c>
      <c r="C549">
        <v>2</v>
      </c>
      <c r="D549">
        <v>66</v>
      </c>
      <c r="E549" t="s">
        <v>8</v>
      </c>
      <c r="F549" t="s">
        <v>13</v>
      </c>
      <c r="G549" t="s">
        <v>16</v>
      </c>
      <c r="H549">
        <v>0</v>
      </c>
    </row>
    <row r="550" spans="1:8" x14ac:dyDescent="0.35">
      <c r="A550">
        <v>18674</v>
      </c>
      <c r="B550" t="s">
        <v>11</v>
      </c>
      <c r="C550">
        <v>3</v>
      </c>
      <c r="D550">
        <v>403</v>
      </c>
      <c r="E550" t="s">
        <v>8</v>
      </c>
      <c r="F550" t="s">
        <v>9</v>
      </c>
      <c r="G550" t="s">
        <v>14</v>
      </c>
      <c r="H550">
        <v>0</v>
      </c>
    </row>
    <row r="551" spans="1:8" x14ac:dyDescent="0.35">
      <c r="A551">
        <v>19023</v>
      </c>
      <c r="B551" t="s">
        <v>7</v>
      </c>
      <c r="C551">
        <v>3</v>
      </c>
      <c r="D551">
        <v>426</v>
      </c>
      <c r="E551" t="s">
        <v>8</v>
      </c>
      <c r="F551" t="s">
        <v>9</v>
      </c>
      <c r="G551" t="s">
        <v>16</v>
      </c>
      <c r="H551">
        <v>0</v>
      </c>
    </row>
    <row r="552" spans="1:8" x14ac:dyDescent="0.35">
      <c r="A552">
        <v>17872</v>
      </c>
      <c r="B552" t="s">
        <v>7</v>
      </c>
      <c r="C552">
        <v>9</v>
      </c>
      <c r="D552">
        <v>362</v>
      </c>
      <c r="E552" t="s">
        <v>8</v>
      </c>
      <c r="F552" t="s">
        <v>13</v>
      </c>
      <c r="G552" t="s">
        <v>12</v>
      </c>
      <c r="H552">
        <v>0</v>
      </c>
    </row>
    <row r="553" spans="1:8" x14ac:dyDescent="0.35">
      <c r="A553">
        <v>12736</v>
      </c>
      <c r="B553" t="s">
        <v>7</v>
      </c>
      <c r="C553">
        <v>7</v>
      </c>
      <c r="D553">
        <v>126</v>
      </c>
      <c r="E553" t="s">
        <v>8</v>
      </c>
      <c r="F553" t="s">
        <v>13</v>
      </c>
      <c r="G553" t="s">
        <v>16</v>
      </c>
      <c r="H553">
        <v>0</v>
      </c>
    </row>
    <row r="554" spans="1:8" x14ac:dyDescent="0.35">
      <c r="A554">
        <v>18731</v>
      </c>
      <c r="B554" t="s">
        <v>7</v>
      </c>
      <c r="C554">
        <v>1</v>
      </c>
      <c r="D554">
        <v>318</v>
      </c>
      <c r="E554" t="s">
        <v>8</v>
      </c>
      <c r="F554" t="s">
        <v>9</v>
      </c>
      <c r="G554" t="s">
        <v>10</v>
      </c>
      <c r="H554">
        <v>0</v>
      </c>
    </row>
    <row r="555" spans="1:8" x14ac:dyDescent="0.35">
      <c r="A555">
        <v>19374</v>
      </c>
      <c r="B555" t="s">
        <v>11</v>
      </c>
      <c r="C555">
        <v>4</v>
      </c>
      <c r="D555">
        <v>367</v>
      </c>
      <c r="E555" t="s">
        <v>8</v>
      </c>
      <c r="F555" t="s">
        <v>13</v>
      </c>
      <c r="G555" t="s">
        <v>16</v>
      </c>
      <c r="H555">
        <v>0</v>
      </c>
    </row>
    <row r="556" spans="1:8" x14ac:dyDescent="0.35">
      <c r="A556">
        <v>12730</v>
      </c>
      <c r="B556" t="s">
        <v>11</v>
      </c>
      <c r="C556">
        <v>6</v>
      </c>
      <c r="D556">
        <v>214</v>
      </c>
      <c r="E556" t="s">
        <v>8</v>
      </c>
      <c r="F556" t="s">
        <v>9</v>
      </c>
      <c r="G556" t="s">
        <v>16</v>
      </c>
      <c r="H556">
        <v>0</v>
      </c>
    </row>
    <row r="557" spans="1:8" x14ac:dyDescent="0.35">
      <c r="A557">
        <v>11394</v>
      </c>
      <c r="B557" t="s">
        <v>11</v>
      </c>
      <c r="C557">
        <v>11</v>
      </c>
      <c r="D557">
        <v>317</v>
      </c>
      <c r="E557" t="s">
        <v>8</v>
      </c>
      <c r="F557" t="s">
        <v>13</v>
      </c>
      <c r="G557" t="s">
        <v>14</v>
      </c>
      <c r="H557">
        <v>0</v>
      </c>
    </row>
    <row r="558" spans="1:8" x14ac:dyDescent="0.35">
      <c r="A558">
        <v>14697</v>
      </c>
      <c r="B558" t="s">
        <v>11</v>
      </c>
      <c r="C558">
        <v>12</v>
      </c>
      <c r="D558">
        <v>153</v>
      </c>
      <c r="E558" t="s">
        <v>8</v>
      </c>
      <c r="F558" t="s">
        <v>9</v>
      </c>
      <c r="G558" t="s">
        <v>12</v>
      </c>
      <c r="H558">
        <v>0</v>
      </c>
    </row>
    <row r="559" spans="1:8" x14ac:dyDescent="0.35">
      <c r="A559">
        <v>10558</v>
      </c>
      <c r="B559" t="s">
        <v>7</v>
      </c>
      <c r="C559">
        <v>3</v>
      </c>
      <c r="D559">
        <v>161</v>
      </c>
      <c r="E559" t="s">
        <v>8</v>
      </c>
      <c r="F559" t="s">
        <v>9</v>
      </c>
      <c r="G559" t="s">
        <v>10</v>
      </c>
      <c r="H559">
        <v>0</v>
      </c>
    </row>
    <row r="560" spans="1:8" x14ac:dyDescent="0.35">
      <c r="A560">
        <v>19308</v>
      </c>
      <c r="B560" t="s">
        <v>11</v>
      </c>
      <c r="C560">
        <v>6</v>
      </c>
      <c r="D560">
        <v>99</v>
      </c>
      <c r="E560" t="s">
        <v>8</v>
      </c>
      <c r="F560" t="s">
        <v>9</v>
      </c>
      <c r="G560" t="s">
        <v>16</v>
      </c>
      <c r="H560">
        <v>0</v>
      </c>
    </row>
    <row r="561" spans="1:8" x14ac:dyDescent="0.35">
      <c r="A561">
        <v>17372</v>
      </c>
      <c r="B561" t="s">
        <v>11</v>
      </c>
      <c r="C561">
        <v>3</v>
      </c>
      <c r="D561">
        <v>301</v>
      </c>
      <c r="E561" t="s">
        <v>8</v>
      </c>
      <c r="F561" t="s">
        <v>13</v>
      </c>
      <c r="G561" t="s">
        <v>14</v>
      </c>
      <c r="H561">
        <v>0</v>
      </c>
    </row>
    <row r="562" spans="1:8" x14ac:dyDescent="0.35">
      <c r="A562">
        <v>13269</v>
      </c>
      <c r="B562" t="s">
        <v>7</v>
      </c>
      <c r="C562">
        <v>6</v>
      </c>
      <c r="D562">
        <v>354</v>
      </c>
      <c r="E562" t="s">
        <v>8</v>
      </c>
      <c r="F562" t="s">
        <v>9</v>
      </c>
      <c r="G562" t="s">
        <v>14</v>
      </c>
      <c r="H562">
        <v>0</v>
      </c>
    </row>
    <row r="563" spans="1:8" x14ac:dyDescent="0.35">
      <c r="A563">
        <v>13431</v>
      </c>
      <c r="B563" t="s">
        <v>11</v>
      </c>
      <c r="C563">
        <v>6</v>
      </c>
      <c r="D563">
        <v>254</v>
      </c>
      <c r="E563" t="s">
        <v>8</v>
      </c>
      <c r="F563" t="s">
        <v>9</v>
      </c>
      <c r="G563" t="s">
        <v>16</v>
      </c>
      <c r="H563">
        <v>0</v>
      </c>
    </row>
    <row r="564" spans="1:8" x14ac:dyDescent="0.35">
      <c r="A564">
        <v>10778</v>
      </c>
      <c r="B564" t="s">
        <v>7</v>
      </c>
      <c r="C564">
        <v>14</v>
      </c>
      <c r="D564">
        <v>359</v>
      </c>
      <c r="E564" t="s">
        <v>15</v>
      </c>
      <c r="F564" t="s">
        <v>9</v>
      </c>
      <c r="G564" t="s">
        <v>10</v>
      </c>
      <c r="H564">
        <v>1</v>
      </c>
    </row>
    <row r="565" spans="1:8" x14ac:dyDescent="0.35">
      <c r="A565">
        <v>10494</v>
      </c>
      <c r="B565" t="s">
        <v>11</v>
      </c>
      <c r="C565">
        <v>9</v>
      </c>
      <c r="D565">
        <v>113</v>
      </c>
      <c r="E565" t="s">
        <v>8</v>
      </c>
      <c r="F565" t="s">
        <v>13</v>
      </c>
      <c r="G565" t="s">
        <v>14</v>
      </c>
      <c r="H565">
        <v>0</v>
      </c>
    </row>
    <row r="566" spans="1:8" x14ac:dyDescent="0.35">
      <c r="A566">
        <v>15224</v>
      </c>
      <c r="B566" t="s">
        <v>11</v>
      </c>
      <c r="C566">
        <v>6</v>
      </c>
      <c r="D566">
        <v>113</v>
      </c>
      <c r="E566" t="s">
        <v>8</v>
      </c>
      <c r="F566" t="s">
        <v>9</v>
      </c>
      <c r="G566" t="s">
        <v>16</v>
      </c>
      <c r="H566">
        <v>0</v>
      </c>
    </row>
    <row r="567" spans="1:8" x14ac:dyDescent="0.35">
      <c r="A567">
        <v>19017</v>
      </c>
      <c r="B567" t="s">
        <v>11</v>
      </c>
      <c r="C567">
        <v>8</v>
      </c>
      <c r="D567">
        <v>174</v>
      </c>
      <c r="E567" t="s">
        <v>8</v>
      </c>
      <c r="F567" t="s">
        <v>13</v>
      </c>
      <c r="G567" t="s">
        <v>12</v>
      </c>
      <c r="H567">
        <v>0</v>
      </c>
    </row>
    <row r="568" spans="1:8" x14ac:dyDescent="0.35">
      <c r="A568">
        <v>16238</v>
      </c>
      <c r="B568" t="s">
        <v>11</v>
      </c>
      <c r="C568">
        <v>11</v>
      </c>
      <c r="D568">
        <v>330</v>
      </c>
      <c r="E568" t="s">
        <v>8</v>
      </c>
      <c r="F568" t="s">
        <v>9</v>
      </c>
      <c r="G568" t="s">
        <v>14</v>
      </c>
      <c r="H568">
        <v>0</v>
      </c>
    </row>
    <row r="569" spans="1:8" x14ac:dyDescent="0.35">
      <c r="A569">
        <v>18527</v>
      </c>
      <c r="B569" t="s">
        <v>11</v>
      </c>
      <c r="C569">
        <v>14</v>
      </c>
      <c r="D569">
        <v>358</v>
      </c>
      <c r="E569" t="s">
        <v>8</v>
      </c>
      <c r="F569" t="s">
        <v>9</v>
      </c>
      <c r="G569" t="s">
        <v>12</v>
      </c>
      <c r="H569">
        <v>0</v>
      </c>
    </row>
    <row r="570" spans="1:8" x14ac:dyDescent="0.35">
      <c r="A570">
        <v>18749</v>
      </c>
      <c r="B570" t="s">
        <v>7</v>
      </c>
      <c r="C570">
        <v>2</v>
      </c>
      <c r="D570">
        <v>416</v>
      </c>
      <c r="E570" t="s">
        <v>15</v>
      </c>
      <c r="F570" t="s">
        <v>13</v>
      </c>
      <c r="G570" t="s">
        <v>14</v>
      </c>
      <c r="H570">
        <v>1</v>
      </c>
    </row>
    <row r="571" spans="1:8" x14ac:dyDescent="0.35">
      <c r="A571">
        <v>15559</v>
      </c>
      <c r="B571" t="s">
        <v>11</v>
      </c>
      <c r="C571">
        <v>13</v>
      </c>
      <c r="D571">
        <v>99</v>
      </c>
      <c r="E571" t="s">
        <v>8</v>
      </c>
      <c r="F571" t="s">
        <v>13</v>
      </c>
      <c r="G571" t="s">
        <v>14</v>
      </c>
      <c r="H571">
        <v>0</v>
      </c>
    </row>
    <row r="572" spans="1:8" x14ac:dyDescent="0.35">
      <c r="A572">
        <v>17983</v>
      </c>
      <c r="B572" t="s">
        <v>7</v>
      </c>
      <c r="C572">
        <v>1</v>
      </c>
      <c r="D572">
        <v>377</v>
      </c>
      <c r="E572" t="s">
        <v>8</v>
      </c>
      <c r="F572" t="s">
        <v>9</v>
      </c>
      <c r="G572" t="s">
        <v>12</v>
      </c>
      <c r="H572">
        <v>0</v>
      </c>
    </row>
    <row r="573" spans="1:8" x14ac:dyDescent="0.35">
      <c r="A573">
        <v>11728</v>
      </c>
      <c r="B573" t="s">
        <v>11</v>
      </c>
      <c r="C573">
        <v>12</v>
      </c>
      <c r="D573">
        <v>312</v>
      </c>
      <c r="E573" t="s">
        <v>8</v>
      </c>
      <c r="F573" t="s">
        <v>9</v>
      </c>
      <c r="G573" t="s">
        <v>12</v>
      </c>
      <c r="H573">
        <v>0</v>
      </c>
    </row>
    <row r="574" spans="1:8" x14ac:dyDescent="0.35">
      <c r="A574">
        <v>10036</v>
      </c>
      <c r="B574" t="s">
        <v>11</v>
      </c>
      <c r="C574">
        <v>10</v>
      </c>
      <c r="D574">
        <v>419</v>
      </c>
      <c r="E574" t="s">
        <v>8</v>
      </c>
      <c r="F574" t="s">
        <v>9</v>
      </c>
      <c r="G574" t="s">
        <v>14</v>
      </c>
      <c r="H574">
        <v>0</v>
      </c>
    </row>
    <row r="575" spans="1:8" x14ac:dyDescent="0.35">
      <c r="A575">
        <v>12153</v>
      </c>
      <c r="B575" t="s">
        <v>11</v>
      </c>
      <c r="C575">
        <v>8</v>
      </c>
      <c r="D575">
        <v>113</v>
      </c>
      <c r="E575" t="s">
        <v>8</v>
      </c>
      <c r="F575" t="s">
        <v>13</v>
      </c>
      <c r="G575" t="s">
        <v>14</v>
      </c>
      <c r="H575">
        <v>0</v>
      </c>
    </row>
    <row r="576" spans="1:8" x14ac:dyDescent="0.35">
      <c r="A576">
        <v>19180</v>
      </c>
      <c r="B576" t="s">
        <v>11</v>
      </c>
      <c r="C576">
        <v>10</v>
      </c>
      <c r="D576">
        <v>229</v>
      </c>
      <c r="E576" t="s">
        <v>8</v>
      </c>
      <c r="F576" t="s">
        <v>9</v>
      </c>
      <c r="G576" t="s">
        <v>10</v>
      </c>
      <c r="H576">
        <v>0</v>
      </c>
    </row>
    <row r="577" spans="1:8" x14ac:dyDescent="0.35">
      <c r="A577">
        <v>16848</v>
      </c>
      <c r="B577" t="s">
        <v>11</v>
      </c>
      <c r="C577">
        <v>14</v>
      </c>
      <c r="D577">
        <v>265</v>
      </c>
      <c r="E577" t="s">
        <v>8</v>
      </c>
      <c r="F577" t="s">
        <v>13</v>
      </c>
      <c r="G577" t="s">
        <v>16</v>
      </c>
      <c r="H577">
        <v>0</v>
      </c>
    </row>
    <row r="578" spans="1:8" x14ac:dyDescent="0.35">
      <c r="A578">
        <v>15216</v>
      </c>
      <c r="B578" t="s">
        <v>7</v>
      </c>
      <c r="C578">
        <v>6</v>
      </c>
      <c r="D578">
        <v>323</v>
      </c>
      <c r="E578" t="s">
        <v>8</v>
      </c>
      <c r="F578" t="s">
        <v>13</v>
      </c>
      <c r="G578" t="s">
        <v>14</v>
      </c>
      <c r="H578">
        <v>0</v>
      </c>
    </row>
    <row r="579" spans="1:8" x14ac:dyDescent="0.35">
      <c r="A579">
        <v>10638</v>
      </c>
      <c r="B579" t="s">
        <v>11</v>
      </c>
      <c r="C579">
        <v>13</v>
      </c>
      <c r="D579">
        <v>353</v>
      </c>
      <c r="E579" t="s">
        <v>8</v>
      </c>
      <c r="F579" t="s">
        <v>13</v>
      </c>
      <c r="G579" t="s">
        <v>14</v>
      </c>
      <c r="H579">
        <v>0</v>
      </c>
    </row>
    <row r="580" spans="1:8" x14ac:dyDescent="0.35">
      <c r="A580">
        <v>17366</v>
      </c>
      <c r="B580" t="s">
        <v>7</v>
      </c>
      <c r="C580">
        <v>10</v>
      </c>
      <c r="D580">
        <v>103</v>
      </c>
      <c r="E580" t="s">
        <v>8</v>
      </c>
      <c r="F580" t="s">
        <v>9</v>
      </c>
      <c r="G580" t="s">
        <v>12</v>
      </c>
      <c r="H580">
        <v>0</v>
      </c>
    </row>
    <row r="581" spans="1:8" x14ac:dyDescent="0.35">
      <c r="A581">
        <v>16306</v>
      </c>
      <c r="B581" t="s">
        <v>11</v>
      </c>
      <c r="C581">
        <v>9</v>
      </c>
      <c r="D581">
        <v>198</v>
      </c>
      <c r="E581" t="s">
        <v>8</v>
      </c>
      <c r="F581" t="s">
        <v>13</v>
      </c>
      <c r="G581" t="s">
        <v>12</v>
      </c>
      <c r="H581">
        <v>0</v>
      </c>
    </row>
    <row r="582" spans="1:8" x14ac:dyDescent="0.35">
      <c r="A582">
        <v>15659</v>
      </c>
      <c r="B582" t="s">
        <v>7</v>
      </c>
      <c r="C582">
        <v>6</v>
      </c>
      <c r="D582">
        <v>74</v>
      </c>
      <c r="E582" t="s">
        <v>15</v>
      </c>
      <c r="F582" t="s">
        <v>9</v>
      </c>
      <c r="G582" t="s">
        <v>10</v>
      </c>
      <c r="H582">
        <v>1</v>
      </c>
    </row>
    <row r="583" spans="1:8" x14ac:dyDescent="0.35">
      <c r="A583">
        <v>10956</v>
      </c>
      <c r="B583" t="s">
        <v>11</v>
      </c>
      <c r="C583">
        <v>1</v>
      </c>
      <c r="D583">
        <v>281</v>
      </c>
      <c r="E583" t="s">
        <v>8</v>
      </c>
      <c r="F583" t="s">
        <v>13</v>
      </c>
      <c r="G583" t="s">
        <v>10</v>
      </c>
      <c r="H583">
        <v>0</v>
      </c>
    </row>
    <row r="584" spans="1:8" x14ac:dyDescent="0.35">
      <c r="A584">
        <v>18320</v>
      </c>
      <c r="B584" t="s">
        <v>11</v>
      </c>
      <c r="C584">
        <v>5</v>
      </c>
      <c r="D584">
        <v>44</v>
      </c>
      <c r="E584" t="s">
        <v>8</v>
      </c>
      <c r="F584" t="s">
        <v>13</v>
      </c>
      <c r="G584" t="s">
        <v>16</v>
      </c>
      <c r="H584">
        <v>0</v>
      </c>
    </row>
    <row r="585" spans="1:8" x14ac:dyDescent="0.35">
      <c r="A585">
        <v>19295</v>
      </c>
      <c r="B585" t="s">
        <v>11</v>
      </c>
      <c r="C585">
        <v>8</v>
      </c>
      <c r="D585">
        <v>215</v>
      </c>
      <c r="E585" t="s">
        <v>8</v>
      </c>
      <c r="F585" t="s">
        <v>9</v>
      </c>
      <c r="G585" t="s">
        <v>14</v>
      </c>
      <c r="H585">
        <v>0</v>
      </c>
    </row>
    <row r="586" spans="1:8" x14ac:dyDescent="0.35">
      <c r="A586">
        <v>13921</v>
      </c>
      <c r="B586" t="s">
        <v>11</v>
      </c>
      <c r="C586">
        <v>5</v>
      </c>
      <c r="D586">
        <v>89</v>
      </c>
      <c r="E586" t="s">
        <v>8</v>
      </c>
      <c r="F586" t="s">
        <v>13</v>
      </c>
      <c r="G586" t="s">
        <v>16</v>
      </c>
      <c r="H586">
        <v>0</v>
      </c>
    </row>
    <row r="587" spans="1:8" x14ac:dyDescent="0.35">
      <c r="A587">
        <v>17070</v>
      </c>
      <c r="B587" t="s">
        <v>7</v>
      </c>
      <c r="C587">
        <v>4</v>
      </c>
      <c r="D587">
        <v>71</v>
      </c>
      <c r="E587" t="s">
        <v>8</v>
      </c>
      <c r="F587" t="s">
        <v>13</v>
      </c>
      <c r="G587" t="s">
        <v>12</v>
      </c>
      <c r="H587">
        <v>0</v>
      </c>
    </row>
    <row r="588" spans="1:8" x14ac:dyDescent="0.35">
      <c r="A588">
        <v>15804</v>
      </c>
      <c r="B588" t="s">
        <v>11</v>
      </c>
      <c r="C588">
        <v>6</v>
      </c>
      <c r="D588">
        <v>291</v>
      </c>
      <c r="E588" t="s">
        <v>8</v>
      </c>
      <c r="F588" t="s">
        <v>13</v>
      </c>
      <c r="G588" t="s">
        <v>14</v>
      </c>
      <c r="H588">
        <v>0</v>
      </c>
    </row>
    <row r="589" spans="1:8" x14ac:dyDescent="0.35">
      <c r="A589">
        <v>19934</v>
      </c>
      <c r="B589" t="s">
        <v>7</v>
      </c>
      <c r="C589">
        <v>14</v>
      </c>
      <c r="D589">
        <v>134</v>
      </c>
      <c r="E589" t="s">
        <v>15</v>
      </c>
      <c r="F589" t="s">
        <v>9</v>
      </c>
      <c r="G589" t="s">
        <v>10</v>
      </c>
      <c r="H589">
        <v>1</v>
      </c>
    </row>
    <row r="590" spans="1:8" x14ac:dyDescent="0.35">
      <c r="A590">
        <v>15253</v>
      </c>
      <c r="B590" t="s">
        <v>11</v>
      </c>
      <c r="C590">
        <v>8</v>
      </c>
      <c r="D590">
        <v>292</v>
      </c>
      <c r="E590" t="s">
        <v>8</v>
      </c>
      <c r="F590" t="s">
        <v>13</v>
      </c>
      <c r="G590" t="s">
        <v>12</v>
      </c>
      <c r="H590">
        <v>0</v>
      </c>
    </row>
    <row r="591" spans="1:8" x14ac:dyDescent="0.35">
      <c r="A591">
        <v>19852</v>
      </c>
      <c r="B591" t="s">
        <v>11</v>
      </c>
      <c r="C591">
        <v>7</v>
      </c>
      <c r="D591">
        <v>129</v>
      </c>
      <c r="E591" t="s">
        <v>8</v>
      </c>
      <c r="F591" t="s">
        <v>9</v>
      </c>
      <c r="G591" t="s">
        <v>10</v>
      </c>
      <c r="H591">
        <v>0</v>
      </c>
    </row>
    <row r="592" spans="1:8" x14ac:dyDescent="0.35">
      <c r="A592">
        <v>13327</v>
      </c>
      <c r="B592" t="s">
        <v>11</v>
      </c>
      <c r="C592">
        <v>3</v>
      </c>
      <c r="D592">
        <v>208</v>
      </c>
      <c r="E592" t="s">
        <v>8</v>
      </c>
      <c r="F592" t="s">
        <v>13</v>
      </c>
      <c r="G592" t="s">
        <v>16</v>
      </c>
      <c r="H592">
        <v>0</v>
      </c>
    </row>
    <row r="593" spans="1:8" x14ac:dyDescent="0.35">
      <c r="A593">
        <v>10630</v>
      </c>
      <c r="B593" t="s">
        <v>7</v>
      </c>
      <c r="C593">
        <v>10</v>
      </c>
      <c r="D593">
        <v>409</v>
      </c>
      <c r="E593" t="s">
        <v>15</v>
      </c>
      <c r="F593" t="s">
        <v>13</v>
      </c>
      <c r="G593" t="s">
        <v>12</v>
      </c>
      <c r="H593">
        <v>1</v>
      </c>
    </row>
    <row r="594" spans="1:8" x14ac:dyDescent="0.35">
      <c r="A594">
        <v>15904</v>
      </c>
      <c r="B594" t="s">
        <v>7</v>
      </c>
      <c r="C594">
        <v>1</v>
      </c>
      <c r="D594">
        <v>130</v>
      </c>
      <c r="E594" t="s">
        <v>15</v>
      </c>
      <c r="F594" t="s">
        <v>13</v>
      </c>
      <c r="G594" t="s">
        <v>12</v>
      </c>
      <c r="H594">
        <v>1</v>
      </c>
    </row>
    <row r="595" spans="1:8" x14ac:dyDescent="0.35">
      <c r="A595">
        <v>13535</v>
      </c>
      <c r="B595" t="s">
        <v>11</v>
      </c>
      <c r="C595">
        <v>6</v>
      </c>
      <c r="D595">
        <v>165</v>
      </c>
      <c r="E595" t="s">
        <v>8</v>
      </c>
      <c r="F595" t="s">
        <v>13</v>
      </c>
      <c r="G595" t="s">
        <v>10</v>
      </c>
      <c r="H595">
        <v>0</v>
      </c>
    </row>
    <row r="596" spans="1:8" x14ac:dyDescent="0.35">
      <c r="A596">
        <v>10301</v>
      </c>
      <c r="B596" t="s">
        <v>11</v>
      </c>
      <c r="C596">
        <v>14</v>
      </c>
      <c r="D596">
        <v>43</v>
      </c>
      <c r="E596" t="s">
        <v>8</v>
      </c>
      <c r="F596" t="s">
        <v>13</v>
      </c>
      <c r="G596" t="s">
        <v>10</v>
      </c>
      <c r="H596">
        <v>0</v>
      </c>
    </row>
    <row r="597" spans="1:8" x14ac:dyDescent="0.35">
      <c r="A597">
        <v>17889</v>
      </c>
      <c r="B597" t="s">
        <v>7</v>
      </c>
      <c r="C597">
        <v>5</v>
      </c>
      <c r="D597">
        <v>415</v>
      </c>
      <c r="E597" t="s">
        <v>8</v>
      </c>
      <c r="F597" t="s">
        <v>13</v>
      </c>
      <c r="G597" t="s">
        <v>10</v>
      </c>
      <c r="H597">
        <v>0</v>
      </c>
    </row>
    <row r="598" spans="1:8" x14ac:dyDescent="0.35">
      <c r="A598">
        <v>16149</v>
      </c>
      <c r="B598" t="s">
        <v>11</v>
      </c>
      <c r="C598">
        <v>4</v>
      </c>
      <c r="D598">
        <v>373</v>
      </c>
      <c r="E598" t="s">
        <v>8</v>
      </c>
      <c r="F598" t="s">
        <v>13</v>
      </c>
      <c r="G598" t="s">
        <v>12</v>
      </c>
      <c r="H598">
        <v>0</v>
      </c>
    </row>
    <row r="599" spans="1:8" x14ac:dyDescent="0.35">
      <c r="A599">
        <v>19106</v>
      </c>
      <c r="B599" t="s">
        <v>11</v>
      </c>
      <c r="C599">
        <v>2</v>
      </c>
      <c r="D599">
        <v>446</v>
      </c>
      <c r="E599" t="s">
        <v>8</v>
      </c>
      <c r="F599" t="s">
        <v>9</v>
      </c>
      <c r="G599" t="s">
        <v>14</v>
      </c>
      <c r="H599">
        <v>0</v>
      </c>
    </row>
    <row r="600" spans="1:8" x14ac:dyDescent="0.35">
      <c r="A600">
        <v>11588</v>
      </c>
      <c r="B600" t="s">
        <v>11</v>
      </c>
      <c r="C600">
        <v>4</v>
      </c>
      <c r="D600">
        <v>310</v>
      </c>
      <c r="E600" t="s">
        <v>8</v>
      </c>
      <c r="F600" t="s">
        <v>9</v>
      </c>
      <c r="G600" t="s">
        <v>12</v>
      </c>
      <c r="H600">
        <v>0</v>
      </c>
    </row>
    <row r="601" spans="1:8" x14ac:dyDescent="0.35">
      <c r="A601">
        <v>14673</v>
      </c>
      <c r="B601" t="s">
        <v>11</v>
      </c>
      <c r="C601">
        <v>8</v>
      </c>
      <c r="D601">
        <v>142</v>
      </c>
      <c r="E601" t="s">
        <v>8</v>
      </c>
      <c r="F601" t="s">
        <v>9</v>
      </c>
      <c r="G601" t="s">
        <v>12</v>
      </c>
      <c r="H601">
        <v>0</v>
      </c>
    </row>
    <row r="602" spans="1:8" x14ac:dyDescent="0.35">
      <c r="A602">
        <v>14519</v>
      </c>
      <c r="B602" t="s">
        <v>7</v>
      </c>
      <c r="C602">
        <v>6</v>
      </c>
      <c r="D602">
        <v>304</v>
      </c>
      <c r="E602" t="s">
        <v>8</v>
      </c>
      <c r="F602" t="s">
        <v>13</v>
      </c>
      <c r="G602" t="s">
        <v>16</v>
      </c>
      <c r="H602">
        <v>0</v>
      </c>
    </row>
    <row r="603" spans="1:8" x14ac:dyDescent="0.35">
      <c r="A603">
        <v>17769</v>
      </c>
      <c r="B603" t="s">
        <v>7</v>
      </c>
      <c r="C603">
        <v>11</v>
      </c>
      <c r="D603">
        <v>100</v>
      </c>
      <c r="E603" t="s">
        <v>8</v>
      </c>
      <c r="F603" t="s">
        <v>9</v>
      </c>
      <c r="G603" t="s">
        <v>10</v>
      </c>
      <c r="H603">
        <v>0</v>
      </c>
    </row>
    <row r="604" spans="1:8" x14ac:dyDescent="0.35">
      <c r="A604">
        <v>14465</v>
      </c>
      <c r="B604" t="s">
        <v>7</v>
      </c>
      <c r="C604">
        <v>3</v>
      </c>
      <c r="D604">
        <v>441</v>
      </c>
      <c r="E604" t="s">
        <v>8</v>
      </c>
      <c r="F604" t="s">
        <v>9</v>
      </c>
      <c r="G604" t="s">
        <v>14</v>
      </c>
      <c r="H604">
        <v>0</v>
      </c>
    </row>
    <row r="605" spans="1:8" x14ac:dyDescent="0.35">
      <c r="A605">
        <v>10188</v>
      </c>
      <c r="B605" t="s">
        <v>11</v>
      </c>
      <c r="C605">
        <v>10</v>
      </c>
      <c r="D605">
        <v>284</v>
      </c>
      <c r="E605" t="s">
        <v>8</v>
      </c>
      <c r="F605" t="s">
        <v>13</v>
      </c>
      <c r="G605" t="s">
        <v>12</v>
      </c>
      <c r="H605">
        <v>0</v>
      </c>
    </row>
    <row r="606" spans="1:8" x14ac:dyDescent="0.35">
      <c r="A606">
        <v>13488</v>
      </c>
      <c r="B606" t="s">
        <v>11</v>
      </c>
      <c r="C606">
        <v>1</v>
      </c>
      <c r="D606">
        <v>273</v>
      </c>
      <c r="E606" t="s">
        <v>8</v>
      </c>
      <c r="F606" t="s">
        <v>9</v>
      </c>
      <c r="G606" t="s">
        <v>10</v>
      </c>
      <c r="H606">
        <v>0</v>
      </c>
    </row>
    <row r="607" spans="1:8" x14ac:dyDescent="0.35">
      <c r="A607">
        <v>19588</v>
      </c>
      <c r="B607" t="s">
        <v>11</v>
      </c>
      <c r="C607">
        <v>11</v>
      </c>
      <c r="D607">
        <v>323</v>
      </c>
      <c r="E607" t="s">
        <v>8</v>
      </c>
      <c r="F607" t="s">
        <v>9</v>
      </c>
      <c r="G607" t="s">
        <v>10</v>
      </c>
      <c r="H607">
        <v>0</v>
      </c>
    </row>
    <row r="608" spans="1:8" x14ac:dyDescent="0.35">
      <c r="A608">
        <v>17498</v>
      </c>
      <c r="B608" t="s">
        <v>7</v>
      </c>
      <c r="C608">
        <v>5</v>
      </c>
      <c r="D608">
        <v>172</v>
      </c>
      <c r="E608" t="s">
        <v>8</v>
      </c>
      <c r="F608" t="s">
        <v>9</v>
      </c>
      <c r="G608" t="s">
        <v>12</v>
      </c>
      <c r="H608">
        <v>0</v>
      </c>
    </row>
    <row r="609" spans="1:8" x14ac:dyDescent="0.35">
      <c r="A609">
        <v>14002</v>
      </c>
      <c r="B609" t="s">
        <v>7</v>
      </c>
      <c r="C609">
        <v>3</v>
      </c>
      <c r="D609">
        <v>328</v>
      </c>
      <c r="E609" t="s">
        <v>8</v>
      </c>
      <c r="F609" t="s">
        <v>9</v>
      </c>
      <c r="G609" t="s">
        <v>14</v>
      </c>
      <c r="H609">
        <v>0</v>
      </c>
    </row>
    <row r="610" spans="1:8" x14ac:dyDescent="0.35">
      <c r="A610">
        <v>11613</v>
      </c>
      <c r="B610" t="s">
        <v>11</v>
      </c>
      <c r="C610">
        <v>14</v>
      </c>
      <c r="D610">
        <v>324</v>
      </c>
      <c r="E610" t="s">
        <v>8</v>
      </c>
      <c r="F610" t="s">
        <v>13</v>
      </c>
      <c r="G610" t="s">
        <v>16</v>
      </c>
      <c r="H610">
        <v>0</v>
      </c>
    </row>
    <row r="611" spans="1:8" x14ac:dyDescent="0.35">
      <c r="A611">
        <v>13671</v>
      </c>
      <c r="B611" t="s">
        <v>11</v>
      </c>
      <c r="C611">
        <v>3</v>
      </c>
      <c r="D611">
        <v>293</v>
      </c>
      <c r="E611" t="s">
        <v>8</v>
      </c>
      <c r="F611" t="s">
        <v>13</v>
      </c>
      <c r="G611" t="s">
        <v>16</v>
      </c>
      <c r="H611">
        <v>0</v>
      </c>
    </row>
    <row r="612" spans="1:8" x14ac:dyDescent="0.35">
      <c r="A612">
        <v>18578</v>
      </c>
      <c r="B612" t="s">
        <v>11</v>
      </c>
      <c r="C612">
        <v>7</v>
      </c>
      <c r="D612">
        <v>426</v>
      </c>
      <c r="E612" t="s">
        <v>15</v>
      </c>
      <c r="F612" t="s">
        <v>13</v>
      </c>
      <c r="G612" t="s">
        <v>10</v>
      </c>
      <c r="H612">
        <v>1</v>
      </c>
    </row>
    <row r="613" spans="1:8" x14ac:dyDescent="0.35">
      <c r="A613">
        <v>11036</v>
      </c>
      <c r="B613" t="s">
        <v>7</v>
      </c>
      <c r="C613">
        <v>9</v>
      </c>
      <c r="D613">
        <v>392</v>
      </c>
      <c r="E613" t="s">
        <v>8</v>
      </c>
      <c r="F613" t="s">
        <v>13</v>
      </c>
      <c r="G613" t="s">
        <v>14</v>
      </c>
      <c r="H613">
        <v>0</v>
      </c>
    </row>
    <row r="614" spans="1:8" x14ac:dyDescent="0.35">
      <c r="A614">
        <v>14745</v>
      </c>
      <c r="B614" t="s">
        <v>11</v>
      </c>
      <c r="C614">
        <v>14</v>
      </c>
      <c r="D614">
        <v>188</v>
      </c>
      <c r="E614" t="s">
        <v>8</v>
      </c>
      <c r="F614" t="s">
        <v>13</v>
      </c>
      <c r="G614" t="s">
        <v>12</v>
      </c>
      <c r="H614">
        <v>0</v>
      </c>
    </row>
    <row r="615" spans="1:8" x14ac:dyDescent="0.35">
      <c r="A615">
        <v>14616</v>
      </c>
      <c r="B615" t="s">
        <v>7</v>
      </c>
      <c r="C615">
        <v>13</v>
      </c>
      <c r="D615">
        <v>104</v>
      </c>
      <c r="E615" t="s">
        <v>8</v>
      </c>
      <c r="F615" t="s">
        <v>9</v>
      </c>
      <c r="G615" t="s">
        <v>10</v>
      </c>
      <c r="H615">
        <v>0</v>
      </c>
    </row>
    <row r="616" spans="1:8" x14ac:dyDescent="0.35">
      <c r="A616">
        <v>17307</v>
      </c>
      <c r="B616" t="s">
        <v>11</v>
      </c>
      <c r="C616">
        <v>2</v>
      </c>
      <c r="D616">
        <v>385</v>
      </c>
      <c r="E616" t="s">
        <v>8</v>
      </c>
      <c r="F616" t="s">
        <v>9</v>
      </c>
      <c r="G616" t="s">
        <v>14</v>
      </c>
      <c r="H616">
        <v>0</v>
      </c>
    </row>
    <row r="617" spans="1:8" x14ac:dyDescent="0.35">
      <c r="A617">
        <v>12429</v>
      </c>
      <c r="B617" t="s">
        <v>11</v>
      </c>
      <c r="C617">
        <v>4</v>
      </c>
      <c r="D617">
        <v>164</v>
      </c>
      <c r="E617" t="s">
        <v>8</v>
      </c>
      <c r="F617" t="s">
        <v>9</v>
      </c>
      <c r="G617" t="s">
        <v>14</v>
      </c>
      <c r="H617">
        <v>0</v>
      </c>
    </row>
    <row r="618" spans="1:8" x14ac:dyDescent="0.35">
      <c r="A618">
        <v>16264</v>
      </c>
      <c r="B618" t="s">
        <v>11</v>
      </c>
      <c r="C618">
        <v>14</v>
      </c>
      <c r="D618">
        <v>342</v>
      </c>
      <c r="E618" t="s">
        <v>8</v>
      </c>
      <c r="F618" t="s">
        <v>9</v>
      </c>
      <c r="G618" t="s">
        <v>16</v>
      </c>
      <c r="H618">
        <v>0</v>
      </c>
    </row>
    <row r="619" spans="1:8" x14ac:dyDescent="0.35">
      <c r="A619">
        <v>18698</v>
      </c>
      <c r="B619" t="s">
        <v>11</v>
      </c>
      <c r="C619">
        <v>1</v>
      </c>
      <c r="D619">
        <v>301</v>
      </c>
      <c r="E619" t="s">
        <v>8</v>
      </c>
      <c r="F619" t="s">
        <v>13</v>
      </c>
      <c r="G619" t="s">
        <v>16</v>
      </c>
      <c r="H619">
        <v>0</v>
      </c>
    </row>
    <row r="620" spans="1:8" x14ac:dyDescent="0.35">
      <c r="A620">
        <v>18521</v>
      </c>
      <c r="B620" t="s">
        <v>11</v>
      </c>
      <c r="C620">
        <v>2</v>
      </c>
      <c r="D620">
        <v>449</v>
      </c>
      <c r="E620" t="s">
        <v>8</v>
      </c>
      <c r="F620" t="s">
        <v>9</v>
      </c>
      <c r="G620" t="s">
        <v>10</v>
      </c>
      <c r="H620">
        <v>0</v>
      </c>
    </row>
    <row r="621" spans="1:8" x14ac:dyDescent="0.35">
      <c r="A621">
        <v>19976</v>
      </c>
      <c r="B621" t="s">
        <v>7</v>
      </c>
      <c r="C621">
        <v>5</v>
      </c>
      <c r="D621">
        <v>263</v>
      </c>
      <c r="E621" t="s">
        <v>8</v>
      </c>
      <c r="F621" t="s">
        <v>9</v>
      </c>
      <c r="G621" t="s">
        <v>14</v>
      </c>
      <c r="H621">
        <v>0</v>
      </c>
    </row>
    <row r="622" spans="1:8" x14ac:dyDescent="0.35">
      <c r="A622">
        <v>18691</v>
      </c>
      <c r="B622" t="s">
        <v>11</v>
      </c>
      <c r="C622">
        <v>11</v>
      </c>
      <c r="D622">
        <v>91</v>
      </c>
      <c r="E622" t="s">
        <v>8</v>
      </c>
      <c r="F622" t="s">
        <v>9</v>
      </c>
      <c r="G622" t="s">
        <v>12</v>
      </c>
      <c r="H622">
        <v>0</v>
      </c>
    </row>
    <row r="623" spans="1:8" x14ac:dyDescent="0.35">
      <c r="A623">
        <v>17576</v>
      </c>
      <c r="B623" t="s">
        <v>7</v>
      </c>
      <c r="C623">
        <v>11</v>
      </c>
      <c r="D623">
        <v>177</v>
      </c>
      <c r="E623" t="s">
        <v>15</v>
      </c>
      <c r="F623" t="s">
        <v>13</v>
      </c>
      <c r="G623" t="s">
        <v>14</v>
      </c>
      <c r="H623">
        <v>1</v>
      </c>
    </row>
    <row r="624" spans="1:8" x14ac:dyDescent="0.35">
      <c r="A624">
        <v>13748</v>
      </c>
      <c r="B624" t="s">
        <v>7</v>
      </c>
      <c r="C624">
        <v>7</v>
      </c>
      <c r="D624">
        <v>264</v>
      </c>
      <c r="E624" t="s">
        <v>8</v>
      </c>
      <c r="F624" t="s">
        <v>13</v>
      </c>
      <c r="G624" t="s">
        <v>16</v>
      </c>
      <c r="H624">
        <v>0</v>
      </c>
    </row>
    <row r="625" spans="1:8" x14ac:dyDescent="0.35">
      <c r="A625">
        <v>12386</v>
      </c>
      <c r="B625" t="s">
        <v>11</v>
      </c>
      <c r="C625">
        <v>9</v>
      </c>
      <c r="D625">
        <v>375</v>
      </c>
      <c r="E625" t="s">
        <v>8</v>
      </c>
      <c r="F625" t="s">
        <v>9</v>
      </c>
      <c r="G625" t="s">
        <v>14</v>
      </c>
      <c r="H625">
        <v>0</v>
      </c>
    </row>
    <row r="626" spans="1:8" x14ac:dyDescent="0.35">
      <c r="A626">
        <v>10794</v>
      </c>
      <c r="B626" t="s">
        <v>7</v>
      </c>
      <c r="C626">
        <v>12</v>
      </c>
      <c r="D626">
        <v>271</v>
      </c>
      <c r="E626" t="s">
        <v>8</v>
      </c>
      <c r="F626" t="s">
        <v>13</v>
      </c>
      <c r="G626" t="s">
        <v>10</v>
      </c>
      <c r="H626">
        <v>0</v>
      </c>
    </row>
    <row r="627" spans="1:8" x14ac:dyDescent="0.35">
      <c r="A627">
        <v>17631</v>
      </c>
      <c r="B627" t="s">
        <v>11</v>
      </c>
      <c r="C627">
        <v>7</v>
      </c>
      <c r="D627">
        <v>212</v>
      </c>
      <c r="E627" t="s">
        <v>15</v>
      </c>
      <c r="F627" t="s">
        <v>9</v>
      </c>
      <c r="G627" t="s">
        <v>14</v>
      </c>
      <c r="H627">
        <v>1</v>
      </c>
    </row>
    <row r="628" spans="1:8" x14ac:dyDescent="0.35">
      <c r="A628">
        <v>18896</v>
      </c>
      <c r="B628" t="s">
        <v>11</v>
      </c>
      <c r="C628">
        <v>8</v>
      </c>
      <c r="D628">
        <v>260</v>
      </c>
      <c r="E628" t="s">
        <v>8</v>
      </c>
      <c r="F628" t="s">
        <v>9</v>
      </c>
      <c r="G628" t="s">
        <v>16</v>
      </c>
      <c r="H628">
        <v>0</v>
      </c>
    </row>
    <row r="629" spans="1:8" x14ac:dyDescent="0.35">
      <c r="A629">
        <v>11038</v>
      </c>
      <c r="B629" t="s">
        <v>7</v>
      </c>
      <c r="C629">
        <v>2</v>
      </c>
      <c r="D629">
        <v>92</v>
      </c>
      <c r="E629" t="s">
        <v>8</v>
      </c>
      <c r="F629" t="s">
        <v>13</v>
      </c>
      <c r="G629" t="s">
        <v>12</v>
      </c>
      <c r="H629">
        <v>0</v>
      </c>
    </row>
    <row r="630" spans="1:8" x14ac:dyDescent="0.35">
      <c r="A630">
        <v>11533</v>
      </c>
      <c r="B630" t="s">
        <v>7</v>
      </c>
      <c r="C630">
        <v>5</v>
      </c>
      <c r="D630">
        <v>409</v>
      </c>
      <c r="E630" t="s">
        <v>8</v>
      </c>
      <c r="F630" t="s">
        <v>13</v>
      </c>
      <c r="G630" t="s">
        <v>14</v>
      </c>
      <c r="H630">
        <v>0</v>
      </c>
    </row>
    <row r="631" spans="1:8" x14ac:dyDescent="0.35">
      <c r="A631">
        <v>18238</v>
      </c>
      <c r="B631" t="s">
        <v>7</v>
      </c>
      <c r="C631">
        <v>4</v>
      </c>
      <c r="D631">
        <v>206</v>
      </c>
      <c r="E631" t="s">
        <v>8</v>
      </c>
      <c r="F631" t="s">
        <v>9</v>
      </c>
      <c r="G631" t="s">
        <v>16</v>
      </c>
      <c r="H631">
        <v>0</v>
      </c>
    </row>
    <row r="632" spans="1:8" x14ac:dyDescent="0.35">
      <c r="A632">
        <v>19730</v>
      </c>
      <c r="B632" t="s">
        <v>7</v>
      </c>
      <c r="C632">
        <v>13</v>
      </c>
      <c r="D632">
        <v>157</v>
      </c>
      <c r="E632" t="s">
        <v>8</v>
      </c>
      <c r="F632" t="s">
        <v>9</v>
      </c>
      <c r="G632" t="s">
        <v>14</v>
      </c>
      <c r="H632">
        <v>0</v>
      </c>
    </row>
    <row r="633" spans="1:8" x14ac:dyDescent="0.35">
      <c r="A633">
        <v>14721</v>
      </c>
      <c r="B633" t="s">
        <v>11</v>
      </c>
      <c r="C633">
        <v>3</v>
      </c>
      <c r="D633">
        <v>263</v>
      </c>
      <c r="E633" t="s">
        <v>8</v>
      </c>
      <c r="F633" t="s">
        <v>9</v>
      </c>
      <c r="G633" t="s">
        <v>16</v>
      </c>
      <c r="H633">
        <v>0</v>
      </c>
    </row>
    <row r="634" spans="1:8" x14ac:dyDescent="0.35">
      <c r="A634">
        <v>10620</v>
      </c>
      <c r="B634" t="s">
        <v>11</v>
      </c>
      <c r="C634">
        <v>9</v>
      </c>
      <c r="D634">
        <v>212</v>
      </c>
      <c r="E634" t="s">
        <v>15</v>
      </c>
      <c r="F634" t="s">
        <v>9</v>
      </c>
      <c r="G634" t="s">
        <v>12</v>
      </c>
      <c r="H634">
        <v>1</v>
      </c>
    </row>
    <row r="635" spans="1:8" x14ac:dyDescent="0.35">
      <c r="A635">
        <v>18718</v>
      </c>
      <c r="B635" t="s">
        <v>11</v>
      </c>
      <c r="C635">
        <v>13</v>
      </c>
      <c r="D635">
        <v>84</v>
      </c>
      <c r="E635" t="s">
        <v>15</v>
      </c>
      <c r="F635" t="s">
        <v>9</v>
      </c>
      <c r="G635" t="s">
        <v>10</v>
      </c>
      <c r="H635">
        <v>1</v>
      </c>
    </row>
    <row r="636" spans="1:8" x14ac:dyDescent="0.35">
      <c r="A636">
        <v>14683</v>
      </c>
      <c r="B636" t="s">
        <v>7</v>
      </c>
      <c r="C636">
        <v>11</v>
      </c>
      <c r="D636">
        <v>290</v>
      </c>
      <c r="E636" t="s">
        <v>8</v>
      </c>
      <c r="F636" t="s">
        <v>9</v>
      </c>
      <c r="G636" t="s">
        <v>16</v>
      </c>
      <c r="H636">
        <v>0</v>
      </c>
    </row>
    <row r="637" spans="1:8" x14ac:dyDescent="0.35">
      <c r="A637">
        <v>16563</v>
      </c>
      <c r="B637" t="s">
        <v>7</v>
      </c>
      <c r="C637">
        <v>10</v>
      </c>
      <c r="D637">
        <v>363</v>
      </c>
      <c r="E637" t="s">
        <v>8</v>
      </c>
      <c r="F637" t="s">
        <v>9</v>
      </c>
      <c r="G637" t="s">
        <v>16</v>
      </c>
      <c r="H637">
        <v>0</v>
      </c>
    </row>
    <row r="638" spans="1:8" x14ac:dyDescent="0.35">
      <c r="A638">
        <v>14599</v>
      </c>
      <c r="B638" t="s">
        <v>7</v>
      </c>
      <c r="C638">
        <v>4</v>
      </c>
      <c r="D638">
        <v>109</v>
      </c>
      <c r="E638" t="s">
        <v>8</v>
      </c>
      <c r="F638" t="s">
        <v>9</v>
      </c>
      <c r="G638" t="s">
        <v>16</v>
      </c>
      <c r="H638">
        <v>0</v>
      </c>
    </row>
    <row r="639" spans="1:8" x14ac:dyDescent="0.35">
      <c r="A639">
        <v>19411</v>
      </c>
      <c r="B639" t="s">
        <v>11</v>
      </c>
      <c r="C639">
        <v>1</v>
      </c>
      <c r="D639">
        <v>312</v>
      </c>
      <c r="E639" t="s">
        <v>8</v>
      </c>
      <c r="F639" t="s">
        <v>9</v>
      </c>
      <c r="G639" t="s">
        <v>10</v>
      </c>
      <c r="H639">
        <v>0</v>
      </c>
    </row>
    <row r="640" spans="1:8" x14ac:dyDescent="0.35">
      <c r="A640">
        <v>12454</v>
      </c>
      <c r="B640" t="s">
        <v>7</v>
      </c>
      <c r="C640">
        <v>4</v>
      </c>
      <c r="D640">
        <v>376</v>
      </c>
      <c r="E640" t="s">
        <v>15</v>
      </c>
      <c r="F640" t="s">
        <v>9</v>
      </c>
      <c r="G640" t="s">
        <v>12</v>
      </c>
      <c r="H640">
        <v>1</v>
      </c>
    </row>
    <row r="641" spans="1:8" x14ac:dyDescent="0.35">
      <c r="A641">
        <v>15053</v>
      </c>
      <c r="B641" t="s">
        <v>7</v>
      </c>
      <c r="C641">
        <v>2</v>
      </c>
      <c r="D641">
        <v>288</v>
      </c>
      <c r="E641" t="s">
        <v>8</v>
      </c>
      <c r="F641" t="s">
        <v>13</v>
      </c>
      <c r="G641" t="s">
        <v>10</v>
      </c>
      <c r="H641">
        <v>0</v>
      </c>
    </row>
    <row r="642" spans="1:8" x14ac:dyDescent="0.35">
      <c r="A642">
        <v>19458</v>
      </c>
      <c r="B642" t="s">
        <v>11</v>
      </c>
      <c r="C642">
        <v>7</v>
      </c>
      <c r="D642">
        <v>115</v>
      </c>
      <c r="E642" t="s">
        <v>15</v>
      </c>
      <c r="F642" t="s">
        <v>13</v>
      </c>
      <c r="G642" t="s">
        <v>16</v>
      </c>
      <c r="H642">
        <v>1</v>
      </c>
    </row>
    <row r="643" spans="1:8" x14ac:dyDescent="0.35">
      <c r="A643">
        <v>19142</v>
      </c>
      <c r="B643" t="s">
        <v>11</v>
      </c>
      <c r="C643">
        <v>6</v>
      </c>
      <c r="D643">
        <v>188</v>
      </c>
      <c r="E643" t="s">
        <v>15</v>
      </c>
      <c r="F643" t="s">
        <v>9</v>
      </c>
      <c r="G643" t="s">
        <v>12</v>
      </c>
      <c r="H643">
        <v>1</v>
      </c>
    </row>
    <row r="644" spans="1:8" x14ac:dyDescent="0.35">
      <c r="A644">
        <v>13153</v>
      </c>
      <c r="B644" t="s">
        <v>11</v>
      </c>
      <c r="C644">
        <v>8</v>
      </c>
      <c r="D644">
        <v>279</v>
      </c>
      <c r="E644" t="s">
        <v>8</v>
      </c>
      <c r="F644" t="s">
        <v>13</v>
      </c>
      <c r="G644" t="s">
        <v>16</v>
      </c>
      <c r="H644">
        <v>0</v>
      </c>
    </row>
    <row r="645" spans="1:8" x14ac:dyDescent="0.35">
      <c r="A645">
        <v>12961</v>
      </c>
      <c r="B645" t="s">
        <v>11</v>
      </c>
      <c r="C645">
        <v>7</v>
      </c>
      <c r="D645">
        <v>308</v>
      </c>
      <c r="E645" t="s">
        <v>8</v>
      </c>
      <c r="F645" t="s">
        <v>9</v>
      </c>
      <c r="G645" t="s">
        <v>16</v>
      </c>
      <c r="H645">
        <v>0</v>
      </c>
    </row>
    <row r="646" spans="1:8" x14ac:dyDescent="0.35">
      <c r="A646">
        <v>12974</v>
      </c>
      <c r="B646" t="s">
        <v>11</v>
      </c>
      <c r="C646">
        <v>10</v>
      </c>
      <c r="D646">
        <v>47</v>
      </c>
      <c r="E646" t="s">
        <v>8</v>
      </c>
      <c r="F646" t="s">
        <v>9</v>
      </c>
      <c r="G646" t="s">
        <v>12</v>
      </c>
      <c r="H646">
        <v>0</v>
      </c>
    </row>
    <row r="647" spans="1:8" x14ac:dyDescent="0.35">
      <c r="A647">
        <v>12036</v>
      </c>
      <c r="B647" t="s">
        <v>11</v>
      </c>
      <c r="C647">
        <v>9</v>
      </c>
      <c r="D647">
        <v>393</v>
      </c>
      <c r="E647" t="s">
        <v>8</v>
      </c>
      <c r="F647" t="s">
        <v>13</v>
      </c>
      <c r="G647" t="s">
        <v>12</v>
      </c>
      <c r="H647">
        <v>0</v>
      </c>
    </row>
    <row r="648" spans="1:8" x14ac:dyDescent="0.35">
      <c r="A648">
        <v>14454</v>
      </c>
      <c r="B648" t="s">
        <v>11</v>
      </c>
      <c r="C648">
        <v>7</v>
      </c>
      <c r="D648">
        <v>345</v>
      </c>
      <c r="E648" t="s">
        <v>15</v>
      </c>
      <c r="F648" t="s">
        <v>9</v>
      </c>
      <c r="G648" t="s">
        <v>16</v>
      </c>
      <c r="H648">
        <v>1</v>
      </c>
    </row>
    <row r="649" spans="1:8" x14ac:dyDescent="0.35">
      <c r="A649">
        <v>18370</v>
      </c>
      <c r="B649" t="s">
        <v>11</v>
      </c>
      <c r="C649">
        <v>5</v>
      </c>
      <c r="D649">
        <v>442</v>
      </c>
      <c r="E649" t="s">
        <v>8</v>
      </c>
      <c r="F649" t="s">
        <v>13</v>
      </c>
      <c r="G649" t="s">
        <v>12</v>
      </c>
      <c r="H649">
        <v>0</v>
      </c>
    </row>
    <row r="650" spans="1:8" x14ac:dyDescent="0.35">
      <c r="A650">
        <v>17235</v>
      </c>
      <c r="B650" t="s">
        <v>7</v>
      </c>
      <c r="C650">
        <v>5</v>
      </c>
      <c r="D650">
        <v>439</v>
      </c>
      <c r="E650" t="s">
        <v>8</v>
      </c>
      <c r="F650" t="s">
        <v>9</v>
      </c>
      <c r="G650" t="s">
        <v>14</v>
      </c>
      <c r="H650">
        <v>0</v>
      </c>
    </row>
    <row r="651" spans="1:8" x14ac:dyDescent="0.35">
      <c r="A651">
        <v>11866</v>
      </c>
      <c r="B651" t="s">
        <v>11</v>
      </c>
      <c r="C651">
        <v>1</v>
      </c>
      <c r="D651">
        <v>257</v>
      </c>
      <c r="E651" t="s">
        <v>8</v>
      </c>
      <c r="F651" t="s">
        <v>9</v>
      </c>
      <c r="G651" t="s">
        <v>12</v>
      </c>
      <c r="H651">
        <v>0</v>
      </c>
    </row>
    <row r="652" spans="1:8" x14ac:dyDescent="0.35">
      <c r="A652">
        <v>17182</v>
      </c>
      <c r="B652" t="s">
        <v>7</v>
      </c>
      <c r="C652">
        <v>5</v>
      </c>
      <c r="D652">
        <v>111</v>
      </c>
      <c r="E652" t="s">
        <v>8</v>
      </c>
      <c r="F652" t="s">
        <v>13</v>
      </c>
      <c r="G652" t="s">
        <v>10</v>
      </c>
      <c r="H652">
        <v>0</v>
      </c>
    </row>
    <row r="653" spans="1:8" x14ac:dyDescent="0.35">
      <c r="A653">
        <v>14550</v>
      </c>
      <c r="B653" t="s">
        <v>7</v>
      </c>
      <c r="C653">
        <v>4</v>
      </c>
      <c r="D653">
        <v>59</v>
      </c>
      <c r="E653" t="s">
        <v>15</v>
      </c>
      <c r="F653" t="s">
        <v>9</v>
      </c>
      <c r="G653" t="s">
        <v>12</v>
      </c>
      <c r="H653">
        <v>1</v>
      </c>
    </row>
    <row r="654" spans="1:8" x14ac:dyDescent="0.35">
      <c r="A654">
        <v>10952</v>
      </c>
      <c r="B654" t="s">
        <v>7</v>
      </c>
      <c r="C654">
        <v>3</v>
      </c>
      <c r="D654">
        <v>413</v>
      </c>
      <c r="E654" t="s">
        <v>8</v>
      </c>
      <c r="F654" t="s">
        <v>13</v>
      </c>
      <c r="G654" t="s">
        <v>10</v>
      </c>
      <c r="H654">
        <v>0</v>
      </c>
    </row>
    <row r="655" spans="1:8" x14ac:dyDescent="0.35">
      <c r="A655">
        <v>11183</v>
      </c>
      <c r="B655" t="s">
        <v>7</v>
      </c>
      <c r="C655">
        <v>12</v>
      </c>
      <c r="D655">
        <v>155</v>
      </c>
      <c r="E655" t="s">
        <v>8</v>
      </c>
      <c r="F655" t="s">
        <v>13</v>
      </c>
      <c r="G655" t="s">
        <v>12</v>
      </c>
      <c r="H655">
        <v>0</v>
      </c>
    </row>
    <row r="656" spans="1:8" x14ac:dyDescent="0.35">
      <c r="A656">
        <v>13666</v>
      </c>
      <c r="B656" t="s">
        <v>7</v>
      </c>
      <c r="C656">
        <v>4</v>
      </c>
      <c r="D656">
        <v>84</v>
      </c>
      <c r="E656" t="s">
        <v>8</v>
      </c>
      <c r="F656" t="s">
        <v>9</v>
      </c>
      <c r="G656" t="s">
        <v>10</v>
      </c>
      <c r="H656">
        <v>0</v>
      </c>
    </row>
    <row r="657" spans="1:8" x14ac:dyDescent="0.35">
      <c r="A657">
        <v>18075</v>
      </c>
      <c r="B657" t="s">
        <v>11</v>
      </c>
      <c r="C657">
        <v>13</v>
      </c>
      <c r="D657">
        <v>396</v>
      </c>
      <c r="E657" t="s">
        <v>8</v>
      </c>
      <c r="F657" t="s">
        <v>9</v>
      </c>
      <c r="G657" t="s">
        <v>16</v>
      </c>
      <c r="H657">
        <v>0</v>
      </c>
    </row>
    <row r="658" spans="1:8" x14ac:dyDescent="0.35">
      <c r="A658">
        <v>10919</v>
      </c>
      <c r="B658" t="s">
        <v>7</v>
      </c>
      <c r="C658">
        <v>11</v>
      </c>
      <c r="D658">
        <v>230</v>
      </c>
      <c r="E658" t="s">
        <v>8</v>
      </c>
      <c r="F658" t="s">
        <v>13</v>
      </c>
      <c r="G658" t="s">
        <v>16</v>
      </c>
      <c r="H658">
        <v>0</v>
      </c>
    </row>
    <row r="659" spans="1:8" x14ac:dyDescent="0.35">
      <c r="A659">
        <v>16162</v>
      </c>
      <c r="B659" t="s">
        <v>7</v>
      </c>
      <c r="C659">
        <v>9</v>
      </c>
      <c r="D659">
        <v>218</v>
      </c>
      <c r="E659" t="s">
        <v>15</v>
      </c>
      <c r="F659" t="s">
        <v>13</v>
      </c>
      <c r="G659" t="s">
        <v>10</v>
      </c>
      <c r="H659">
        <v>1</v>
      </c>
    </row>
    <row r="660" spans="1:8" x14ac:dyDescent="0.35">
      <c r="A660">
        <v>11438</v>
      </c>
      <c r="B660" t="s">
        <v>7</v>
      </c>
      <c r="C660">
        <v>11</v>
      </c>
      <c r="D660">
        <v>427</v>
      </c>
      <c r="E660" t="s">
        <v>8</v>
      </c>
      <c r="F660" t="s">
        <v>13</v>
      </c>
      <c r="G660" t="s">
        <v>16</v>
      </c>
      <c r="H660">
        <v>0</v>
      </c>
    </row>
    <row r="661" spans="1:8" x14ac:dyDescent="0.35">
      <c r="A661">
        <v>16038</v>
      </c>
      <c r="B661" t="s">
        <v>11</v>
      </c>
      <c r="C661">
        <v>2</v>
      </c>
      <c r="D661">
        <v>320</v>
      </c>
      <c r="E661" t="s">
        <v>8</v>
      </c>
      <c r="F661" t="s">
        <v>13</v>
      </c>
      <c r="G661" t="s">
        <v>14</v>
      </c>
      <c r="H661">
        <v>0</v>
      </c>
    </row>
    <row r="662" spans="1:8" x14ac:dyDescent="0.35">
      <c r="A662">
        <v>18597</v>
      </c>
      <c r="B662" t="s">
        <v>11</v>
      </c>
      <c r="C662">
        <v>14</v>
      </c>
      <c r="D662">
        <v>128</v>
      </c>
      <c r="E662" t="s">
        <v>8</v>
      </c>
      <c r="F662" t="s">
        <v>9</v>
      </c>
      <c r="G662" t="s">
        <v>12</v>
      </c>
      <c r="H662">
        <v>0</v>
      </c>
    </row>
    <row r="663" spans="1:8" x14ac:dyDescent="0.35">
      <c r="A663">
        <v>19486</v>
      </c>
      <c r="B663" t="s">
        <v>11</v>
      </c>
      <c r="C663">
        <v>4</v>
      </c>
      <c r="D663">
        <v>123</v>
      </c>
      <c r="E663" t="s">
        <v>8</v>
      </c>
      <c r="F663" t="s">
        <v>9</v>
      </c>
      <c r="G663" t="s">
        <v>10</v>
      </c>
      <c r="H663">
        <v>0</v>
      </c>
    </row>
    <row r="664" spans="1:8" x14ac:dyDescent="0.35">
      <c r="A664">
        <v>14902</v>
      </c>
      <c r="B664" t="s">
        <v>11</v>
      </c>
      <c r="C664">
        <v>13</v>
      </c>
      <c r="D664">
        <v>181</v>
      </c>
      <c r="E664" t="s">
        <v>8</v>
      </c>
      <c r="F664" t="s">
        <v>13</v>
      </c>
      <c r="G664" t="s">
        <v>12</v>
      </c>
      <c r="H664">
        <v>0</v>
      </c>
    </row>
    <row r="665" spans="1:8" x14ac:dyDescent="0.35">
      <c r="A665">
        <v>10345</v>
      </c>
      <c r="B665" t="s">
        <v>7</v>
      </c>
      <c r="C665">
        <v>10</v>
      </c>
      <c r="D665">
        <v>126</v>
      </c>
      <c r="E665" t="s">
        <v>8</v>
      </c>
      <c r="F665" t="s">
        <v>9</v>
      </c>
      <c r="G665" t="s">
        <v>16</v>
      </c>
      <c r="H665">
        <v>0</v>
      </c>
    </row>
    <row r="666" spans="1:8" x14ac:dyDescent="0.35">
      <c r="A666">
        <v>15712</v>
      </c>
      <c r="B666" t="s">
        <v>11</v>
      </c>
      <c r="C666">
        <v>6</v>
      </c>
      <c r="D666">
        <v>257</v>
      </c>
      <c r="E666" t="s">
        <v>8</v>
      </c>
      <c r="F666" t="s">
        <v>13</v>
      </c>
      <c r="G666" t="s">
        <v>12</v>
      </c>
      <c r="H666">
        <v>0</v>
      </c>
    </row>
    <row r="667" spans="1:8" x14ac:dyDescent="0.35">
      <c r="A667">
        <v>11120</v>
      </c>
      <c r="B667" t="s">
        <v>7</v>
      </c>
      <c r="C667">
        <v>13</v>
      </c>
      <c r="D667">
        <v>136</v>
      </c>
      <c r="E667" t="s">
        <v>8</v>
      </c>
      <c r="F667" t="s">
        <v>13</v>
      </c>
      <c r="G667" t="s">
        <v>12</v>
      </c>
      <c r="H667">
        <v>0</v>
      </c>
    </row>
    <row r="668" spans="1:8" x14ac:dyDescent="0.35">
      <c r="A668">
        <v>10174</v>
      </c>
      <c r="B668" t="s">
        <v>11</v>
      </c>
      <c r="C668">
        <v>6</v>
      </c>
      <c r="D668">
        <v>393</v>
      </c>
      <c r="E668" t="s">
        <v>8</v>
      </c>
      <c r="F668" t="s">
        <v>9</v>
      </c>
      <c r="G668" t="s">
        <v>14</v>
      </c>
      <c r="H668">
        <v>0</v>
      </c>
    </row>
    <row r="669" spans="1:8" x14ac:dyDescent="0.35">
      <c r="A669">
        <v>14876</v>
      </c>
      <c r="B669" t="s">
        <v>7</v>
      </c>
      <c r="C669">
        <v>11</v>
      </c>
      <c r="D669">
        <v>251</v>
      </c>
      <c r="E669" t="s">
        <v>8</v>
      </c>
      <c r="F669" t="s">
        <v>13</v>
      </c>
      <c r="G669" t="s">
        <v>12</v>
      </c>
      <c r="H669">
        <v>0</v>
      </c>
    </row>
    <row r="670" spans="1:8" x14ac:dyDescent="0.35">
      <c r="A670">
        <v>18468</v>
      </c>
      <c r="B670" t="s">
        <v>11</v>
      </c>
      <c r="C670">
        <v>10</v>
      </c>
      <c r="D670">
        <v>165</v>
      </c>
      <c r="E670" t="s">
        <v>8</v>
      </c>
      <c r="F670" t="s">
        <v>9</v>
      </c>
      <c r="G670" t="s">
        <v>10</v>
      </c>
      <c r="H670">
        <v>0</v>
      </c>
    </row>
    <row r="671" spans="1:8" x14ac:dyDescent="0.35">
      <c r="A671">
        <v>13766</v>
      </c>
      <c r="B671" t="s">
        <v>11</v>
      </c>
      <c r="C671">
        <v>12</v>
      </c>
      <c r="D671">
        <v>445</v>
      </c>
      <c r="E671" t="s">
        <v>8</v>
      </c>
      <c r="F671" t="s">
        <v>9</v>
      </c>
      <c r="G671" t="s">
        <v>16</v>
      </c>
      <c r="H671">
        <v>0</v>
      </c>
    </row>
    <row r="672" spans="1:8" x14ac:dyDescent="0.35">
      <c r="A672">
        <v>17083</v>
      </c>
      <c r="B672" t="s">
        <v>7</v>
      </c>
      <c r="C672">
        <v>11</v>
      </c>
      <c r="D672">
        <v>99</v>
      </c>
      <c r="E672" t="s">
        <v>8</v>
      </c>
      <c r="F672" t="s">
        <v>9</v>
      </c>
      <c r="G672" t="s">
        <v>16</v>
      </c>
      <c r="H672">
        <v>0</v>
      </c>
    </row>
    <row r="673" spans="1:8" x14ac:dyDescent="0.35">
      <c r="A673">
        <v>16685</v>
      </c>
      <c r="B673" t="s">
        <v>7</v>
      </c>
      <c r="C673">
        <v>4</v>
      </c>
      <c r="D673">
        <v>424</v>
      </c>
      <c r="E673" t="s">
        <v>8</v>
      </c>
      <c r="F673" t="s">
        <v>13</v>
      </c>
      <c r="G673" t="s">
        <v>12</v>
      </c>
      <c r="H673">
        <v>0</v>
      </c>
    </row>
    <row r="674" spans="1:8" x14ac:dyDescent="0.35">
      <c r="A674">
        <v>17841</v>
      </c>
      <c r="B674" t="s">
        <v>7</v>
      </c>
      <c r="C674">
        <v>14</v>
      </c>
      <c r="D674">
        <v>229</v>
      </c>
      <c r="E674" t="s">
        <v>15</v>
      </c>
      <c r="F674" t="s">
        <v>13</v>
      </c>
      <c r="G674" t="s">
        <v>10</v>
      </c>
      <c r="H674">
        <v>1</v>
      </c>
    </row>
    <row r="675" spans="1:8" x14ac:dyDescent="0.35">
      <c r="A675">
        <v>14722</v>
      </c>
      <c r="B675" t="s">
        <v>11</v>
      </c>
      <c r="C675">
        <v>9</v>
      </c>
      <c r="D675">
        <v>47</v>
      </c>
      <c r="E675" t="s">
        <v>8</v>
      </c>
      <c r="F675" t="s">
        <v>9</v>
      </c>
      <c r="G675" t="s">
        <v>16</v>
      </c>
      <c r="H675">
        <v>0</v>
      </c>
    </row>
    <row r="676" spans="1:8" x14ac:dyDescent="0.35">
      <c r="A676">
        <v>17950</v>
      </c>
      <c r="B676" t="s">
        <v>7</v>
      </c>
      <c r="C676">
        <v>10</v>
      </c>
      <c r="D676">
        <v>174</v>
      </c>
      <c r="E676" t="s">
        <v>8</v>
      </c>
      <c r="F676" t="s">
        <v>9</v>
      </c>
      <c r="G676" t="s">
        <v>16</v>
      </c>
      <c r="H676">
        <v>0</v>
      </c>
    </row>
    <row r="677" spans="1:8" x14ac:dyDescent="0.35">
      <c r="A677">
        <v>10674</v>
      </c>
      <c r="B677" t="s">
        <v>11</v>
      </c>
      <c r="C677">
        <v>12</v>
      </c>
      <c r="D677">
        <v>130</v>
      </c>
      <c r="E677" t="s">
        <v>8</v>
      </c>
      <c r="F677" t="s">
        <v>13</v>
      </c>
      <c r="G677" t="s">
        <v>12</v>
      </c>
      <c r="H677">
        <v>0</v>
      </c>
    </row>
    <row r="678" spans="1:8" x14ac:dyDescent="0.35">
      <c r="A678">
        <v>16345</v>
      </c>
      <c r="B678" t="s">
        <v>7</v>
      </c>
      <c r="C678">
        <v>10</v>
      </c>
      <c r="D678">
        <v>200</v>
      </c>
      <c r="E678" t="s">
        <v>8</v>
      </c>
      <c r="F678" t="s">
        <v>13</v>
      </c>
      <c r="G678" t="s">
        <v>16</v>
      </c>
      <c r="H678">
        <v>0</v>
      </c>
    </row>
    <row r="679" spans="1:8" x14ac:dyDescent="0.35">
      <c r="A679">
        <v>10503</v>
      </c>
      <c r="B679" t="s">
        <v>11</v>
      </c>
      <c r="C679">
        <v>7</v>
      </c>
      <c r="D679">
        <v>445</v>
      </c>
      <c r="E679" t="s">
        <v>8</v>
      </c>
      <c r="F679" t="s">
        <v>13</v>
      </c>
      <c r="G679" t="s">
        <v>12</v>
      </c>
      <c r="H679">
        <v>0</v>
      </c>
    </row>
    <row r="680" spans="1:8" x14ac:dyDescent="0.35">
      <c r="A680">
        <v>10858</v>
      </c>
      <c r="B680" t="s">
        <v>7</v>
      </c>
      <c r="C680">
        <v>12</v>
      </c>
      <c r="D680">
        <v>219</v>
      </c>
      <c r="E680" t="s">
        <v>8</v>
      </c>
      <c r="F680" t="s">
        <v>13</v>
      </c>
      <c r="G680" t="s">
        <v>14</v>
      </c>
      <c r="H680">
        <v>0</v>
      </c>
    </row>
    <row r="681" spans="1:8" x14ac:dyDescent="0.35">
      <c r="A681">
        <v>10305</v>
      </c>
      <c r="B681" t="s">
        <v>11</v>
      </c>
      <c r="C681">
        <v>2</v>
      </c>
      <c r="D681">
        <v>410</v>
      </c>
      <c r="E681" t="s">
        <v>8</v>
      </c>
      <c r="F681" t="s">
        <v>13</v>
      </c>
      <c r="G681" t="s">
        <v>10</v>
      </c>
      <c r="H681">
        <v>0</v>
      </c>
    </row>
    <row r="682" spans="1:8" x14ac:dyDescent="0.35">
      <c r="A682">
        <v>17190</v>
      </c>
      <c r="B682" t="s">
        <v>11</v>
      </c>
      <c r="C682">
        <v>10</v>
      </c>
      <c r="D682">
        <v>54</v>
      </c>
      <c r="E682" t="s">
        <v>8</v>
      </c>
      <c r="F682" t="s">
        <v>13</v>
      </c>
      <c r="G682" t="s">
        <v>16</v>
      </c>
      <c r="H682">
        <v>0</v>
      </c>
    </row>
    <row r="683" spans="1:8" x14ac:dyDescent="0.35">
      <c r="A683">
        <v>11322</v>
      </c>
      <c r="B683" t="s">
        <v>11</v>
      </c>
      <c r="C683">
        <v>5</v>
      </c>
      <c r="D683">
        <v>242</v>
      </c>
      <c r="E683" t="s">
        <v>8</v>
      </c>
      <c r="F683" t="s">
        <v>9</v>
      </c>
      <c r="G683" t="s">
        <v>14</v>
      </c>
      <c r="H683">
        <v>0</v>
      </c>
    </row>
    <row r="684" spans="1:8" x14ac:dyDescent="0.35">
      <c r="A684">
        <v>10449</v>
      </c>
      <c r="B684" t="s">
        <v>11</v>
      </c>
      <c r="C684">
        <v>13</v>
      </c>
      <c r="D684">
        <v>70</v>
      </c>
      <c r="E684" t="s">
        <v>8</v>
      </c>
      <c r="F684" t="s">
        <v>9</v>
      </c>
      <c r="G684" t="s">
        <v>14</v>
      </c>
      <c r="H684">
        <v>0</v>
      </c>
    </row>
    <row r="685" spans="1:8" x14ac:dyDescent="0.35">
      <c r="A685">
        <v>11071</v>
      </c>
      <c r="B685" t="s">
        <v>7</v>
      </c>
      <c r="C685">
        <v>11</v>
      </c>
      <c r="D685">
        <v>146</v>
      </c>
      <c r="E685" t="s">
        <v>8</v>
      </c>
      <c r="F685" t="s">
        <v>13</v>
      </c>
      <c r="G685" t="s">
        <v>16</v>
      </c>
      <c r="H685">
        <v>0</v>
      </c>
    </row>
    <row r="686" spans="1:8" x14ac:dyDescent="0.35">
      <c r="A686">
        <v>12581</v>
      </c>
      <c r="B686" t="s">
        <v>11</v>
      </c>
      <c r="C686">
        <v>10</v>
      </c>
      <c r="D686">
        <v>210</v>
      </c>
      <c r="E686" t="s">
        <v>8</v>
      </c>
      <c r="F686" t="s">
        <v>9</v>
      </c>
      <c r="G686" t="s">
        <v>10</v>
      </c>
      <c r="H686">
        <v>0</v>
      </c>
    </row>
    <row r="687" spans="1:8" x14ac:dyDescent="0.35">
      <c r="A687">
        <v>12443</v>
      </c>
      <c r="B687" t="s">
        <v>11</v>
      </c>
      <c r="C687">
        <v>7</v>
      </c>
      <c r="D687">
        <v>293</v>
      </c>
      <c r="E687" t="s">
        <v>8</v>
      </c>
      <c r="F687" t="s">
        <v>13</v>
      </c>
      <c r="G687" t="s">
        <v>12</v>
      </c>
      <c r="H687">
        <v>0</v>
      </c>
    </row>
    <row r="688" spans="1:8" x14ac:dyDescent="0.35">
      <c r="A688">
        <v>16441</v>
      </c>
      <c r="B688" t="s">
        <v>11</v>
      </c>
      <c r="C688">
        <v>6</v>
      </c>
      <c r="D688">
        <v>322</v>
      </c>
      <c r="E688" t="s">
        <v>8</v>
      </c>
      <c r="F688" t="s">
        <v>9</v>
      </c>
      <c r="G688" t="s">
        <v>14</v>
      </c>
      <c r="H688">
        <v>0</v>
      </c>
    </row>
    <row r="689" spans="1:8" x14ac:dyDescent="0.35">
      <c r="A689">
        <v>15636</v>
      </c>
      <c r="B689" t="s">
        <v>7</v>
      </c>
      <c r="C689">
        <v>3</v>
      </c>
      <c r="D689">
        <v>286</v>
      </c>
      <c r="E689" t="s">
        <v>8</v>
      </c>
      <c r="F689" t="s">
        <v>9</v>
      </c>
      <c r="G689" t="s">
        <v>16</v>
      </c>
      <c r="H689">
        <v>0</v>
      </c>
    </row>
    <row r="690" spans="1:8" x14ac:dyDescent="0.35">
      <c r="A690">
        <v>14217</v>
      </c>
      <c r="B690" t="s">
        <v>11</v>
      </c>
      <c r="C690">
        <v>13</v>
      </c>
      <c r="D690">
        <v>379</v>
      </c>
      <c r="E690" t="s">
        <v>8</v>
      </c>
      <c r="F690" t="s">
        <v>13</v>
      </c>
      <c r="G690" t="s">
        <v>12</v>
      </c>
      <c r="H690">
        <v>0</v>
      </c>
    </row>
    <row r="691" spans="1:8" x14ac:dyDescent="0.35">
      <c r="A691">
        <v>11529</v>
      </c>
      <c r="B691" t="s">
        <v>11</v>
      </c>
      <c r="C691">
        <v>11</v>
      </c>
      <c r="D691">
        <v>271</v>
      </c>
      <c r="E691" t="s">
        <v>8</v>
      </c>
      <c r="F691" t="s">
        <v>13</v>
      </c>
      <c r="G691" t="s">
        <v>16</v>
      </c>
      <c r="H691">
        <v>0</v>
      </c>
    </row>
    <row r="692" spans="1:8" x14ac:dyDescent="0.35">
      <c r="A692">
        <v>15950</v>
      </c>
      <c r="B692" t="s">
        <v>11</v>
      </c>
      <c r="C692">
        <v>8</v>
      </c>
      <c r="D692">
        <v>81</v>
      </c>
      <c r="E692" t="s">
        <v>8</v>
      </c>
      <c r="F692" t="s">
        <v>13</v>
      </c>
      <c r="G692" t="s">
        <v>10</v>
      </c>
      <c r="H692">
        <v>0</v>
      </c>
    </row>
    <row r="693" spans="1:8" x14ac:dyDescent="0.35">
      <c r="A693">
        <v>13097</v>
      </c>
      <c r="B693" t="s">
        <v>11</v>
      </c>
      <c r="C693">
        <v>9</v>
      </c>
      <c r="D693">
        <v>424</v>
      </c>
      <c r="E693" t="s">
        <v>8</v>
      </c>
      <c r="F693" t="s">
        <v>9</v>
      </c>
      <c r="G693" t="s">
        <v>12</v>
      </c>
      <c r="H693">
        <v>0</v>
      </c>
    </row>
    <row r="694" spans="1:8" x14ac:dyDescent="0.35">
      <c r="A694">
        <v>14909</v>
      </c>
      <c r="B694" t="s">
        <v>11</v>
      </c>
      <c r="C694">
        <v>12</v>
      </c>
      <c r="D694">
        <v>262</v>
      </c>
      <c r="E694" t="s">
        <v>15</v>
      </c>
      <c r="F694" t="s">
        <v>13</v>
      </c>
      <c r="G694" t="s">
        <v>16</v>
      </c>
      <c r="H694">
        <v>1</v>
      </c>
    </row>
    <row r="695" spans="1:8" x14ac:dyDescent="0.35">
      <c r="A695">
        <v>19785</v>
      </c>
      <c r="B695" t="s">
        <v>11</v>
      </c>
      <c r="C695">
        <v>5</v>
      </c>
      <c r="D695">
        <v>355</v>
      </c>
      <c r="E695" t="s">
        <v>8</v>
      </c>
      <c r="F695" t="s">
        <v>13</v>
      </c>
      <c r="G695" t="s">
        <v>12</v>
      </c>
      <c r="H695">
        <v>0</v>
      </c>
    </row>
    <row r="696" spans="1:8" x14ac:dyDescent="0.35">
      <c r="A696">
        <v>15769</v>
      </c>
      <c r="B696" t="s">
        <v>11</v>
      </c>
      <c r="C696">
        <v>12</v>
      </c>
      <c r="D696">
        <v>122</v>
      </c>
      <c r="E696" t="s">
        <v>8</v>
      </c>
      <c r="F696" t="s">
        <v>13</v>
      </c>
      <c r="G696" t="s">
        <v>16</v>
      </c>
      <c r="H696">
        <v>0</v>
      </c>
    </row>
    <row r="697" spans="1:8" x14ac:dyDescent="0.35">
      <c r="A697">
        <v>12726</v>
      </c>
      <c r="B697" t="s">
        <v>7</v>
      </c>
      <c r="C697">
        <v>3</v>
      </c>
      <c r="D697">
        <v>233</v>
      </c>
      <c r="E697" t="s">
        <v>8</v>
      </c>
      <c r="F697" t="s">
        <v>9</v>
      </c>
      <c r="G697" t="s">
        <v>16</v>
      </c>
      <c r="H697">
        <v>0</v>
      </c>
    </row>
    <row r="698" spans="1:8" x14ac:dyDescent="0.35">
      <c r="A698">
        <v>16824</v>
      </c>
      <c r="B698" t="s">
        <v>11</v>
      </c>
      <c r="C698">
        <v>7</v>
      </c>
      <c r="D698">
        <v>292</v>
      </c>
      <c r="E698" t="s">
        <v>8</v>
      </c>
      <c r="F698" t="s">
        <v>9</v>
      </c>
      <c r="G698" t="s">
        <v>16</v>
      </c>
      <c r="H698">
        <v>0</v>
      </c>
    </row>
    <row r="699" spans="1:8" x14ac:dyDescent="0.35">
      <c r="A699">
        <v>17122</v>
      </c>
      <c r="B699" t="s">
        <v>11</v>
      </c>
      <c r="C699">
        <v>4</v>
      </c>
      <c r="D699">
        <v>422</v>
      </c>
      <c r="E699" t="s">
        <v>8</v>
      </c>
      <c r="F699" t="s">
        <v>9</v>
      </c>
      <c r="G699" t="s">
        <v>10</v>
      </c>
      <c r="H699">
        <v>0</v>
      </c>
    </row>
    <row r="700" spans="1:8" x14ac:dyDescent="0.35">
      <c r="A700">
        <v>10161</v>
      </c>
      <c r="B700" t="s">
        <v>7</v>
      </c>
      <c r="C700">
        <v>5</v>
      </c>
      <c r="D700">
        <v>231</v>
      </c>
      <c r="E700" t="s">
        <v>8</v>
      </c>
      <c r="F700" t="s">
        <v>9</v>
      </c>
      <c r="G700" t="s">
        <v>10</v>
      </c>
      <c r="H700">
        <v>0</v>
      </c>
    </row>
    <row r="701" spans="1:8" x14ac:dyDescent="0.35">
      <c r="A701">
        <v>12863</v>
      </c>
      <c r="B701" t="s">
        <v>11</v>
      </c>
      <c r="C701">
        <v>4</v>
      </c>
      <c r="D701">
        <v>226</v>
      </c>
      <c r="E701" t="s">
        <v>8</v>
      </c>
      <c r="F701" t="s">
        <v>9</v>
      </c>
      <c r="G701" t="s">
        <v>14</v>
      </c>
      <c r="H701">
        <v>0</v>
      </c>
    </row>
    <row r="702" spans="1:8" x14ac:dyDescent="0.35">
      <c r="A702">
        <v>13598</v>
      </c>
      <c r="B702" t="s">
        <v>11</v>
      </c>
      <c r="C702">
        <v>7</v>
      </c>
      <c r="D702">
        <v>324</v>
      </c>
      <c r="E702" t="s">
        <v>8</v>
      </c>
      <c r="F702" t="s">
        <v>13</v>
      </c>
      <c r="G702" t="s">
        <v>16</v>
      </c>
      <c r="H702">
        <v>0</v>
      </c>
    </row>
    <row r="703" spans="1:8" x14ac:dyDescent="0.35">
      <c r="A703">
        <v>19759</v>
      </c>
      <c r="B703" t="s">
        <v>7</v>
      </c>
      <c r="C703">
        <v>6</v>
      </c>
      <c r="D703">
        <v>211</v>
      </c>
      <c r="E703" t="s">
        <v>15</v>
      </c>
      <c r="F703" t="s">
        <v>9</v>
      </c>
      <c r="G703" t="s">
        <v>12</v>
      </c>
      <c r="H703">
        <v>1</v>
      </c>
    </row>
    <row r="704" spans="1:8" x14ac:dyDescent="0.35">
      <c r="A704">
        <v>10367</v>
      </c>
      <c r="B704" t="s">
        <v>7</v>
      </c>
      <c r="C704">
        <v>13</v>
      </c>
      <c r="D704">
        <v>184</v>
      </c>
      <c r="E704" t="s">
        <v>8</v>
      </c>
      <c r="F704" t="s">
        <v>9</v>
      </c>
      <c r="G704" t="s">
        <v>12</v>
      </c>
      <c r="H704">
        <v>0</v>
      </c>
    </row>
    <row r="705" spans="1:8" x14ac:dyDescent="0.35">
      <c r="A705">
        <v>15065</v>
      </c>
      <c r="B705" t="s">
        <v>7</v>
      </c>
      <c r="C705">
        <v>7</v>
      </c>
      <c r="D705">
        <v>48</v>
      </c>
      <c r="E705" t="s">
        <v>8</v>
      </c>
      <c r="F705" t="s">
        <v>9</v>
      </c>
      <c r="G705" t="s">
        <v>14</v>
      </c>
      <c r="H705">
        <v>0</v>
      </c>
    </row>
    <row r="706" spans="1:8" x14ac:dyDescent="0.35">
      <c r="A706">
        <v>16643</v>
      </c>
      <c r="B706" t="s">
        <v>11</v>
      </c>
      <c r="C706">
        <v>2</v>
      </c>
      <c r="D706">
        <v>163</v>
      </c>
      <c r="E706" t="s">
        <v>8</v>
      </c>
      <c r="F706" t="s">
        <v>9</v>
      </c>
      <c r="G706" t="s">
        <v>12</v>
      </c>
      <c r="H706">
        <v>0</v>
      </c>
    </row>
    <row r="707" spans="1:8" x14ac:dyDescent="0.35">
      <c r="A707">
        <v>18435</v>
      </c>
      <c r="B707" t="s">
        <v>11</v>
      </c>
      <c r="C707">
        <v>13</v>
      </c>
      <c r="D707">
        <v>218</v>
      </c>
      <c r="E707" t="s">
        <v>8</v>
      </c>
      <c r="F707" t="s">
        <v>13</v>
      </c>
      <c r="G707" t="s">
        <v>12</v>
      </c>
      <c r="H707">
        <v>0</v>
      </c>
    </row>
    <row r="708" spans="1:8" x14ac:dyDescent="0.35">
      <c r="A708">
        <v>15321</v>
      </c>
      <c r="B708" t="s">
        <v>11</v>
      </c>
      <c r="C708">
        <v>10</v>
      </c>
      <c r="D708">
        <v>43</v>
      </c>
      <c r="E708" t="s">
        <v>8</v>
      </c>
      <c r="F708" t="s">
        <v>9</v>
      </c>
      <c r="G708" t="s">
        <v>12</v>
      </c>
      <c r="H708">
        <v>0</v>
      </c>
    </row>
    <row r="709" spans="1:8" x14ac:dyDescent="0.35">
      <c r="A709">
        <v>16523</v>
      </c>
      <c r="B709" t="s">
        <v>11</v>
      </c>
      <c r="C709">
        <v>13</v>
      </c>
      <c r="D709">
        <v>306</v>
      </c>
      <c r="E709" t="s">
        <v>8</v>
      </c>
      <c r="F709" t="s">
        <v>13</v>
      </c>
      <c r="G709" t="s">
        <v>16</v>
      </c>
      <c r="H709">
        <v>0</v>
      </c>
    </row>
    <row r="710" spans="1:8" x14ac:dyDescent="0.35">
      <c r="A710">
        <v>11137</v>
      </c>
      <c r="B710" t="s">
        <v>11</v>
      </c>
      <c r="C710">
        <v>10</v>
      </c>
      <c r="D710">
        <v>152</v>
      </c>
      <c r="E710" t="s">
        <v>8</v>
      </c>
      <c r="F710" t="s">
        <v>13</v>
      </c>
      <c r="G710" t="s">
        <v>16</v>
      </c>
      <c r="H710">
        <v>0</v>
      </c>
    </row>
    <row r="711" spans="1:8" x14ac:dyDescent="0.35">
      <c r="A711">
        <v>14980</v>
      </c>
      <c r="B711" t="s">
        <v>11</v>
      </c>
      <c r="C711">
        <v>6</v>
      </c>
      <c r="D711">
        <v>201</v>
      </c>
      <c r="E711" t="s">
        <v>8</v>
      </c>
      <c r="F711" t="s">
        <v>13</v>
      </c>
      <c r="G711" t="s">
        <v>10</v>
      </c>
      <c r="H711">
        <v>0</v>
      </c>
    </row>
    <row r="712" spans="1:8" x14ac:dyDescent="0.35">
      <c r="A712">
        <v>15736</v>
      </c>
      <c r="B712" t="s">
        <v>7</v>
      </c>
      <c r="C712">
        <v>4</v>
      </c>
      <c r="D712">
        <v>117</v>
      </c>
      <c r="E712" t="s">
        <v>8</v>
      </c>
      <c r="F712" t="s">
        <v>13</v>
      </c>
      <c r="G712" t="s">
        <v>16</v>
      </c>
      <c r="H712">
        <v>0</v>
      </c>
    </row>
    <row r="713" spans="1:8" x14ac:dyDescent="0.35">
      <c r="A713">
        <v>12780</v>
      </c>
      <c r="B713" t="s">
        <v>7</v>
      </c>
      <c r="C713">
        <v>12</v>
      </c>
      <c r="D713">
        <v>60</v>
      </c>
      <c r="E713" t="s">
        <v>8</v>
      </c>
      <c r="F713" t="s">
        <v>13</v>
      </c>
      <c r="G713" t="s">
        <v>10</v>
      </c>
      <c r="H713">
        <v>0</v>
      </c>
    </row>
    <row r="714" spans="1:8" x14ac:dyDescent="0.35">
      <c r="A714">
        <v>11841</v>
      </c>
      <c r="B714" t="s">
        <v>11</v>
      </c>
      <c r="C714">
        <v>4</v>
      </c>
      <c r="D714">
        <v>434</v>
      </c>
      <c r="E714" t="s">
        <v>8</v>
      </c>
      <c r="F714" t="s">
        <v>9</v>
      </c>
      <c r="G714" t="s">
        <v>16</v>
      </c>
      <c r="H714">
        <v>0</v>
      </c>
    </row>
    <row r="715" spans="1:8" x14ac:dyDescent="0.35">
      <c r="A715">
        <v>11247</v>
      </c>
      <c r="B715" t="s">
        <v>7</v>
      </c>
      <c r="C715">
        <v>7</v>
      </c>
      <c r="D715">
        <v>185</v>
      </c>
      <c r="E715" t="s">
        <v>8</v>
      </c>
      <c r="F715" t="s">
        <v>9</v>
      </c>
      <c r="G715" t="s">
        <v>12</v>
      </c>
      <c r="H715">
        <v>0</v>
      </c>
    </row>
    <row r="716" spans="1:8" x14ac:dyDescent="0.35">
      <c r="A716">
        <v>19016</v>
      </c>
      <c r="B716" t="s">
        <v>7</v>
      </c>
      <c r="C716">
        <v>12</v>
      </c>
      <c r="D716">
        <v>398</v>
      </c>
      <c r="E716" t="s">
        <v>15</v>
      </c>
      <c r="F716" t="s">
        <v>13</v>
      </c>
      <c r="G716" t="s">
        <v>16</v>
      </c>
      <c r="H716">
        <v>1</v>
      </c>
    </row>
    <row r="717" spans="1:8" x14ac:dyDescent="0.35">
      <c r="A717">
        <v>10359</v>
      </c>
      <c r="B717" t="s">
        <v>11</v>
      </c>
      <c r="C717">
        <v>1</v>
      </c>
      <c r="D717">
        <v>422</v>
      </c>
      <c r="E717" t="s">
        <v>8</v>
      </c>
      <c r="F717" t="s">
        <v>9</v>
      </c>
      <c r="G717" t="s">
        <v>16</v>
      </c>
      <c r="H717">
        <v>0</v>
      </c>
    </row>
    <row r="718" spans="1:8" x14ac:dyDescent="0.35">
      <c r="A718">
        <v>18746</v>
      </c>
      <c r="B718" t="s">
        <v>7</v>
      </c>
      <c r="C718">
        <v>12</v>
      </c>
      <c r="D718">
        <v>279</v>
      </c>
      <c r="E718" t="s">
        <v>8</v>
      </c>
      <c r="F718" t="s">
        <v>13</v>
      </c>
      <c r="G718" t="s">
        <v>12</v>
      </c>
      <c r="H718">
        <v>0</v>
      </c>
    </row>
    <row r="719" spans="1:8" x14ac:dyDescent="0.35">
      <c r="A719">
        <v>12621</v>
      </c>
      <c r="B719" t="s">
        <v>7</v>
      </c>
      <c r="C719">
        <v>2</v>
      </c>
      <c r="D719">
        <v>344</v>
      </c>
      <c r="E719" t="s">
        <v>8</v>
      </c>
      <c r="F719" t="s">
        <v>9</v>
      </c>
      <c r="G719" t="s">
        <v>10</v>
      </c>
      <c r="H719">
        <v>0</v>
      </c>
    </row>
    <row r="720" spans="1:8" x14ac:dyDescent="0.35">
      <c r="A720">
        <v>17852</v>
      </c>
      <c r="B720" t="s">
        <v>11</v>
      </c>
      <c r="C720">
        <v>11</v>
      </c>
      <c r="D720">
        <v>99</v>
      </c>
      <c r="E720" t="s">
        <v>8</v>
      </c>
      <c r="F720" t="s">
        <v>9</v>
      </c>
      <c r="G720" t="s">
        <v>14</v>
      </c>
      <c r="H720">
        <v>0</v>
      </c>
    </row>
    <row r="721" spans="1:8" x14ac:dyDescent="0.35">
      <c r="A721">
        <v>18373</v>
      </c>
      <c r="B721" t="s">
        <v>11</v>
      </c>
      <c r="C721">
        <v>12</v>
      </c>
      <c r="D721">
        <v>265</v>
      </c>
      <c r="E721" t="s">
        <v>8</v>
      </c>
      <c r="F721" t="s">
        <v>13</v>
      </c>
      <c r="G721" t="s">
        <v>16</v>
      </c>
      <c r="H721">
        <v>0</v>
      </c>
    </row>
    <row r="722" spans="1:8" x14ac:dyDescent="0.35">
      <c r="A722">
        <v>15335</v>
      </c>
      <c r="B722" t="s">
        <v>7</v>
      </c>
      <c r="C722">
        <v>10</v>
      </c>
      <c r="D722">
        <v>285</v>
      </c>
      <c r="E722" t="s">
        <v>8</v>
      </c>
      <c r="F722" t="s">
        <v>13</v>
      </c>
      <c r="G722" t="s">
        <v>12</v>
      </c>
      <c r="H722">
        <v>0</v>
      </c>
    </row>
    <row r="723" spans="1:8" x14ac:dyDescent="0.35">
      <c r="A723">
        <v>11681</v>
      </c>
      <c r="B723" t="s">
        <v>11</v>
      </c>
      <c r="C723">
        <v>1</v>
      </c>
      <c r="D723">
        <v>412</v>
      </c>
      <c r="E723" t="s">
        <v>8</v>
      </c>
      <c r="F723" t="s">
        <v>9</v>
      </c>
      <c r="G723" t="s">
        <v>14</v>
      </c>
      <c r="H723">
        <v>0</v>
      </c>
    </row>
    <row r="724" spans="1:8" x14ac:dyDescent="0.35">
      <c r="A724">
        <v>18326</v>
      </c>
      <c r="B724" t="s">
        <v>11</v>
      </c>
      <c r="C724">
        <v>13</v>
      </c>
      <c r="D724">
        <v>95</v>
      </c>
      <c r="E724" t="s">
        <v>8</v>
      </c>
      <c r="F724" t="s">
        <v>13</v>
      </c>
      <c r="G724" t="s">
        <v>14</v>
      </c>
      <c r="H724">
        <v>0</v>
      </c>
    </row>
    <row r="725" spans="1:8" x14ac:dyDescent="0.35">
      <c r="A725">
        <v>16049</v>
      </c>
      <c r="B725" t="s">
        <v>11</v>
      </c>
      <c r="C725">
        <v>9</v>
      </c>
      <c r="D725">
        <v>211</v>
      </c>
      <c r="E725" t="s">
        <v>8</v>
      </c>
      <c r="F725" t="s">
        <v>9</v>
      </c>
      <c r="G725" t="s">
        <v>14</v>
      </c>
      <c r="H725">
        <v>0</v>
      </c>
    </row>
    <row r="726" spans="1:8" x14ac:dyDescent="0.35">
      <c r="A726">
        <v>16609</v>
      </c>
      <c r="B726" t="s">
        <v>7</v>
      </c>
      <c r="C726">
        <v>6</v>
      </c>
      <c r="D726">
        <v>66</v>
      </c>
      <c r="E726" t="s">
        <v>15</v>
      </c>
      <c r="F726" t="s">
        <v>13</v>
      </c>
      <c r="G726" t="s">
        <v>16</v>
      </c>
      <c r="H726">
        <v>1</v>
      </c>
    </row>
    <row r="727" spans="1:8" x14ac:dyDescent="0.35">
      <c r="A727">
        <v>12218</v>
      </c>
      <c r="B727" t="s">
        <v>11</v>
      </c>
      <c r="C727">
        <v>13</v>
      </c>
      <c r="D727">
        <v>315</v>
      </c>
      <c r="E727" t="s">
        <v>8</v>
      </c>
      <c r="F727" t="s">
        <v>9</v>
      </c>
      <c r="G727" t="s">
        <v>14</v>
      </c>
      <c r="H727">
        <v>0</v>
      </c>
    </row>
    <row r="728" spans="1:8" x14ac:dyDescent="0.35">
      <c r="A728">
        <v>18321</v>
      </c>
      <c r="B728" t="s">
        <v>7</v>
      </c>
      <c r="C728">
        <v>9</v>
      </c>
      <c r="D728">
        <v>383</v>
      </c>
      <c r="E728" t="s">
        <v>8</v>
      </c>
      <c r="F728" t="s">
        <v>9</v>
      </c>
      <c r="G728" t="s">
        <v>10</v>
      </c>
      <c r="H728">
        <v>0</v>
      </c>
    </row>
    <row r="729" spans="1:8" x14ac:dyDescent="0.35">
      <c r="A729">
        <v>11938</v>
      </c>
      <c r="B729" t="s">
        <v>11</v>
      </c>
      <c r="C729">
        <v>14</v>
      </c>
      <c r="D729">
        <v>109</v>
      </c>
      <c r="E729" t="s">
        <v>8</v>
      </c>
      <c r="F729" t="s">
        <v>9</v>
      </c>
      <c r="G729" t="s">
        <v>10</v>
      </c>
      <c r="H729">
        <v>0</v>
      </c>
    </row>
    <row r="730" spans="1:8" x14ac:dyDescent="0.35">
      <c r="A730">
        <v>13420</v>
      </c>
      <c r="B730" t="s">
        <v>11</v>
      </c>
      <c r="C730">
        <v>6</v>
      </c>
      <c r="D730">
        <v>309</v>
      </c>
      <c r="E730" t="s">
        <v>8</v>
      </c>
      <c r="F730" t="s">
        <v>9</v>
      </c>
      <c r="G730" t="s">
        <v>10</v>
      </c>
      <c r="H730">
        <v>0</v>
      </c>
    </row>
    <row r="731" spans="1:8" x14ac:dyDescent="0.35">
      <c r="A731">
        <v>10312</v>
      </c>
      <c r="B731" t="s">
        <v>7</v>
      </c>
      <c r="C731">
        <v>10</v>
      </c>
      <c r="D731">
        <v>220</v>
      </c>
      <c r="E731" t="s">
        <v>8</v>
      </c>
      <c r="F731" t="s">
        <v>13</v>
      </c>
      <c r="G731" t="s">
        <v>10</v>
      </c>
      <c r="H731">
        <v>0</v>
      </c>
    </row>
    <row r="732" spans="1:8" x14ac:dyDescent="0.35">
      <c r="A732">
        <v>17297</v>
      </c>
      <c r="B732" t="s">
        <v>7</v>
      </c>
      <c r="C732">
        <v>6</v>
      </c>
      <c r="D732">
        <v>132</v>
      </c>
      <c r="E732" t="s">
        <v>8</v>
      </c>
      <c r="F732" t="s">
        <v>13</v>
      </c>
      <c r="G732" t="s">
        <v>12</v>
      </c>
      <c r="H732">
        <v>0</v>
      </c>
    </row>
    <row r="733" spans="1:8" x14ac:dyDescent="0.35">
      <c r="A733">
        <v>13754</v>
      </c>
      <c r="B733" t="s">
        <v>11</v>
      </c>
      <c r="C733">
        <v>4</v>
      </c>
      <c r="D733">
        <v>322</v>
      </c>
      <c r="E733" t="s">
        <v>8</v>
      </c>
      <c r="F733" t="s">
        <v>9</v>
      </c>
      <c r="G733" t="s">
        <v>12</v>
      </c>
      <c r="H733">
        <v>0</v>
      </c>
    </row>
    <row r="734" spans="1:8" x14ac:dyDescent="0.35">
      <c r="A734">
        <v>13004</v>
      </c>
      <c r="B734" t="s">
        <v>7</v>
      </c>
      <c r="C734">
        <v>13</v>
      </c>
      <c r="D734">
        <v>121</v>
      </c>
      <c r="E734" t="s">
        <v>8</v>
      </c>
      <c r="F734" t="s">
        <v>13</v>
      </c>
      <c r="G734" t="s">
        <v>10</v>
      </c>
      <c r="H734">
        <v>0</v>
      </c>
    </row>
    <row r="735" spans="1:8" x14ac:dyDescent="0.35">
      <c r="A735">
        <v>18346</v>
      </c>
      <c r="B735" t="s">
        <v>11</v>
      </c>
      <c r="C735">
        <v>9</v>
      </c>
      <c r="D735">
        <v>320</v>
      </c>
      <c r="E735" t="s">
        <v>8</v>
      </c>
      <c r="F735" t="s">
        <v>9</v>
      </c>
      <c r="G735" t="s">
        <v>16</v>
      </c>
      <c r="H735">
        <v>0</v>
      </c>
    </row>
    <row r="736" spans="1:8" x14ac:dyDescent="0.35">
      <c r="A736">
        <v>13018</v>
      </c>
      <c r="B736" t="s">
        <v>7</v>
      </c>
      <c r="C736">
        <v>8</v>
      </c>
      <c r="D736">
        <v>174</v>
      </c>
      <c r="E736" t="s">
        <v>8</v>
      </c>
      <c r="F736" t="s">
        <v>13</v>
      </c>
      <c r="G736" t="s">
        <v>14</v>
      </c>
      <c r="H736">
        <v>0</v>
      </c>
    </row>
    <row r="737" spans="1:8" x14ac:dyDescent="0.35">
      <c r="A737">
        <v>12199</v>
      </c>
      <c r="B737" t="s">
        <v>11</v>
      </c>
      <c r="C737">
        <v>1</v>
      </c>
      <c r="D737">
        <v>313</v>
      </c>
      <c r="E737" t="s">
        <v>8</v>
      </c>
      <c r="F737" t="s">
        <v>9</v>
      </c>
      <c r="G737" t="s">
        <v>16</v>
      </c>
      <c r="H737">
        <v>0</v>
      </c>
    </row>
    <row r="738" spans="1:8" x14ac:dyDescent="0.35">
      <c r="A738">
        <v>17657</v>
      </c>
      <c r="B738" t="s">
        <v>11</v>
      </c>
      <c r="C738">
        <v>6</v>
      </c>
      <c r="D738">
        <v>302</v>
      </c>
      <c r="E738" t="s">
        <v>8</v>
      </c>
      <c r="F738" t="s">
        <v>13</v>
      </c>
      <c r="G738" t="s">
        <v>12</v>
      </c>
      <c r="H738">
        <v>0</v>
      </c>
    </row>
    <row r="739" spans="1:8" x14ac:dyDescent="0.35">
      <c r="A739">
        <v>19238</v>
      </c>
      <c r="B739" t="s">
        <v>7</v>
      </c>
      <c r="C739">
        <v>8</v>
      </c>
      <c r="D739">
        <v>253</v>
      </c>
      <c r="E739" t="s">
        <v>8</v>
      </c>
      <c r="F739" t="s">
        <v>13</v>
      </c>
      <c r="G739" t="s">
        <v>10</v>
      </c>
      <c r="H739">
        <v>0</v>
      </c>
    </row>
    <row r="740" spans="1:8" x14ac:dyDescent="0.35">
      <c r="A740">
        <v>15406</v>
      </c>
      <c r="B740" t="s">
        <v>7</v>
      </c>
      <c r="C740">
        <v>10</v>
      </c>
      <c r="D740">
        <v>113</v>
      </c>
      <c r="E740" t="s">
        <v>8</v>
      </c>
      <c r="F740" t="s">
        <v>9</v>
      </c>
      <c r="G740" t="s">
        <v>14</v>
      </c>
      <c r="H740">
        <v>0</v>
      </c>
    </row>
    <row r="741" spans="1:8" x14ac:dyDescent="0.35">
      <c r="A741">
        <v>16372</v>
      </c>
      <c r="B741" t="s">
        <v>11</v>
      </c>
      <c r="C741">
        <v>6</v>
      </c>
      <c r="D741">
        <v>49</v>
      </c>
      <c r="E741" t="s">
        <v>8</v>
      </c>
      <c r="F741" t="s">
        <v>9</v>
      </c>
      <c r="G741" t="s">
        <v>16</v>
      </c>
      <c r="H741">
        <v>0</v>
      </c>
    </row>
    <row r="742" spans="1:8" x14ac:dyDescent="0.35">
      <c r="A742">
        <v>18172</v>
      </c>
      <c r="B742" t="s">
        <v>11</v>
      </c>
      <c r="C742">
        <v>13</v>
      </c>
      <c r="D742">
        <v>117</v>
      </c>
      <c r="E742" t="s">
        <v>8</v>
      </c>
      <c r="F742" t="s">
        <v>13</v>
      </c>
      <c r="G742" t="s">
        <v>14</v>
      </c>
      <c r="H742">
        <v>0</v>
      </c>
    </row>
    <row r="743" spans="1:8" x14ac:dyDescent="0.35">
      <c r="A743">
        <v>13426</v>
      </c>
      <c r="B743" t="s">
        <v>7</v>
      </c>
      <c r="C743">
        <v>8</v>
      </c>
      <c r="D743">
        <v>252</v>
      </c>
      <c r="E743" t="s">
        <v>8</v>
      </c>
      <c r="F743" t="s">
        <v>9</v>
      </c>
      <c r="G743" t="s">
        <v>10</v>
      </c>
      <c r="H743">
        <v>0</v>
      </c>
    </row>
    <row r="744" spans="1:8" x14ac:dyDescent="0.35">
      <c r="A744">
        <v>19807</v>
      </c>
      <c r="B744" t="s">
        <v>11</v>
      </c>
      <c r="C744">
        <v>1</v>
      </c>
      <c r="D744">
        <v>148</v>
      </c>
      <c r="E744" t="s">
        <v>15</v>
      </c>
      <c r="F744" t="s">
        <v>13</v>
      </c>
      <c r="G744" t="s">
        <v>14</v>
      </c>
      <c r="H744">
        <v>1</v>
      </c>
    </row>
    <row r="745" spans="1:8" x14ac:dyDescent="0.35">
      <c r="A745">
        <v>10290</v>
      </c>
      <c r="B745" t="s">
        <v>7</v>
      </c>
      <c r="C745">
        <v>14</v>
      </c>
      <c r="D745">
        <v>76</v>
      </c>
      <c r="E745" t="s">
        <v>15</v>
      </c>
      <c r="F745" t="s">
        <v>9</v>
      </c>
      <c r="G745" t="s">
        <v>14</v>
      </c>
      <c r="H745">
        <v>1</v>
      </c>
    </row>
    <row r="746" spans="1:8" x14ac:dyDescent="0.35">
      <c r="A746">
        <v>12368</v>
      </c>
      <c r="B746" t="s">
        <v>7</v>
      </c>
      <c r="C746">
        <v>8</v>
      </c>
      <c r="D746">
        <v>51</v>
      </c>
      <c r="E746" t="s">
        <v>8</v>
      </c>
      <c r="F746" t="s">
        <v>13</v>
      </c>
      <c r="G746" t="s">
        <v>12</v>
      </c>
      <c r="H746">
        <v>0</v>
      </c>
    </row>
    <row r="747" spans="1:8" x14ac:dyDescent="0.35">
      <c r="A747">
        <v>12245</v>
      </c>
      <c r="B747" t="s">
        <v>11</v>
      </c>
      <c r="C747">
        <v>12</v>
      </c>
      <c r="D747">
        <v>156</v>
      </c>
      <c r="E747" t="s">
        <v>8</v>
      </c>
      <c r="F747" t="s">
        <v>9</v>
      </c>
      <c r="G747" t="s">
        <v>12</v>
      </c>
      <c r="H747">
        <v>0</v>
      </c>
    </row>
    <row r="748" spans="1:8" x14ac:dyDescent="0.35">
      <c r="A748">
        <v>11297</v>
      </c>
      <c r="B748" t="s">
        <v>7</v>
      </c>
      <c r="C748">
        <v>14</v>
      </c>
      <c r="D748">
        <v>399</v>
      </c>
      <c r="E748" t="s">
        <v>8</v>
      </c>
      <c r="F748" t="s">
        <v>9</v>
      </c>
      <c r="G748" t="s">
        <v>10</v>
      </c>
      <c r="H748">
        <v>0</v>
      </c>
    </row>
    <row r="749" spans="1:8" x14ac:dyDescent="0.35">
      <c r="A749">
        <v>11630</v>
      </c>
      <c r="B749" t="s">
        <v>7</v>
      </c>
      <c r="C749">
        <v>4</v>
      </c>
      <c r="D749">
        <v>294</v>
      </c>
      <c r="E749" t="s">
        <v>8</v>
      </c>
      <c r="F749" t="s">
        <v>13</v>
      </c>
      <c r="G749" t="s">
        <v>10</v>
      </c>
      <c r="H749">
        <v>0</v>
      </c>
    </row>
    <row r="750" spans="1:8" x14ac:dyDescent="0.35">
      <c r="A750">
        <v>16337</v>
      </c>
      <c r="B750" t="s">
        <v>7</v>
      </c>
      <c r="C750">
        <v>13</v>
      </c>
      <c r="D750">
        <v>171</v>
      </c>
      <c r="E750" t="s">
        <v>8</v>
      </c>
      <c r="F750" t="s">
        <v>13</v>
      </c>
      <c r="G750" t="s">
        <v>10</v>
      </c>
      <c r="H750">
        <v>0</v>
      </c>
    </row>
    <row r="751" spans="1:8" x14ac:dyDescent="0.35">
      <c r="A751">
        <v>17364</v>
      </c>
      <c r="B751" t="s">
        <v>11</v>
      </c>
      <c r="C751">
        <v>10</v>
      </c>
      <c r="D751">
        <v>389</v>
      </c>
      <c r="E751" t="s">
        <v>8</v>
      </c>
      <c r="F751" t="s">
        <v>9</v>
      </c>
      <c r="G751" t="s">
        <v>16</v>
      </c>
      <c r="H751">
        <v>0</v>
      </c>
    </row>
    <row r="752" spans="1:8" x14ac:dyDescent="0.35">
      <c r="A752">
        <v>17401</v>
      </c>
      <c r="B752" t="s">
        <v>7</v>
      </c>
      <c r="C752">
        <v>8</v>
      </c>
      <c r="D752">
        <v>181</v>
      </c>
      <c r="E752" t="s">
        <v>8</v>
      </c>
      <c r="F752" t="s">
        <v>13</v>
      </c>
      <c r="G752" t="s">
        <v>16</v>
      </c>
      <c r="H752">
        <v>0</v>
      </c>
    </row>
    <row r="753" spans="1:8" x14ac:dyDescent="0.35">
      <c r="A753">
        <v>14436</v>
      </c>
      <c r="B753" t="s">
        <v>11</v>
      </c>
      <c r="C753">
        <v>13</v>
      </c>
      <c r="D753">
        <v>61</v>
      </c>
      <c r="E753" t="s">
        <v>8</v>
      </c>
      <c r="F753" t="s">
        <v>13</v>
      </c>
      <c r="G753" t="s">
        <v>12</v>
      </c>
      <c r="H753">
        <v>0</v>
      </c>
    </row>
    <row r="754" spans="1:8" x14ac:dyDescent="0.35">
      <c r="A754">
        <v>15479</v>
      </c>
      <c r="B754" t="s">
        <v>7</v>
      </c>
      <c r="C754">
        <v>12</v>
      </c>
      <c r="D754">
        <v>346</v>
      </c>
      <c r="E754" t="s">
        <v>8</v>
      </c>
      <c r="F754" t="s">
        <v>13</v>
      </c>
      <c r="G754" t="s">
        <v>16</v>
      </c>
      <c r="H754">
        <v>0</v>
      </c>
    </row>
    <row r="755" spans="1:8" x14ac:dyDescent="0.35">
      <c r="A755">
        <v>17547</v>
      </c>
      <c r="B755" t="s">
        <v>11</v>
      </c>
      <c r="C755">
        <v>14</v>
      </c>
      <c r="D755">
        <v>350</v>
      </c>
      <c r="E755" t="s">
        <v>8</v>
      </c>
      <c r="F755" t="s">
        <v>13</v>
      </c>
      <c r="G755" t="s">
        <v>12</v>
      </c>
      <c r="H755">
        <v>0</v>
      </c>
    </row>
    <row r="756" spans="1:8" x14ac:dyDescent="0.35">
      <c r="A756">
        <v>15697</v>
      </c>
      <c r="B756" t="s">
        <v>7</v>
      </c>
      <c r="C756">
        <v>3</v>
      </c>
      <c r="D756">
        <v>306</v>
      </c>
      <c r="E756" t="s">
        <v>15</v>
      </c>
      <c r="F756" t="s">
        <v>9</v>
      </c>
      <c r="G756" t="s">
        <v>10</v>
      </c>
      <c r="H756">
        <v>1</v>
      </c>
    </row>
    <row r="757" spans="1:8" x14ac:dyDescent="0.35">
      <c r="A757">
        <v>12358</v>
      </c>
      <c r="B757" t="s">
        <v>7</v>
      </c>
      <c r="C757">
        <v>1</v>
      </c>
      <c r="D757">
        <v>336</v>
      </c>
      <c r="E757" t="s">
        <v>8</v>
      </c>
      <c r="F757" t="s">
        <v>9</v>
      </c>
      <c r="G757" t="s">
        <v>14</v>
      </c>
      <c r="H757">
        <v>0</v>
      </c>
    </row>
    <row r="758" spans="1:8" x14ac:dyDescent="0.35">
      <c r="A758">
        <v>19492</v>
      </c>
      <c r="B758" t="s">
        <v>7</v>
      </c>
      <c r="C758">
        <v>11</v>
      </c>
      <c r="D758">
        <v>100</v>
      </c>
      <c r="E758" t="s">
        <v>8</v>
      </c>
      <c r="F758" t="s">
        <v>13</v>
      </c>
      <c r="G758" t="s">
        <v>12</v>
      </c>
      <c r="H758">
        <v>0</v>
      </c>
    </row>
    <row r="759" spans="1:8" x14ac:dyDescent="0.35">
      <c r="A759">
        <v>13780</v>
      </c>
      <c r="B759" t="s">
        <v>11</v>
      </c>
      <c r="C759">
        <v>1</v>
      </c>
      <c r="D759">
        <v>267</v>
      </c>
      <c r="E759" t="s">
        <v>8</v>
      </c>
      <c r="F759" t="s">
        <v>9</v>
      </c>
      <c r="G759" t="s">
        <v>12</v>
      </c>
      <c r="H759">
        <v>0</v>
      </c>
    </row>
    <row r="760" spans="1:8" x14ac:dyDescent="0.35">
      <c r="A760">
        <v>17385</v>
      </c>
      <c r="B760" t="s">
        <v>7</v>
      </c>
      <c r="C760">
        <v>7</v>
      </c>
      <c r="D760">
        <v>73</v>
      </c>
      <c r="E760" t="s">
        <v>8</v>
      </c>
      <c r="F760" t="s">
        <v>9</v>
      </c>
      <c r="G760" t="s">
        <v>12</v>
      </c>
      <c r="H760">
        <v>0</v>
      </c>
    </row>
    <row r="761" spans="1:8" x14ac:dyDescent="0.35">
      <c r="A761">
        <v>11736</v>
      </c>
      <c r="B761" t="s">
        <v>7</v>
      </c>
      <c r="C761">
        <v>11</v>
      </c>
      <c r="D761">
        <v>316</v>
      </c>
      <c r="E761" t="s">
        <v>8</v>
      </c>
      <c r="F761" t="s">
        <v>13</v>
      </c>
      <c r="G761" t="s">
        <v>12</v>
      </c>
      <c r="H761">
        <v>0</v>
      </c>
    </row>
    <row r="762" spans="1:8" x14ac:dyDescent="0.35">
      <c r="A762">
        <v>11157</v>
      </c>
      <c r="B762" t="s">
        <v>11</v>
      </c>
      <c r="C762">
        <v>9</v>
      </c>
      <c r="D762">
        <v>142</v>
      </c>
      <c r="E762" t="s">
        <v>15</v>
      </c>
      <c r="F762" t="s">
        <v>13</v>
      </c>
      <c r="G762" t="s">
        <v>12</v>
      </c>
      <c r="H762">
        <v>1</v>
      </c>
    </row>
    <row r="763" spans="1:8" x14ac:dyDescent="0.35">
      <c r="A763">
        <v>19596</v>
      </c>
      <c r="B763" t="s">
        <v>7</v>
      </c>
      <c r="C763">
        <v>9</v>
      </c>
      <c r="D763">
        <v>197</v>
      </c>
      <c r="E763" t="s">
        <v>8</v>
      </c>
      <c r="F763" t="s">
        <v>13</v>
      </c>
      <c r="G763" t="s">
        <v>14</v>
      </c>
      <c r="H763">
        <v>0</v>
      </c>
    </row>
    <row r="764" spans="1:8" x14ac:dyDescent="0.35">
      <c r="A764">
        <v>15314</v>
      </c>
      <c r="B764" t="s">
        <v>7</v>
      </c>
      <c r="C764">
        <v>6</v>
      </c>
      <c r="D764">
        <v>377</v>
      </c>
      <c r="E764" t="s">
        <v>8</v>
      </c>
      <c r="F764" t="s">
        <v>9</v>
      </c>
      <c r="G764" t="s">
        <v>16</v>
      </c>
      <c r="H764">
        <v>0</v>
      </c>
    </row>
    <row r="765" spans="1:8" x14ac:dyDescent="0.35">
      <c r="A765">
        <v>12408</v>
      </c>
      <c r="B765" t="s">
        <v>11</v>
      </c>
      <c r="C765">
        <v>11</v>
      </c>
      <c r="D765">
        <v>68</v>
      </c>
      <c r="E765" t="s">
        <v>8</v>
      </c>
      <c r="F765" t="s">
        <v>9</v>
      </c>
      <c r="G765" t="s">
        <v>12</v>
      </c>
      <c r="H765">
        <v>0</v>
      </c>
    </row>
    <row r="766" spans="1:8" x14ac:dyDescent="0.35">
      <c r="A766">
        <v>14257</v>
      </c>
      <c r="B766" t="s">
        <v>11</v>
      </c>
      <c r="C766">
        <v>11</v>
      </c>
      <c r="D766">
        <v>237</v>
      </c>
      <c r="E766" t="s">
        <v>8</v>
      </c>
      <c r="F766" t="s">
        <v>13</v>
      </c>
      <c r="G766" t="s">
        <v>10</v>
      </c>
      <c r="H766">
        <v>0</v>
      </c>
    </row>
    <row r="767" spans="1:8" x14ac:dyDescent="0.35">
      <c r="A767">
        <v>10243</v>
      </c>
      <c r="B767" t="s">
        <v>11</v>
      </c>
      <c r="C767">
        <v>11</v>
      </c>
      <c r="D767">
        <v>169</v>
      </c>
      <c r="E767" t="s">
        <v>8</v>
      </c>
      <c r="F767" t="s">
        <v>13</v>
      </c>
      <c r="G767" t="s">
        <v>10</v>
      </c>
      <c r="H767">
        <v>0</v>
      </c>
    </row>
    <row r="768" spans="1:8" x14ac:dyDescent="0.35">
      <c r="A768">
        <v>16665</v>
      </c>
      <c r="B768" t="s">
        <v>7</v>
      </c>
      <c r="C768">
        <v>6</v>
      </c>
      <c r="D768">
        <v>449</v>
      </c>
      <c r="E768" t="s">
        <v>8</v>
      </c>
      <c r="F768" t="s">
        <v>13</v>
      </c>
      <c r="G768" t="s">
        <v>16</v>
      </c>
      <c r="H768">
        <v>0</v>
      </c>
    </row>
    <row r="769" spans="1:8" x14ac:dyDescent="0.35">
      <c r="A769">
        <v>15853</v>
      </c>
      <c r="B769" t="s">
        <v>11</v>
      </c>
      <c r="C769">
        <v>12</v>
      </c>
      <c r="D769">
        <v>73</v>
      </c>
      <c r="E769" t="s">
        <v>8</v>
      </c>
      <c r="F769" t="s">
        <v>9</v>
      </c>
      <c r="G769" t="s">
        <v>14</v>
      </c>
      <c r="H769">
        <v>0</v>
      </c>
    </row>
    <row r="770" spans="1:8" x14ac:dyDescent="0.35">
      <c r="A770">
        <v>10693</v>
      </c>
      <c r="B770" t="s">
        <v>7</v>
      </c>
      <c r="C770">
        <v>6</v>
      </c>
      <c r="D770">
        <v>403</v>
      </c>
      <c r="E770" t="s">
        <v>8</v>
      </c>
      <c r="F770" t="s">
        <v>9</v>
      </c>
      <c r="G770" t="s">
        <v>12</v>
      </c>
      <c r="H770">
        <v>0</v>
      </c>
    </row>
    <row r="771" spans="1:8" x14ac:dyDescent="0.35">
      <c r="A771">
        <v>17255</v>
      </c>
      <c r="B771" t="s">
        <v>7</v>
      </c>
      <c r="C771">
        <v>1</v>
      </c>
      <c r="D771">
        <v>182</v>
      </c>
      <c r="E771" t="s">
        <v>8</v>
      </c>
      <c r="F771" t="s">
        <v>13</v>
      </c>
      <c r="G771" t="s">
        <v>12</v>
      </c>
      <c r="H771">
        <v>0</v>
      </c>
    </row>
    <row r="772" spans="1:8" x14ac:dyDescent="0.35">
      <c r="A772">
        <v>16405</v>
      </c>
      <c r="B772" t="s">
        <v>7</v>
      </c>
      <c r="C772">
        <v>11</v>
      </c>
      <c r="D772">
        <v>207</v>
      </c>
      <c r="E772" t="s">
        <v>8</v>
      </c>
      <c r="F772" t="s">
        <v>13</v>
      </c>
      <c r="G772" t="s">
        <v>10</v>
      </c>
      <c r="H772">
        <v>0</v>
      </c>
    </row>
    <row r="773" spans="1:8" x14ac:dyDescent="0.35">
      <c r="A773">
        <v>19800</v>
      </c>
      <c r="B773" t="s">
        <v>7</v>
      </c>
      <c r="C773">
        <v>5</v>
      </c>
      <c r="D773">
        <v>428</v>
      </c>
      <c r="E773" t="s">
        <v>8</v>
      </c>
      <c r="F773" t="s">
        <v>13</v>
      </c>
      <c r="G773" t="s">
        <v>10</v>
      </c>
      <c r="H773">
        <v>0</v>
      </c>
    </row>
    <row r="774" spans="1:8" x14ac:dyDescent="0.35">
      <c r="A774">
        <v>16101</v>
      </c>
      <c r="B774" t="s">
        <v>11</v>
      </c>
      <c r="C774">
        <v>11</v>
      </c>
      <c r="D774">
        <v>148</v>
      </c>
      <c r="E774" t="s">
        <v>8</v>
      </c>
      <c r="F774" t="s">
        <v>13</v>
      </c>
      <c r="G774" t="s">
        <v>10</v>
      </c>
      <c r="H774">
        <v>0</v>
      </c>
    </row>
    <row r="775" spans="1:8" x14ac:dyDescent="0.35">
      <c r="A775">
        <v>13596</v>
      </c>
      <c r="B775" t="s">
        <v>7</v>
      </c>
      <c r="C775">
        <v>4</v>
      </c>
      <c r="D775">
        <v>160</v>
      </c>
      <c r="E775" t="s">
        <v>8</v>
      </c>
      <c r="F775" t="s">
        <v>13</v>
      </c>
      <c r="G775" t="s">
        <v>16</v>
      </c>
      <c r="H775">
        <v>0</v>
      </c>
    </row>
    <row r="776" spans="1:8" x14ac:dyDescent="0.35">
      <c r="A776">
        <v>17946</v>
      </c>
      <c r="B776" t="s">
        <v>7</v>
      </c>
      <c r="C776">
        <v>1</v>
      </c>
      <c r="D776">
        <v>440</v>
      </c>
      <c r="E776" t="s">
        <v>8</v>
      </c>
      <c r="F776" t="s">
        <v>13</v>
      </c>
      <c r="G776" t="s">
        <v>10</v>
      </c>
      <c r="H776">
        <v>0</v>
      </c>
    </row>
    <row r="777" spans="1:8" x14ac:dyDescent="0.35">
      <c r="A777">
        <v>14242</v>
      </c>
      <c r="B777" t="s">
        <v>7</v>
      </c>
      <c r="C777">
        <v>10</v>
      </c>
      <c r="D777">
        <v>209</v>
      </c>
      <c r="E777" t="s">
        <v>8</v>
      </c>
      <c r="F777" t="s">
        <v>9</v>
      </c>
      <c r="G777" t="s">
        <v>12</v>
      </c>
      <c r="H777">
        <v>0</v>
      </c>
    </row>
    <row r="778" spans="1:8" x14ac:dyDescent="0.35">
      <c r="A778">
        <v>12746</v>
      </c>
      <c r="B778" t="s">
        <v>7</v>
      </c>
      <c r="C778">
        <v>6</v>
      </c>
      <c r="D778">
        <v>89</v>
      </c>
      <c r="E778" t="s">
        <v>8</v>
      </c>
      <c r="F778" t="s">
        <v>9</v>
      </c>
      <c r="G778" t="s">
        <v>12</v>
      </c>
      <c r="H778">
        <v>0</v>
      </c>
    </row>
    <row r="779" spans="1:8" x14ac:dyDescent="0.35">
      <c r="A779">
        <v>17733</v>
      </c>
      <c r="B779" t="s">
        <v>11</v>
      </c>
      <c r="C779">
        <v>10</v>
      </c>
      <c r="D779">
        <v>134</v>
      </c>
      <c r="E779" t="s">
        <v>8</v>
      </c>
      <c r="F779" t="s">
        <v>9</v>
      </c>
      <c r="G779" t="s">
        <v>12</v>
      </c>
      <c r="H779">
        <v>0</v>
      </c>
    </row>
    <row r="780" spans="1:8" x14ac:dyDescent="0.35">
      <c r="A780">
        <v>18913</v>
      </c>
      <c r="B780" t="s">
        <v>11</v>
      </c>
      <c r="C780">
        <v>4</v>
      </c>
      <c r="D780">
        <v>320</v>
      </c>
      <c r="E780" t="s">
        <v>8</v>
      </c>
      <c r="F780" t="s">
        <v>9</v>
      </c>
      <c r="G780" t="s">
        <v>12</v>
      </c>
      <c r="H780">
        <v>0</v>
      </c>
    </row>
    <row r="781" spans="1:8" x14ac:dyDescent="0.35">
      <c r="A781">
        <v>17443</v>
      </c>
      <c r="B781" t="s">
        <v>11</v>
      </c>
      <c r="C781">
        <v>14</v>
      </c>
      <c r="D781">
        <v>385</v>
      </c>
      <c r="E781" t="s">
        <v>15</v>
      </c>
      <c r="F781" t="s">
        <v>13</v>
      </c>
      <c r="G781" t="s">
        <v>14</v>
      </c>
      <c r="H781">
        <v>1</v>
      </c>
    </row>
    <row r="782" spans="1:8" x14ac:dyDescent="0.35">
      <c r="A782">
        <v>15148</v>
      </c>
      <c r="B782" t="s">
        <v>7</v>
      </c>
      <c r="C782">
        <v>2</v>
      </c>
      <c r="D782">
        <v>358</v>
      </c>
      <c r="E782" t="s">
        <v>8</v>
      </c>
      <c r="F782" t="s">
        <v>13</v>
      </c>
      <c r="G782" t="s">
        <v>10</v>
      </c>
      <c r="H782">
        <v>0</v>
      </c>
    </row>
    <row r="783" spans="1:8" x14ac:dyDescent="0.35">
      <c r="A783">
        <v>12130</v>
      </c>
      <c r="B783" t="s">
        <v>11</v>
      </c>
      <c r="C783">
        <v>12</v>
      </c>
      <c r="D783">
        <v>286</v>
      </c>
      <c r="E783" t="s">
        <v>8</v>
      </c>
      <c r="F783" t="s">
        <v>13</v>
      </c>
      <c r="G783" t="s">
        <v>12</v>
      </c>
      <c r="H783">
        <v>0</v>
      </c>
    </row>
    <row r="784" spans="1:8" x14ac:dyDescent="0.35">
      <c r="A784">
        <v>18400</v>
      </c>
      <c r="B784" t="s">
        <v>11</v>
      </c>
      <c r="C784">
        <v>13</v>
      </c>
      <c r="D784">
        <v>263</v>
      </c>
      <c r="E784" t="s">
        <v>8</v>
      </c>
      <c r="F784" t="s">
        <v>13</v>
      </c>
      <c r="G784" t="s">
        <v>16</v>
      </c>
      <c r="H784">
        <v>0</v>
      </c>
    </row>
    <row r="785" spans="1:8" x14ac:dyDescent="0.35">
      <c r="A785">
        <v>18758</v>
      </c>
      <c r="B785" t="s">
        <v>11</v>
      </c>
      <c r="C785">
        <v>2</v>
      </c>
      <c r="D785">
        <v>150</v>
      </c>
      <c r="E785" t="s">
        <v>8</v>
      </c>
      <c r="F785" t="s">
        <v>13</v>
      </c>
      <c r="G785" t="s">
        <v>16</v>
      </c>
      <c r="H785">
        <v>0</v>
      </c>
    </row>
    <row r="786" spans="1:8" x14ac:dyDescent="0.35">
      <c r="A786">
        <v>17981</v>
      </c>
      <c r="B786" t="s">
        <v>7</v>
      </c>
      <c r="C786">
        <v>3</v>
      </c>
      <c r="D786">
        <v>316</v>
      </c>
      <c r="E786" t="s">
        <v>8</v>
      </c>
      <c r="F786" t="s">
        <v>13</v>
      </c>
      <c r="G786" t="s">
        <v>10</v>
      </c>
      <c r="H786">
        <v>0</v>
      </c>
    </row>
    <row r="787" spans="1:8" x14ac:dyDescent="0.35">
      <c r="A787">
        <v>15170</v>
      </c>
      <c r="B787" t="s">
        <v>7</v>
      </c>
      <c r="C787">
        <v>2</v>
      </c>
      <c r="D787">
        <v>290</v>
      </c>
      <c r="E787" t="s">
        <v>8</v>
      </c>
      <c r="F787" t="s">
        <v>13</v>
      </c>
      <c r="G787" t="s">
        <v>16</v>
      </c>
      <c r="H787">
        <v>0</v>
      </c>
    </row>
    <row r="788" spans="1:8" x14ac:dyDescent="0.35">
      <c r="A788">
        <v>12157</v>
      </c>
      <c r="B788" t="s">
        <v>11</v>
      </c>
      <c r="C788">
        <v>2</v>
      </c>
      <c r="D788">
        <v>322</v>
      </c>
      <c r="E788" t="s">
        <v>8</v>
      </c>
      <c r="F788" t="s">
        <v>13</v>
      </c>
      <c r="G788" t="s">
        <v>14</v>
      </c>
      <c r="H788">
        <v>0</v>
      </c>
    </row>
    <row r="789" spans="1:8" x14ac:dyDescent="0.35">
      <c r="A789">
        <v>16437</v>
      </c>
      <c r="B789" t="s">
        <v>7</v>
      </c>
      <c r="C789">
        <v>12</v>
      </c>
      <c r="D789">
        <v>379</v>
      </c>
      <c r="E789" t="s">
        <v>8</v>
      </c>
      <c r="F789" t="s">
        <v>9</v>
      </c>
      <c r="G789" t="s">
        <v>14</v>
      </c>
      <c r="H789">
        <v>0</v>
      </c>
    </row>
    <row r="790" spans="1:8" x14ac:dyDescent="0.35">
      <c r="A790">
        <v>17310</v>
      </c>
      <c r="B790" t="s">
        <v>11</v>
      </c>
      <c r="C790">
        <v>4</v>
      </c>
      <c r="D790">
        <v>232</v>
      </c>
      <c r="E790" t="s">
        <v>8</v>
      </c>
      <c r="F790" t="s">
        <v>13</v>
      </c>
      <c r="G790" t="s">
        <v>14</v>
      </c>
      <c r="H790">
        <v>0</v>
      </c>
    </row>
    <row r="791" spans="1:8" x14ac:dyDescent="0.35">
      <c r="A791">
        <v>13298</v>
      </c>
      <c r="B791" t="s">
        <v>11</v>
      </c>
      <c r="C791">
        <v>12</v>
      </c>
      <c r="D791">
        <v>67</v>
      </c>
      <c r="E791" t="s">
        <v>8</v>
      </c>
      <c r="F791" t="s">
        <v>13</v>
      </c>
      <c r="G791" t="s">
        <v>10</v>
      </c>
      <c r="H791">
        <v>0</v>
      </c>
    </row>
    <row r="792" spans="1:8" x14ac:dyDescent="0.35">
      <c r="A792">
        <v>18543</v>
      </c>
      <c r="B792" t="s">
        <v>11</v>
      </c>
      <c r="C792">
        <v>2</v>
      </c>
      <c r="D792">
        <v>68</v>
      </c>
      <c r="E792" t="s">
        <v>8</v>
      </c>
      <c r="F792" t="s">
        <v>9</v>
      </c>
      <c r="G792" t="s">
        <v>12</v>
      </c>
      <c r="H792">
        <v>0</v>
      </c>
    </row>
    <row r="793" spans="1:8" x14ac:dyDescent="0.35">
      <c r="A793">
        <v>13607</v>
      </c>
      <c r="B793" t="s">
        <v>11</v>
      </c>
      <c r="C793">
        <v>8</v>
      </c>
      <c r="D793">
        <v>414</v>
      </c>
      <c r="E793" t="s">
        <v>8</v>
      </c>
      <c r="F793" t="s">
        <v>13</v>
      </c>
      <c r="G793" t="s">
        <v>10</v>
      </c>
      <c r="H793">
        <v>0</v>
      </c>
    </row>
    <row r="794" spans="1:8" x14ac:dyDescent="0.35">
      <c r="A794">
        <v>14981</v>
      </c>
      <c r="B794" t="s">
        <v>11</v>
      </c>
      <c r="C794">
        <v>7</v>
      </c>
      <c r="D794">
        <v>372</v>
      </c>
      <c r="E794" t="s">
        <v>8</v>
      </c>
      <c r="F794" t="s">
        <v>9</v>
      </c>
      <c r="G794" t="s">
        <v>16</v>
      </c>
      <c r="H794">
        <v>0</v>
      </c>
    </row>
    <row r="795" spans="1:8" x14ac:dyDescent="0.35">
      <c r="A795">
        <v>14046</v>
      </c>
      <c r="B795" t="s">
        <v>7</v>
      </c>
      <c r="C795">
        <v>4</v>
      </c>
      <c r="D795">
        <v>387</v>
      </c>
      <c r="E795" t="s">
        <v>8</v>
      </c>
      <c r="F795" t="s">
        <v>13</v>
      </c>
      <c r="G795" t="s">
        <v>14</v>
      </c>
      <c r="H795">
        <v>0</v>
      </c>
    </row>
    <row r="796" spans="1:8" x14ac:dyDescent="0.35">
      <c r="A796">
        <v>15751</v>
      </c>
      <c r="B796" t="s">
        <v>7</v>
      </c>
      <c r="C796">
        <v>3</v>
      </c>
      <c r="D796">
        <v>202</v>
      </c>
      <c r="E796" t="s">
        <v>8</v>
      </c>
      <c r="F796" t="s">
        <v>13</v>
      </c>
      <c r="G796" t="s">
        <v>12</v>
      </c>
      <c r="H796">
        <v>0</v>
      </c>
    </row>
    <row r="797" spans="1:8" x14ac:dyDescent="0.35">
      <c r="A797">
        <v>18874</v>
      </c>
      <c r="B797" t="s">
        <v>11</v>
      </c>
      <c r="C797">
        <v>1</v>
      </c>
      <c r="D797">
        <v>159</v>
      </c>
      <c r="E797" t="s">
        <v>8</v>
      </c>
      <c r="F797" t="s">
        <v>13</v>
      </c>
      <c r="G797" t="s">
        <v>14</v>
      </c>
      <c r="H797">
        <v>0</v>
      </c>
    </row>
    <row r="798" spans="1:8" x14ac:dyDescent="0.35">
      <c r="A798">
        <v>16797</v>
      </c>
      <c r="B798" t="s">
        <v>7</v>
      </c>
      <c r="C798">
        <v>3</v>
      </c>
      <c r="D798">
        <v>404</v>
      </c>
      <c r="E798" t="s">
        <v>8</v>
      </c>
      <c r="F798" t="s">
        <v>9</v>
      </c>
      <c r="G798" t="s">
        <v>12</v>
      </c>
      <c r="H798">
        <v>0</v>
      </c>
    </row>
    <row r="799" spans="1:8" x14ac:dyDescent="0.35">
      <c r="A799">
        <v>11915</v>
      </c>
      <c r="B799" t="s">
        <v>11</v>
      </c>
      <c r="C799">
        <v>3</v>
      </c>
      <c r="D799">
        <v>116</v>
      </c>
      <c r="E799" t="s">
        <v>8</v>
      </c>
      <c r="F799" t="s">
        <v>13</v>
      </c>
      <c r="G799" t="s">
        <v>16</v>
      </c>
      <c r="H799">
        <v>0</v>
      </c>
    </row>
    <row r="800" spans="1:8" x14ac:dyDescent="0.35">
      <c r="A800">
        <v>10054</v>
      </c>
      <c r="B800" t="s">
        <v>7</v>
      </c>
      <c r="C800">
        <v>8</v>
      </c>
      <c r="D800">
        <v>279</v>
      </c>
      <c r="E800" t="s">
        <v>8</v>
      </c>
      <c r="F800" t="s">
        <v>9</v>
      </c>
      <c r="G800" t="s">
        <v>10</v>
      </c>
      <c r="H800">
        <v>0</v>
      </c>
    </row>
    <row r="801" spans="1:8" x14ac:dyDescent="0.35">
      <c r="A801">
        <v>17272</v>
      </c>
      <c r="B801" t="s">
        <v>7</v>
      </c>
      <c r="C801">
        <v>5</v>
      </c>
      <c r="D801">
        <v>327</v>
      </c>
      <c r="E801" t="s">
        <v>8</v>
      </c>
      <c r="F801" t="s">
        <v>9</v>
      </c>
      <c r="G801" t="s">
        <v>16</v>
      </c>
      <c r="H801">
        <v>0</v>
      </c>
    </row>
    <row r="802" spans="1:8" x14ac:dyDescent="0.35">
      <c r="A802">
        <v>12118</v>
      </c>
      <c r="B802" t="s">
        <v>11</v>
      </c>
      <c r="C802">
        <v>3</v>
      </c>
      <c r="D802">
        <v>250</v>
      </c>
      <c r="E802" t="s">
        <v>8</v>
      </c>
      <c r="F802" t="s">
        <v>13</v>
      </c>
      <c r="G802" t="s">
        <v>12</v>
      </c>
      <c r="H802">
        <v>0</v>
      </c>
    </row>
    <row r="803" spans="1:8" x14ac:dyDescent="0.35">
      <c r="A803">
        <v>17818</v>
      </c>
      <c r="B803" t="s">
        <v>11</v>
      </c>
      <c r="C803">
        <v>4</v>
      </c>
      <c r="D803">
        <v>262</v>
      </c>
      <c r="E803" t="s">
        <v>8</v>
      </c>
      <c r="F803" t="s">
        <v>9</v>
      </c>
      <c r="G803" t="s">
        <v>12</v>
      </c>
      <c r="H803">
        <v>0</v>
      </c>
    </row>
    <row r="804" spans="1:8" x14ac:dyDescent="0.35">
      <c r="A804">
        <v>16508</v>
      </c>
      <c r="B804" t="s">
        <v>11</v>
      </c>
      <c r="C804">
        <v>2</v>
      </c>
      <c r="D804">
        <v>49</v>
      </c>
      <c r="E804" t="s">
        <v>8</v>
      </c>
      <c r="F804" t="s">
        <v>13</v>
      </c>
      <c r="G804" t="s">
        <v>14</v>
      </c>
      <c r="H804">
        <v>0</v>
      </c>
    </row>
    <row r="805" spans="1:8" x14ac:dyDescent="0.35">
      <c r="A805">
        <v>11320</v>
      </c>
      <c r="B805" t="s">
        <v>7</v>
      </c>
      <c r="C805">
        <v>11</v>
      </c>
      <c r="D805">
        <v>118</v>
      </c>
      <c r="E805" t="s">
        <v>8</v>
      </c>
      <c r="F805" t="s">
        <v>9</v>
      </c>
      <c r="G805" t="s">
        <v>14</v>
      </c>
      <c r="H805">
        <v>0</v>
      </c>
    </row>
    <row r="806" spans="1:8" x14ac:dyDescent="0.35">
      <c r="A806">
        <v>11889</v>
      </c>
      <c r="B806" t="s">
        <v>11</v>
      </c>
      <c r="C806">
        <v>11</v>
      </c>
      <c r="D806">
        <v>304</v>
      </c>
      <c r="E806" t="s">
        <v>8</v>
      </c>
      <c r="F806" t="s">
        <v>13</v>
      </c>
      <c r="G806" t="s">
        <v>16</v>
      </c>
      <c r="H806">
        <v>0</v>
      </c>
    </row>
    <row r="807" spans="1:8" x14ac:dyDescent="0.35">
      <c r="A807">
        <v>19911</v>
      </c>
      <c r="B807" t="s">
        <v>11</v>
      </c>
      <c r="C807">
        <v>14</v>
      </c>
      <c r="D807">
        <v>145</v>
      </c>
      <c r="E807" t="s">
        <v>8</v>
      </c>
      <c r="F807" t="s">
        <v>13</v>
      </c>
      <c r="G807" t="s">
        <v>12</v>
      </c>
      <c r="H807">
        <v>0</v>
      </c>
    </row>
    <row r="808" spans="1:8" x14ac:dyDescent="0.35">
      <c r="A808">
        <v>10957</v>
      </c>
      <c r="B808" t="s">
        <v>7</v>
      </c>
      <c r="C808">
        <v>13</v>
      </c>
      <c r="D808">
        <v>117</v>
      </c>
      <c r="E808" t="s">
        <v>8</v>
      </c>
      <c r="F808" t="s">
        <v>9</v>
      </c>
      <c r="G808" t="s">
        <v>10</v>
      </c>
      <c r="H808">
        <v>0</v>
      </c>
    </row>
    <row r="809" spans="1:8" x14ac:dyDescent="0.35">
      <c r="A809">
        <v>19024</v>
      </c>
      <c r="B809" t="s">
        <v>11</v>
      </c>
      <c r="C809">
        <v>10</v>
      </c>
      <c r="D809">
        <v>118</v>
      </c>
      <c r="E809" t="s">
        <v>8</v>
      </c>
      <c r="F809" t="s">
        <v>13</v>
      </c>
      <c r="G809" t="s">
        <v>10</v>
      </c>
      <c r="H809">
        <v>0</v>
      </c>
    </row>
    <row r="810" spans="1:8" x14ac:dyDescent="0.35">
      <c r="A810">
        <v>10382</v>
      </c>
      <c r="B810" t="s">
        <v>11</v>
      </c>
      <c r="C810">
        <v>10</v>
      </c>
      <c r="D810">
        <v>194</v>
      </c>
      <c r="E810" t="s">
        <v>15</v>
      </c>
      <c r="F810" t="s">
        <v>13</v>
      </c>
      <c r="G810" t="s">
        <v>10</v>
      </c>
      <c r="H810">
        <v>1</v>
      </c>
    </row>
    <row r="811" spans="1:8" x14ac:dyDescent="0.35">
      <c r="A811">
        <v>16805</v>
      </c>
      <c r="B811" t="s">
        <v>11</v>
      </c>
      <c r="C811">
        <v>9</v>
      </c>
      <c r="D811">
        <v>421</v>
      </c>
      <c r="E811" t="s">
        <v>8</v>
      </c>
      <c r="F811" t="s">
        <v>9</v>
      </c>
      <c r="G811" t="s">
        <v>10</v>
      </c>
      <c r="H811">
        <v>0</v>
      </c>
    </row>
    <row r="812" spans="1:8" x14ac:dyDescent="0.35">
      <c r="A812">
        <v>18531</v>
      </c>
      <c r="B812" t="s">
        <v>11</v>
      </c>
      <c r="C812">
        <v>8</v>
      </c>
      <c r="D812">
        <v>403</v>
      </c>
      <c r="E812" t="s">
        <v>8</v>
      </c>
      <c r="F812" t="s">
        <v>9</v>
      </c>
      <c r="G812" t="s">
        <v>16</v>
      </c>
      <c r="H812">
        <v>0</v>
      </c>
    </row>
    <row r="813" spans="1:8" x14ac:dyDescent="0.35">
      <c r="A813">
        <v>15186</v>
      </c>
      <c r="B813" t="s">
        <v>7</v>
      </c>
      <c r="C813">
        <v>2</v>
      </c>
      <c r="D813">
        <v>241</v>
      </c>
      <c r="E813" t="s">
        <v>8</v>
      </c>
      <c r="F813" t="s">
        <v>13</v>
      </c>
      <c r="G813" t="s">
        <v>16</v>
      </c>
      <c r="H813">
        <v>0</v>
      </c>
    </row>
    <row r="814" spans="1:8" x14ac:dyDescent="0.35">
      <c r="A814">
        <v>16108</v>
      </c>
      <c r="B814" t="s">
        <v>11</v>
      </c>
      <c r="C814">
        <v>3</v>
      </c>
      <c r="D814">
        <v>371</v>
      </c>
      <c r="E814" t="s">
        <v>8</v>
      </c>
      <c r="F814" t="s">
        <v>13</v>
      </c>
      <c r="G814" t="s">
        <v>16</v>
      </c>
      <c r="H814">
        <v>0</v>
      </c>
    </row>
    <row r="815" spans="1:8" x14ac:dyDescent="0.35">
      <c r="A815">
        <v>17496</v>
      </c>
      <c r="B815" t="s">
        <v>11</v>
      </c>
      <c r="C815">
        <v>1</v>
      </c>
      <c r="D815">
        <v>338</v>
      </c>
      <c r="E815" t="s">
        <v>8</v>
      </c>
      <c r="F815" t="s">
        <v>13</v>
      </c>
      <c r="G815" t="s">
        <v>12</v>
      </c>
      <c r="H815">
        <v>0</v>
      </c>
    </row>
    <row r="816" spans="1:8" x14ac:dyDescent="0.35">
      <c r="A816">
        <v>13118</v>
      </c>
      <c r="B816" t="s">
        <v>11</v>
      </c>
      <c r="C816">
        <v>1</v>
      </c>
      <c r="D816">
        <v>385</v>
      </c>
      <c r="E816" t="s">
        <v>8</v>
      </c>
      <c r="F816" t="s">
        <v>13</v>
      </c>
      <c r="G816" t="s">
        <v>12</v>
      </c>
      <c r="H816">
        <v>0</v>
      </c>
    </row>
    <row r="817" spans="1:8" x14ac:dyDescent="0.35">
      <c r="A817">
        <v>17409</v>
      </c>
      <c r="B817" t="s">
        <v>11</v>
      </c>
      <c r="C817">
        <v>2</v>
      </c>
      <c r="D817">
        <v>358</v>
      </c>
      <c r="E817" t="s">
        <v>8</v>
      </c>
      <c r="F817" t="s">
        <v>13</v>
      </c>
      <c r="G817" t="s">
        <v>10</v>
      </c>
      <c r="H817">
        <v>0</v>
      </c>
    </row>
    <row r="818" spans="1:8" x14ac:dyDescent="0.35">
      <c r="A818">
        <v>12170</v>
      </c>
      <c r="B818" t="s">
        <v>11</v>
      </c>
      <c r="C818">
        <v>6</v>
      </c>
      <c r="D818">
        <v>355</v>
      </c>
      <c r="E818" t="s">
        <v>8</v>
      </c>
      <c r="F818" t="s">
        <v>9</v>
      </c>
      <c r="G818" t="s">
        <v>14</v>
      </c>
      <c r="H818">
        <v>0</v>
      </c>
    </row>
    <row r="819" spans="1:8" x14ac:dyDescent="0.35">
      <c r="A819">
        <v>15579</v>
      </c>
      <c r="B819" t="s">
        <v>11</v>
      </c>
      <c r="C819">
        <v>13</v>
      </c>
      <c r="D819">
        <v>240</v>
      </c>
      <c r="E819" t="s">
        <v>8</v>
      </c>
      <c r="F819" t="s">
        <v>13</v>
      </c>
      <c r="G819" t="s">
        <v>10</v>
      </c>
      <c r="H819">
        <v>0</v>
      </c>
    </row>
    <row r="820" spans="1:8" x14ac:dyDescent="0.35">
      <c r="A820">
        <v>13479</v>
      </c>
      <c r="B820" t="s">
        <v>7</v>
      </c>
      <c r="C820">
        <v>14</v>
      </c>
      <c r="D820">
        <v>340</v>
      </c>
      <c r="E820" t="s">
        <v>8</v>
      </c>
      <c r="F820" t="s">
        <v>13</v>
      </c>
      <c r="G820" t="s">
        <v>14</v>
      </c>
      <c r="H820">
        <v>0</v>
      </c>
    </row>
    <row r="821" spans="1:8" x14ac:dyDescent="0.35">
      <c r="A821">
        <v>15120</v>
      </c>
      <c r="B821" t="s">
        <v>11</v>
      </c>
      <c r="C821">
        <v>14</v>
      </c>
      <c r="D821">
        <v>401</v>
      </c>
      <c r="E821" t="s">
        <v>8</v>
      </c>
      <c r="F821" t="s">
        <v>13</v>
      </c>
      <c r="G821" t="s">
        <v>16</v>
      </c>
      <c r="H821">
        <v>0</v>
      </c>
    </row>
    <row r="822" spans="1:8" x14ac:dyDescent="0.35">
      <c r="A822">
        <v>18652</v>
      </c>
      <c r="B822" t="s">
        <v>11</v>
      </c>
      <c r="C822">
        <v>4</v>
      </c>
      <c r="D822">
        <v>426</v>
      </c>
      <c r="E822" t="s">
        <v>8</v>
      </c>
      <c r="F822" t="s">
        <v>13</v>
      </c>
      <c r="G822" t="s">
        <v>10</v>
      </c>
      <c r="H822">
        <v>0</v>
      </c>
    </row>
    <row r="823" spans="1:8" x14ac:dyDescent="0.35">
      <c r="A823">
        <v>16479</v>
      </c>
      <c r="B823" t="s">
        <v>7</v>
      </c>
      <c r="C823">
        <v>11</v>
      </c>
      <c r="D823">
        <v>161</v>
      </c>
      <c r="E823" t="s">
        <v>8</v>
      </c>
      <c r="F823" t="s">
        <v>13</v>
      </c>
      <c r="G823" t="s">
        <v>10</v>
      </c>
      <c r="H823">
        <v>0</v>
      </c>
    </row>
    <row r="824" spans="1:8" x14ac:dyDescent="0.35">
      <c r="A824">
        <v>12364</v>
      </c>
      <c r="B824" t="s">
        <v>11</v>
      </c>
      <c r="C824">
        <v>7</v>
      </c>
      <c r="D824">
        <v>291</v>
      </c>
      <c r="E824" t="s">
        <v>8</v>
      </c>
      <c r="F824" t="s">
        <v>13</v>
      </c>
      <c r="G824" t="s">
        <v>12</v>
      </c>
      <c r="H824">
        <v>0</v>
      </c>
    </row>
    <row r="825" spans="1:8" x14ac:dyDescent="0.35">
      <c r="A825">
        <v>16669</v>
      </c>
      <c r="B825" t="s">
        <v>11</v>
      </c>
      <c r="C825">
        <v>14</v>
      </c>
      <c r="D825">
        <v>159</v>
      </c>
      <c r="E825" t="s">
        <v>8</v>
      </c>
      <c r="F825" t="s">
        <v>13</v>
      </c>
      <c r="G825" t="s">
        <v>14</v>
      </c>
      <c r="H825">
        <v>0</v>
      </c>
    </row>
    <row r="826" spans="1:8" x14ac:dyDescent="0.35">
      <c r="A826">
        <v>13934</v>
      </c>
      <c r="B826" t="s">
        <v>7</v>
      </c>
      <c r="C826">
        <v>11</v>
      </c>
      <c r="D826">
        <v>131</v>
      </c>
      <c r="E826" t="s">
        <v>15</v>
      </c>
      <c r="F826" t="s">
        <v>9</v>
      </c>
      <c r="G826" t="s">
        <v>12</v>
      </c>
      <c r="H826">
        <v>1</v>
      </c>
    </row>
    <row r="827" spans="1:8" x14ac:dyDescent="0.35">
      <c r="A827">
        <v>13141</v>
      </c>
      <c r="B827" t="s">
        <v>7</v>
      </c>
      <c r="C827">
        <v>6</v>
      </c>
      <c r="D827">
        <v>73</v>
      </c>
      <c r="E827" t="s">
        <v>15</v>
      </c>
      <c r="F827" t="s">
        <v>9</v>
      </c>
      <c r="G827" t="s">
        <v>12</v>
      </c>
      <c r="H827">
        <v>1</v>
      </c>
    </row>
    <row r="828" spans="1:8" x14ac:dyDescent="0.35">
      <c r="A828">
        <v>17731</v>
      </c>
      <c r="B828" t="s">
        <v>7</v>
      </c>
      <c r="C828">
        <v>9</v>
      </c>
      <c r="D828">
        <v>248</v>
      </c>
      <c r="E828" t="s">
        <v>15</v>
      </c>
      <c r="F828" t="s">
        <v>13</v>
      </c>
      <c r="G828" t="s">
        <v>10</v>
      </c>
      <c r="H828">
        <v>1</v>
      </c>
    </row>
    <row r="829" spans="1:8" x14ac:dyDescent="0.35">
      <c r="A829">
        <v>16082</v>
      </c>
      <c r="B829" t="s">
        <v>7</v>
      </c>
      <c r="C829">
        <v>13</v>
      </c>
      <c r="D829">
        <v>300</v>
      </c>
      <c r="E829" t="s">
        <v>8</v>
      </c>
      <c r="F829" t="s">
        <v>9</v>
      </c>
      <c r="G829" t="s">
        <v>10</v>
      </c>
      <c r="H829">
        <v>0</v>
      </c>
    </row>
    <row r="830" spans="1:8" x14ac:dyDescent="0.35">
      <c r="A830">
        <v>10478</v>
      </c>
      <c r="B830" t="s">
        <v>7</v>
      </c>
      <c r="C830">
        <v>1</v>
      </c>
      <c r="D830">
        <v>255</v>
      </c>
      <c r="E830" t="s">
        <v>8</v>
      </c>
      <c r="F830" t="s">
        <v>13</v>
      </c>
      <c r="G830" t="s">
        <v>14</v>
      </c>
      <c r="H830">
        <v>0</v>
      </c>
    </row>
    <row r="831" spans="1:8" x14ac:dyDescent="0.35">
      <c r="A831">
        <v>11340</v>
      </c>
      <c r="B831" t="s">
        <v>7</v>
      </c>
      <c r="C831">
        <v>1</v>
      </c>
      <c r="D831">
        <v>277</v>
      </c>
      <c r="E831" t="s">
        <v>8</v>
      </c>
      <c r="F831" t="s">
        <v>9</v>
      </c>
      <c r="G831" t="s">
        <v>14</v>
      </c>
      <c r="H831">
        <v>0</v>
      </c>
    </row>
    <row r="832" spans="1:8" x14ac:dyDescent="0.35">
      <c r="A832">
        <v>11750</v>
      </c>
      <c r="B832" t="s">
        <v>11</v>
      </c>
      <c r="C832">
        <v>2</v>
      </c>
      <c r="D832">
        <v>395</v>
      </c>
      <c r="E832" t="s">
        <v>8</v>
      </c>
      <c r="F832" t="s">
        <v>13</v>
      </c>
      <c r="G832" t="s">
        <v>12</v>
      </c>
      <c r="H832">
        <v>0</v>
      </c>
    </row>
    <row r="833" spans="1:8" x14ac:dyDescent="0.35">
      <c r="A833">
        <v>12091</v>
      </c>
      <c r="B833" t="s">
        <v>7</v>
      </c>
      <c r="C833">
        <v>8</v>
      </c>
      <c r="D833">
        <v>223</v>
      </c>
      <c r="E833" t="s">
        <v>8</v>
      </c>
      <c r="F833" t="s">
        <v>13</v>
      </c>
      <c r="G833" t="s">
        <v>12</v>
      </c>
      <c r="H833">
        <v>0</v>
      </c>
    </row>
    <row r="834" spans="1:8" x14ac:dyDescent="0.35">
      <c r="A834">
        <v>11443</v>
      </c>
      <c r="B834" t="s">
        <v>7</v>
      </c>
      <c r="C834">
        <v>8</v>
      </c>
      <c r="D834">
        <v>127</v>
      </c>
      <c r="E834" t="s">
        <v>8</v>
      </c>
      <c r="F834" t="s">
        <v>13</v>
      </c>
      <c r="G834" t="s">
        <v>12</v>
      </c>
      <c r="H834">
        <v>0</v>
      </c>
    </row>
    <row r="835" spans="1:8" x14ac:dyDescent="0.35">
      <c r="A835">
        <v>15473</v>
      </c>
      <c r="B835" t="s">
        <v>7</v>
      </c>
      <c r="C835">
        <v>1</v>
      </c>
      <c r="D835">
        <v>118</v>
      </c>
      <c r="E835" t="s">
        <v>15</v>
      </c>
      <c r="F835" t="s">
        <v>13</v>
      </c>
      <c r="G835" t="s">
        <v>12</v>
      </c>
      <c r="H835">
        <v>1</v>
      </c>
    </row>
    <row r="836" spans="1:8" x14ac:dyDescent="0.35">
      <c r="A836">
        <v>18646</v>
      </c>
      <c r="B836" t="s">
        <v>11</v>
      </c>
      <c r="C836">
        <v>12</v>
      </c>
      <c r="D836">
        <v>179</v>
      </c>
      <c r="E836" t="s">
        <v>8</v>
      </c>
      <c r="F836" t="s">
        <v>13</v>
      </c>
      <c r="G836" t="s">
        <v>12</v>
      </c>
      <c r="H836">
        <v>0</v>
      </c>
    </row>
    <row r="837" spans="1:8" x14ac:dyDescent="0.35">
      <c r="A837">
        <v>15229</v>
      </c>
      <c r="B837" t="s">
        <v>7</v>
      </c>
      <c r="C837">
        <v>8</v>
      </c>
      <c r="D837">
        <v>321</v>
      </c>
      <c r="E837" t="s">
        <v>8</v>
      </c>
      <c r="F837" t="s">
        <v>13</v>
      </c>
      <c r="G837" t="s">
        <v>12</v>
      </c>
      <c r="H837">
        <v>0</v>
      </c>
    </row>
    <row r="838" spans="1:8" x14ac:dyDescent="0.35">
      <c r="A838">
        <v>13826</v>
      </c>
      <c r="B838" t="s">
        <v>11</v>
      </c>
      <c r="C838">
        <v>10</v>
      </c>
      <c r="D838">
        <v>207</v>
      </c>
      <c r="E838" t="s">
        <v>15</v>
      </c>
      <c r="F838" t="s">
        <v>9</v>
      </c>
      <c r="G838" t="s">
        <v>16</v>
      </c>
      <c r="H838">
        <v>1</v>
      </c>
    </row>
    <row r="839" spans="1:8" x14ac:dyDescent="0.35">
      <c r="A839">
        <v>13303</v>
      </c>
      <c r="B839" t="s">
        <v>11</v>
      </c>
      <c r="C839">
        <v>11</v>
      </c>
      <c r="D839">
        <v>258</v>
      </c>
      <c r="E839" t="s">
        <v>8</v>
      </c>
      <c r="F839" t="s">
        <v>9</v>
      </c>
      <c r="G839" t="s">
        <v>14</v>
      </c>
      <c r="H839">
        <v>0</v>
      </c>
    </row>
    <row r="840" spans="1:8" x14ac:dyDescent="0.35">
      <c r="A840">
        <v>17704</v>
      </c>
      <c r="B840" t="s">
        <v>7</v>
      </c>
      <c r="C840">
        <v>8</v>
      </c>
      <c r="D840">
        <v>309</v>
      </c>
      <c r="E840" t="s">
        <v>8</v>
      </c>
      <c r="F840" t="s">
        <v>13</v>
      </c>
      <c r="G840" t="s">
        <v>10</v>
      </c>
      <c r="H840">
        <v>0</v>
      </c>
    </row>
    <row r="841" spans="1:8" x14ac:dyDescent="0.35">
      <c r="A841">
        <v>12767</v>
      </c>
      <c r="B841" t="s">
        <v>11</v>
      </c>
      <c r="C841">
        <v>6</v>
      </c>
      <c r="D841">
        <v>235</v>
      </c>
      <c r="E841" t="s">
        <v>8</v>
      </c>
      <c r="F841" t="s">
        <v>13</v>
      </c>
      <c r="G841" t="s">
        <v>16</v>
      </c>
      <c r="H841">
        <v>0</v>
      </c>
    </row>
    <row r="842" spans="1:8" x14ac:dyDescent="0.35">
      <c r="A842">
        <v>10724</v>
      </c>
      <c r="B842" t="s">
        <v>11</v>
      </c>
      <c r="C842">
        <v>10</v>
      </c>
      <c r="D842">
        <v>205</v>
      </c>
      <c r="E842" t="s">
        <v>8</v>
      </c>
      <c r="F842" t="s">
        <v>13</v>
      </c>
      <c r="G842" t="s">
        <v>16</v>
      </c>
      <c r="H842">
        <v>0</v>
      </c>
    </row>
    <row r="843" spans="1:8" x14ac:dyDescent="0.35">
      <c r="A843">
        <v>13183</v>
      </c>
      <c r="B843" t="s">
        <v>11</v>
      </c>
      <c r="C843">
        <v>12</v>
      </c>
      <c r="D843">
        <v>93</v>
      </c>
      <c r="E843" t="s">
        <v>8</v>
      </c>
      <c r="F843" t="s">
        <v>13</v>
      </c>
      <c r="G843" t="s">
        <v>10</v>
      </c>
      <c r="H843">
        <v>0</v>
      </c>
    </row>
    <row r="844" spans="1:8" x14ac:dyDescent="0.35">
      <c r="A844">
        <v>10942</v>
      </c>
      <c r="B844" t="s">
        <v>11</v>
      </c>
      <c r="C844">
        <v>14</v>
      </c>
      <c r="D844">
        <v>210</v>
      </c>
      <c r="E844" t="s">
        <v>8</v>
      </c>
      <c r="F844" t="s">
        <v>9</v>
      </c>
      <c r="G844" t="s">
        <v>10</v>
      </c>
      <c r="H844">
        <v>0</v>
      </c>
    </row>
    <row r="845" spans="1:8" x14ac:dyDescent="0.35">
      <c r="A845">
        <v>16784</v>
      </c>
      <c r="B845" t="s">
        <v>7</v>
      </c>
      <c r="C845">
        <v>3</v>
      </c>
      <c r="D845">
        <v>298</v>
      </c>
      <c r="E845" t="s">
        <v>8</v>
      </c>
      <c r="F845" t="s">
        <v>9</v>
      </c>
      <c r="G845" t="s">
        <v>14</v>
      </c>
      <c r="H845">
        <v>0</v>
      </c>
    </row>
    <row r="846" spans="1:8" x14ac:dyDescent="0.35">
      <c r="A846">
        <v>12722</v>
      </c>
      <c r="B846" t="s">
        <v>7</v>
      </c>
      <c r="C846">
        <v>9</v>
      </c>
      <c r="D846">
        <v>379</v>
      </c>
      <c r="E846" t="s">
        <v>8</v>
      </c>
      <c r="F846" t="s">
        <v>9</v>
      </c>
      <c r="G846" t="s">
        <v>10</v>
      </c>
      <c r="H846">
        <v>0</v>
      </c>
    </row>
    <row r="847" spans="1:8" x14ac:dyDescent="0.35">
      <c r="A847">
        <v>11583</v>
      </c>
      <c r="B847" t="s">
        <v>11</v>
      </c>
      <c r="C847">
        <v>1</v>
      </c>
      <c r="D847">
        <v>349</v>
      </c>
      <c r="E847" t="s">
        <v>8</v>
      </c>
      <c r="F847" t="s">
        <v>13</v>
      </c>
      <c r="G847" t="s">
        <v>14</v>
      </c>
      <c r="H847">
        <v>0</v>
      </c>
    </row>
    <row r="848" spans="1:8" x14ac:dyDescent="0.35">
      <c r="A848">
        <v>19877</v>
      </c>
      <c r="B848" t="s">
        <v>11</v>
      </c>
      <c r="C848">
        <v>6</v>
      </c>
      <c r="D848">
        <v>310</v>
      </c>
      <c r="E848" t="s">
        <v>15</v>
      </c>
      <c r="F848" t="s">
        <v>9</v>
      </c>
      <c r="G848" t="s">
        <v>10</v>
      </c>
      <c r="H848">
        <v>1</v>
      </c>
    </row>
    <row r="849" spans="1:8" x14ac:dyDescent="0.35">
      <c r="A849">
        <v>16882</v>
      </c>
      <c r="B849" t="s">
        <v>7</v>
      </c>
      <c r="C849">
        <v>3</v>
      </c>
      <c r="D849">
        <v>381</v>
      </c>
      <c r="E849" t="s">
        <v>8</v>
      </c>
      <c r="F849" t="s">
        <v>13</v>
      </c>
      <c r="G849" t="s">
        <v>14</v>
      </c>
      <c r="H849">
        <v>0</v>
      </c>
    </row>
    <row r="850" spans="1:8" x14ac:dyDescent="0.35">
      <c r="A850">
        <v>19616</v>
      </c>
      <c r="B850" t="s">
        <v>11</v>
      </c>
      <c r="C850">
        <v>6</v>
      </c>
      <c r="D850">
        <v>279</v>
      </c>
      <c r="E850" t="s">
        <v>8</v>
      </c>
      <c r="F850" t="s">
        <v>9</v>
      </c>
      <c r="G850" t="s">
        <v>14</v>
      </c>
      <c r="H850">
        <v>0</v>
      </c>
    </row>
    <row r="851" spans="1:8" x14ac:dyDescent="0.35">
      <c r="A851">
        <v>18130</v>
      </c>
      <c r="B851" t="s">
        <v>7</v>
      </c>
      <c r="C851">
        <v>12</v>
      </c>
      <c r="D851">
        <v>259</v>
      </c>
      <c r="E851" t="s">
        <v>15</v>
      </c>
      <c r="F851" t="s">
        <v>13</v>
      </c>
      <c r="G851" t="s">
        <v>12</v>
      </c>
      <c r="H851">
        <v>1</v>
      </c>
    </row>
    <row r="852" spans="1:8" x14ac:dyDescent="0.35">
      <c r="A852">
        <v>11944</v>
      </c>
      <c r="B852" t="s">
        <v>11</v>
      </c>
      <c r="C852">
        <v>8</v>
      </c>
      <c r="D852">
        <v>285</v>
      </c>
      <c r="E852" t="s">
        <v>8</v>
      </c>
      <c r="F852" t="s">
        <v>9</v>
      </c>
      <c r="G852" t="s">
        <v>14</v>
      </c>
      <c r="H852">
        <v>0</v>
      </c>
    </row>
    <row r="853" spans="1:8" x14ac:dyDescent="0.35">
      <c r="A853">
        <v>17508</v>
      </c>
      <c r="B853" t="s">
        <v>11</v>
      </c>
      <c r="C853">
        <v>9</v>
      </c>
      <c r="D853">
        <v>54</v>
      </c>
      <c r="E853" t="s">
        <v>8</v>
      </c>
      <c r="F853" t="s">
        <v>9</v>
      </c>
      <c r="G853" t="s">
        <v>10</v>
      </c>
      <c r="H853">
        <v>0</v>
      </c>
    </row>
    <row r="854" spans="1:8" x14ac:dyDescent="0.35">
      <c r="A854">
        <v>11106</v>
      </c>
      <c r="B854" t="s">
        <v>11</v>
      </c>
      <c r="C854">
        <v>6</v>
      </c>
      <c r="D854">
        <v>396</v>
      </c>
      <c r="E854" t="s">
        <v>15</v>
      </c>
      <c r="F854" t="s">
        <v>9</v>
      </c>
      <c r="G854" t="s">
        <v>12</v>
      </c>
      <c r="H854">
        <v>1</v>
      </c>
    </row>
    <row r="855" spans="1:8" x14ac:dyDescent="0.35">
      <c r="A855">
        <v>10324</v>
      </c>
      <c r="B855" t="s">
        <v>11</v>
      </c>
      <c r="C855">
        <v>7</v>
      </c>
      <c r="D855">
        <v>93</v>
      </c>
      <c r="E855" t="s">
        <v>8</v>
      </c>
      <c r="F855" t="s">
        <v>9</v>
      </c>
      <c r="G855" t="s">
        <v>10</v>
      </c>
      <c r="H855">
        <v>0</v>
      </c>
    </row>
    <row r="856" spans="1:8" x14ac:dyDescent="0.35">
      <c r="A856">
        <v>19684</v>
      </c>
      <c r="B856" t="s">
        <v>7</v>
      </c>
      <c r="C856">
        <v>2</v>
      </c>
      <c r="D856">
        <v>166</v>
      </c>
      <c r="E856" t="s">
        <v>8</v>
      </c>
      <c r="F856" t="s">
        <v>9</v>
      </c>
      <c r="G856" t="s">
        <v>16</v>
      </c>
      <c r="H856">
        <v>0</v>
      </c>
    </row>
    <row r="857" spans="1:8" x14ac:dyDescent="0.35">
      <c r="A857">
        <v>13639</v>
      </c>
      <c r="B857" t="s">
        <v>11</v>
      </c>
      <c r="C857">
        <v>1</v>
      </c>
      <c r="D857">
        <v>226</v>
      </c>
      <c r="E857" t="s">
        <v>8</v>
      </c>
      <c r="F857" t="s">
        <v>13</v>
      </c>
      <c r="G857" t="s">
        <v>16</v>
      </c>
      <c r="H857">
        <v>0</v>
      </c>
    </row>
    <row r="858" spans="1:8" x14ac:dyDescent="0.35">
      <c r="A858">
        <v>18918</v>
      </c>
      <c r="B858" t="s">
        <v>7</v>
      </c>
      <c r="C858">
        <v>13</v>
      </c>
      <c r="D858">
        <v>47</v>
      </c>
      <c r="E858" t="s">
        <v>8</v>
      </c>
      <c r="F858" t="s">
        <v>9</v>
      </c>
      <c r="G858" t="s">
        <v>14</v>
      </c>
      <c r="H858">
        <v>0</v>
      </c>
    </row>
    <row r="859" spans="1:8" x14ac:dyDescent="0.35">
      <c r="A859">
        <v>10329</v>
      </c>
      <c r="B859" t="s">
        <v>7</v>
      </c>
      <c r="C859">
        <v>5</v>
      </c>
      <c r="D859">
        <v>294</v>
      </c>
      <c r="E859" t="s">
        <v>8</v>
      </c>
      <c r="F859" t="s">
        <v>13</v>
      </c>
      <c r="G859" t="s">
        <v>16</v>
      </c>
      <c r="H859">
        <v>0</v>
      </c>
    </row>
    <row r="860" spans="1:8" x14ac:dyDescent="0.35">
      <c r="A860">
        <v>15622</v>
      </c>
      <c r="B860" t="s">
        <v>7</v>
      </c>
      <c r="C860">
        <v>13</v>
      </c>
      <c r="D860">
        <v>55</v>
      </c>
      <c r="E860" t="s">
        <v>8</v>
      </c>
      <c r="F860" t="s">
        <v>13</v>
      </c>
      <c r="G860" t="s">
        <v>12</v>
      </c>
      <c r="H860">
        <v>0</v>
      </c>
    </row>
    <row r="861" spans="1:8" x14ac:dyDescent="0.35">
      <c r="A861">
        <v>13354</v>
      </c>
      <c r="B861" t="s">
        <v>11</v>
      </c>
      <c r="C861">
        <v>1</v>
      </c>
      <c r="D861">
        <v>274</v>
      </c>
      <c r="E861" t="s">
        <v>8</v>
      </c>
      <c r="F861" t="s">
        <v>9</v>
      </c>
      <c r="G861" t="s">
        <v>16</v>
      </c>
      <c r="H861">
        <v>0</v>
      </c>
    </row>
    <row r="862" spans="1:8" x14ac:dyDescent="0.35">
      <c r="A862">
        <v>11425</v>
      </c>
      <c r="B862" t="s">
        <v>11</v>
      </c>
      <c r="C862">
        <v>2</v>
      </c>
      <c r="D862">
        <v>91</v>
      </c>
      <c r="E862" t="s">
        <v>8</v>
      </c>
      <c r="F862" t="s">
        <v>13</v>
      </c>
      <c r="G862" t="s">
        <v>12</v>
      </c>
      <c r="H862">
        <v>0</v>
      </c>
    </row>
    <row r="863" spans="1:8" x14ac:dyDescent="0.35">
      <c r="A863">
        <v>13395</v>
      </c>
      <c r="B863" t="s">
        <v>11</v>
      </c>
      <c r="C863">
        <v>5</v>
      </c>
      <c r="D863">
        <v>305</v>
      </c>
      <c r="E863" t="s">
        <v>8</v>
      </c>
      <c r="F863" t="s">
        <v>9</v>
      </c>
      <c r="G863" t="s">
        <v>12</v>
      </c>
      <c r="H863">
        <v>0</v>
      </c>
    </row>
    <row r="864" spans="1:8" x14ac:dyDescent="0.35">
      <c r="A864">
        <v>14223</v>
      </c>
      <c r="B864" t="s">
        <v>7</v>
      </c>
      <c r="C864">
        <v>7</v>
      </c>
      <c r="D864">
        <v>191</v>
      </c>
      <c r="E864" t="s">
        <v>8</v>
      </c>
      <c r="F864" t="s">
        <v>9</v>
      </c>
      <c r="G864" t="s">
        <v>14</v>
      </c>
      <c r="H864">
        <v>0</v>
      </c>
    </row>
    <row r="865" spans="1:8" x14ac:dyDescent="0.35">
      <c r="A865">
        <v>10551</v>
      </c>
      <c r="B865" t="s">
        <v>7</v>
      </c>
      <c r="C865">
        <v>4</v>
      </c>
      <c r="D865">
        <v>235</v>
      </c>
      <c r="E865" t="s">
        <v>8</v>
      </c>
      <c r="F865" t="s">
        <v>13</v>
      </c>
      <c r="G865" t="s">
        <v>10</v>
      </c>
      <c r="H865">
        <v>0</v>
      </c>
    </row>
    <row r="866" spans="1:8" x14ac:dyDescent="0.35">
      <c r="A866">
        <v>16825</v>
      </c>
      <c r="B866" t="s">
        <v>7</v>
      </c>
      <c r="C866">
        <v>1</v>
      </c>
      <c r="D866">
        <v>115</v>
      </c>
      <c r="E866" t="s">
        <v>8</v>
      </c>
      <c r="F866" t="s">
        <v>13</v>
      </c>
      <c r="G866" t="s">
        <v>12</v>
      </c>
      <c r="H866">
        <v>0</v>
      </c>
    </row>
    <row r="867" spans="1:8" x14ac:dyDescent="0.35">
      <c r="A867">
        <v>10802</v>
      </c>
      <c r="B867" t="s">
        <v>11</v>
      </c>
      <c r="C867">
        <v>9</v>
      </c>
      <c r="D867">
        <v>209</v>
      </c>
      <c r="E867" t="s">
        <v>8</v>
      </c>
      <c r="F867" t="s">
        <v>13</v>
      </c>
      <c r="G867" t="s">
        <v>10</v>
      </c>
      <c r="H867">
        <v>0</v>
      </c>
    </row>
    <row r="868" spans="1:8" x14ac:dyDescent="0.35">
      <c r="A868">
        <v>12330</v>
      </c>
      <c r="B868" t="s">
        <v>11</v>
      </c>
      <c r="C868">
        <v>1</v>
      </c>
      <c r="D868">
        <v>220</v>
      </c>
      <c r="E868" t="s">
        <v>8</v>
      </c>
      <c r="F868" t="s">
        <v>9</v>
      </c>
      <c r="G868" t="s">
        <v>12</v>
      </c>
      <c r="H868">
        <v>0</v>
      </c>
    </row>
    <row r="869" spans="1:8" x14ac:dyDescent="0.35">
      <c r="A869">
        <v>14933</v>
      </c>
      <c r="B869" t="s">
        <v>11</v>
      </c>
      <c r="C869">
        <v>1</v>
      </c>
      <c r="D869">
        <v>219</v>
      </c>
      <c r="E869" t="s">
        <v>8</v>
      </c>
      <c r="F869" t="s">
        <v>9</v>
      </c>
      <c r="G869" t="s">
        <v>12</v>
      </c>
      <c r="H869">
        <v>0</v>
      </c>
    </row>
    <row r="870" spans="1:8" x14ac:dyDescent="0.35">
      <c r="A870">
        <v>11104</v>
      </c>
      <c r="B870" t="s">
        <v>7</v>
      </c>
      <c r="C870">
        <v>14</v>
      </c>
      <c r="D870">
        <v>338</v>
      </c>
      <c r="E870" t="s">
        <v>8</v>
      </c>
      <c r="F870" t="s">
        <v>13</v>
      </c>
      <c r="G870" t="s">
        <v>16</v>
      </c>
      <c r="H870">
        <v>0</v>
      </c>
    </row>
    <row r="871" spans="1:8" x14ac:dyDescent="0.35">
      <c r="A871">
        <v>19307</v>
      </c>
      <c r="B871" t="s">
        <v>11</v>
      </c>
      <c r="C871">
        <v>12</v>
      </c>
      <c r="D871">
        <v>433</v>
      </c>
      <c r="E871" t="s">
        <v>8</v>
      </c>
      <c r="F871" t="s">
        <v>13</v>
      </c>
      <c r="G871" t="s">
        <v>10</v>
      </c>
      <c r="H871">
        <v>0</v>
      </c>
    </row>
    <row r="872" spans="1:8" x14ac:dyDescent="0.35">
      <c r="A872">
        <v>16645</v>
      </c>
      <c r="B872" t="s">
        <v>11</v>
      </c>
      <c r="C872">
        <v>10</v>
      </c>
      <c r="D872">
        <v>301</v>
      </c>
      <c r="E872" t="s">
        <v>8</v>
      </c>
      <c r="F872" t="s">
        <v>13</v>
      </c>
      <c r="G872" t="s">
        <v>16</v>
      </c>
      <c r="H872">
        <v>0</v>
      </c>
    </row>
    <row r="873" spans="1:8" x14ac:dyDescent="0.35">
      <c r="A873">
        <v>14431</v>
      </c>
      <c r="B873" t="s">
        <v>7</v>
      </c>
      <c r="C873">
        <v>12</v>
      </c>
      <c r="D873">
        <v>357</v>
      </c>
      <c r="E873" t="s">
        <v>15</v>
      </c>
      <c r="F873" t="s">
        <v>13</v>
      </c>
      <c r="G873" t="s">
        <v>16</v>
      </c>
      <c r="H873">
        <v>1</v>
      </c>
    </row>
    <row r="874" spans="1:8" x14ac:dyDescent="0.35">
      <c r="A874">
        <v>15507</v>
      </c>
      <c r="B874" t="s">
        <v>7</v>
      </c>
      <c r="C874">
        <v>10</v>
      </c>
      <c r="D874">
        <v>112</v>
      </c>
      <c r="E874" t="s">
        <v>8</v>
      </c>
      <c r="F874" t="s">
        <v>9</v>
      </c>
      <c r="G874" t="s">
        <v>14</v>
      </c>
      <c r="H874">
        <v>0</v>
      </c>
    </row>
    <row r="875" spans="1:8" x14ac:dyDescent="0.35">
      <c r="A875">
        <v>13332</v>
      </c>
      <c r="B875" t="s">
        <v>11</v>
      </c>
      <c r="C875">
        <v>3</v>
      </c>
      <c r="D875">
        <v>257</v>
      </c>
      <c r="E875" t="s">
        <v>8</v>
      </c>
      <c r="F875" t="s">
        <v>13</v>
      </c>
      <c r="G875" t="s">
        <v>10</v>
      </c>
      <c r="H875">
        <v>0</v>
      </c>
    </row>
    <row r="876" spans="1:8" x14ac:dyDescent="0.35">
      <c r="A876">
        <v>13740</v>
      </c>
      <c r="B876" t="s">
        <v>11</v>
      </c>
      <c r="C876">
        <v>1</v>
      </c>
      <c r="D876">
        <v>201</v>
      </c>
      <c r="E876" t="s">
        <v>8</v>
      </c>
      <c r="F876" t="s">
        <v>9</v>
      </c>
      <c r="G876" t="s">
        <v>12</v>
      </c>
      <c r="H876">
        <v>0</v>
      </c>
    </row>
    <row r="877" spans="1:8" x14ac:dyDescent="0.35">
      <c r="A877">
        <v>14769</v>
      </c>
      <c r="B877" t="s">
        <v>11</v>
      </c>
      <c r="C877">
        <v>9</v>
      </c>
      <c r="D877">
        <v>59</v>
      </c>
      <c r="E877" t="s">
        <v>8</v>
      </c>
      <c r="F877" t="s">
        <v>13</v>
      </c>
      <c r="G877" t="s">
        <v>16</v>
      </c>
      <c r="H877">
        <v>0</v>
      </c>
    </row>
    <row r="878" spans="1:8" x14ac:dyDescent="0.35">
      <c r="A878">
        <v>12664</v>
      </c>
      <c r="B878" t="s">
        <v>11</v>
      </c>
      <c r="C878">
        <v>14</v>
      </c>
      <c r="D878">
        <v>112</v>
      </c>
      <c r="E878" t="s">
        <v>8</v>
      </c>
      <c r="F878" t="s">
        <v>9</v>
      </c>
      <c r="G878" t="s">
        <v>10</v>
      </c>
      <c r="H878">
        <v>0</v>
      </c>
    </row>
    <row r="879" spans="1:8" x14ac:dyDescent="0.35">
      <c r="A879">
        <v>18576</v>
      </c>
      <c r="B879" t="s">
        <v>7</v>
      </c>
      <c r="C879">
        <v>9</v>
      </c>
      <c r="D879">
        <v>338</v>
      </c>
      <c r="E879" t="s">
        <v>15</v>
      </c>
      <c r="F879" t="s">
        <v>9</v>
      </c>
      <c r="G879" t="s">
        <v>12</v>
      </c>
      <c r="H879">
        <v>1</v>
      </c>
    </row>
    <row r="880" spans="1:8" x14ac:dyDescent="0.35">
      <c r="A880">
        <v>11615</v>
      </c>
      <c r="B880" t="s">
        <v>7</v>
      </c>
      <c r="C880">
        <v>5</v>
      </c>
      <c r="D880">
        <v>408</v>
      </c>
      <c r="E880" t="s">
        <v>15</v>
      </c>
      <c r="F880" t="s">
        <v>9</v>
      </c>
      <c r="G880" t="s">
        <v>12</v>
      </c>
      <c r="H880">
        <v>1</v>
      </c>
    </row>
    <row r="881" spans="1:8" x14ac:dyDescent="0.35">
      <c r="A881">
        <v>14202</v>
      </c>
      <c r="B881" t="s">
        <v>11</v>
      </c>
      <c r="C881">
        <v>11</v>
      </c>
      <c r="D881">
        <v>233</v>
      </c>
      <c r="E881" t="s">
        <v>8</v>
      </c>
      <c r="F881" t="s">
        <v>13</v>
      </c>
      <c r="G881" t="s">
        <v>12</v>
      </c>
      <c r="H881">
        <v>0</v>
      </c>
    </row>
    <row r="882" spans="1:8" x14ac:dyDescent="0.35">
      <c r="A882">
        <v>16070</v>
      </c>
      <c r="B882" t="s">
        <v>11</v>
      </c>
      <c r="C882">
        <v>1</v>
      </c>
      <c r="D882">
        <v>279</v>
      </c>
      <c r="E882" t="s">
        <v>8</v>
      </c>
      <c r="F882" t="s">
        <v>13</v>
      </c>
      <c r="G882" t="s">
        <v>16</v>
      </c>
      <c r="H882">
        <v>0</v>
      </c>
    </row>
    <row r="883" spans="1:8" x14ac:dyDescent="0.35">
      <c r="A883">
        <v>17298</v>
      </c>
      <c r="B883" t="s">
        <v>11</v>
      </c>
      <c r="C883">
        <v>4</v>
      </c>
      <c r="D883">
        <v>318</v>
      </c>
      <c r="E883" t="s">
        <v>8</v>
      </c>
      <c r="F883" t="s">
        <v>13</v>
      </c>
      <c r="G883" t="s">
        <v>14</v>
      </c>
      <c r="H883">
        <v>0</v>
      </c>
    </row>
    <row r="884" spans="1:8" x14ac:dyDescent="0.35">
      <c r="A884">
        <v>16973</v>
      </c>
      <c r="B884" t="s">
        <v>7</v>
      </c>
      <c r="C884">
        <v>8</v>
      </c>
      <c r="D884">
        <v>56</v>
      </c>
      <c r="E884" t="s">
        <v>8</v>
      </c>
      <c r="F884" t="s">
        <v>13</v>
      </c>
      <c r="G884" t="s">
        <v>16</v>
      </c>
      <c r="H884">
        <v>0</v>
      </c>
    </row>
    <row r="885" spans="1:8" x14ac:dyDescent="0.35">
      <c r="A885">
        <v>13455</v>
      </c>
      <c r="B885" t="s">
        <v>11</v>
      </c>
      <c r="C885">
        <v>11</v>
      </c>
      <c r="D885">
        <v>417</v>
      </c>
      <c r="E885" t="s">
        <v>8</v>
      </c>
      <c r="F885" t="s">
        <v>9</v>
      </c>
      <c r="G885" t="s">
        <v>12</v>
      </c>
      <c r="H885">
        <v>0</v>
      </c>
    </row>
    <row r="886" spans="1:8" x14ac:dyDescent="0.35">
      <c r="A886">
        <v>14414</v>
      </c>
      <c r="B886" t="s">
        <v>11</v>
      </c>
      <c r="C886">
        <v>9</v>
      </c>
      <c r="D886">
        <v>391</v>
      </c>
      <c r="E886" t="s">
        <v>8</v>
      </c>
      <c r="F886" t="s">
        <v>13</v>
      </c>
      <c r="G886" t="s">
        <v>12</v>
      </c>
      <c r="H886">
        <v>0</v>
      </c>
    </row>
    <row r="887" spans="1:8" x14ac:dyDescent="0.35">
      <c r="A887">
        <v>15761</v>
      </c>
      <c r="B887" t="s">
        <v>7</v>
      </c>
      <c r="C887">
        <v>7</v>
      </c>
      <c r="D887">
        <v>403</v>
      </c>
      <c r="E887" t="s">
        <v>8</v>
      </c>
      <c r="F887" t="s">
        <v>13</v>
      </c>
      <c r="G887" t="s">
        <v>14</v>
      </c>
      <c r="H887">
        <v>0</v>
      </c>
    </row>
    <row r="888" spans="1:8" x14ac:dyDescent="0.35">
      <c r="A888">
        <v>16434</v>
      </c>
      <c r="B888" t="s">
        <v>7</v>
      </c>
      <c r="C888">
        <v>6</v>
      </c>
      <c r="D888">
        <v>444</v>
      </c>
      <c r="E888" t="s">
        <v>8</v>
      </c>
      <c r="F888" t="s">
        <v>9</v>
      </c>
      <c r="G888" t="s">
        <v>16</v>
      </c>
      <c r="H888">
        <v>0</v>
      </c>
    </row>
    <row r="889" spans="1:8" x14ac:dyDescent="0.35">
      <c r="A889">
        <v>12407</v>
      </c>
      <c r="B889" t="s">
        <v>7</v>
      </c>
      <c r="C889">
        <v>13</v>
      </c>
      <c r="D889">
        <v>360</v>
      </c>
      <c r="E889" t="s">
        <v>8</v>
      </c>
      <c r="F889" t="s">
        <v>13</v>
      </c>
      <c r="G889" t="s">
        <v>12</v>
      </c>
      <c r="H889">
        <v>0</v>
      </c>
    </row>
    <row r="890" spans="1:8" x14ac:dyDescent="0.35">
      <c r="A890">
        <v>14005</v>
      </c>
      <c r="B890" t="s">
        <v>7</v>
      </c>
      <c r="C890">
        <v>7</v>
      </c>
      <c r="D890">
        <v>339</v>
      </c>
      <c r="E890" t="s">
        <v>8</v>
      </c>
      <c r="F890" t="s">
        <v>13</v>
      </c>
      <c r="G890" t="s">
        <v>16</v>
      </c>
      <c r="H890">
        <v>0</v>
      </c>
    </row>
    <row r="891" spans="1:8" x14ac:dyDescent="0.35">
      <c r="A891">
        <v>16767</v>
      </c>
      <c r="B891" t="s">
        <v>7</v>
      </c>
      <c r="C891">
        <v>11</v>
      </c>
      <c r="D891">
        <v>50</v>
      </c>
      <c r="E891" t="s">
        <v>15</v>
      </c>
      <c r="F891" t="s">
        <v>13</v>
      </c>
      <c r="G891" t="s">
        <v>10</v>
      </c>
      <c r="H891">
        <v>1</v>
      </c>
    </row>
    <row r="892" spans="1:8" x14ac:dyDescent="0.35">
      <c r="A892">
        <v>13717</v>
      </c>
      <c r="B892" t="s">
        <v>11</v>
      </c>
      <c r="C892">
        <v>11</v>
      </c>
      <c r="D892">
        <v>374</v>
      </c>
      <c r="E892" t="s">
        <v>8</v>
      </c>
      <c r="F892" t="s">
        <v>13</v>
      </c>
      <c r="G892" t="s">
        <v>10</v>
      </c>
      <c r="H892">
        <v>0</v>
      </c>
    </row>
    <row r="893" spans="1:8" x14ac:dyDescent="0.35">
      <c r="A893">
        <v>14457</v>
      </c>
      <c r="B893" t="s">
        <v>11</v>
      </c>
      <c r="C893">
        <v>7</v>
      </c>
      <c r="D893">
        <v>204</v>
      </c>
      <c r="E893" t="s">
        <v>8</v>
      </c>
      <c r="F893" t="s">
        <v>13</v>
      </c>
      <c r="G893" t="s">
        <v>16</v>
      </c>
      <c r="H893">
        <v>0</v>
      </c>
    </row>
    <row r="894" spans="1:8" x14ac:dyDescent="0.35">
      <c r="A894">
        <v>19940</v>
      </c>
      <c r="B894" t="s">
        <v>7</v>
      </c>
      <c r="C894">
        <v>12</v>
      </c>
      <c r="D894">
        <v>378</v>
      </c>
      <c r="E894" t="s">
        <v>8</v>
      </c>
      <c r="F894" t="s">
        <v>9</v>
      </c>
      <c r="G894" t="s">
        <v>10</v>
      </c>
      <c r="H894">
        <v>0</v>
      </c>
    </row>
    <row r="895" spans="1:8" x14ac:dyDescent="0.35">
      <c r="A895">
        <v>11809</v>
      </c>
      <c r="B895" t="s">
        <v>7</v>
      </c>
      <c r="C895">
        <v>5</v>
      </c>
      <c r="D895">
        <v>266</v>
      </c>
      <c r="E895" t="s">
        <v>8</v>
      </c>
      <c r="F895" t="s">
        <v>9</v>
      </c>
      <c r="G895" t="s">
        <v>10</v>
      </c>
      <c r="H895">
        <v>0</v>
      </c>
    </row>
    <row r="896" spans="1:8" x14ac:dyDescent="0.35">
      <c r="A896">
        <v>15349</v>
      </c>
      <c r="B896" t="s">
        <v>11</v>
      </c>
      <c r="C896">
        <v>6</v>
      </c>
      <c r="D896">
        <v>66</v>
      </c>
      <c r="E896" t="s">
        <v>8</v>
      </c>
      <c r="F896" t="s">
        <v>9</v>
      </c>
      <c r="G896" t="s">
        <v>14</v>
      </c>
      <c r="H896">
        <v>0</v>
      </c>
    </row>
    <row r="897" spans="1:8" x14ac:dyDescent="0.35">
      <c r="A897">
        <v>16593</v>
      </c>
      <c r="B897" t="s">
        <v>11</v>
      </c>
      <c r="C897">
        <v>8</v>
      </c>
      <c r="D897">
        <v>111</v>
      </c>
      <c r="E897" t="s">
        <v>15</v>
      </c>
      <c r="F897" t="s">
        <v>13</v>
      </c>
      <c r="G897" t="s">
        <v>16</v>
      </c>
      <c r="H897">
        <v>1</v>
      </c>
    </row>
    <row r="898" spans="1:8" x14ac:dyDescent="0.35">
      <c r="A898">
        <v>15171</v>
      </c>
      <c r="B898" t="s">
        <v>7</v>
      </c>
      <c r="C898">
        <v>8</v>
      </c>
      <c r="D898">
        <v>87</v>
      </c>
      <c r="E898" t="s">
        <v>8</v>
      </c>
      <c r="F898" t="s">
        <v>13</v>
      </c>
      <c r="G898" t="s">
        <v>10</v>
      </c>
      <c r="H898">
        <v>0</v>
      </c>
    </row>
    <row r="899" spans="1:8" x14ac:dyDescent="0.35">
      <c r="A899">
        <v>16671</v>
      </c>
      <c r="B899" t="s">
        <v>7</v>
      </c>
      <c r="C899">
        <v>5</v>
      </c>
      <c r="D899">
        <v>374</v>
      </c>
      <c r="E899" t="s">
        <v>8</v>
      </c>
      <c r="F899" t="s">
        <v>9</v>
      </c>
      <c r="G899" t="s">
        <v>16</v>
      </c>
      <c r="H899">
        <v>0</v>
      </c>
    </row>
    <row r="900" spans="1:8" x14ac:dyDescent="0.35">
      <c r="A900">
        <v>10350</v>
      </c>
      <c r="B900" t="s">
        <v>7</v>
      </c>
      <c r="C900">
        <v>10</v>
      </c>
      <c r="D900">
        <v>357</v>
      </c>
      <c r="E900" t="s">
        <v>8</v>
      </c>
      <c r="F900" t="s">
        <v>13</v>
      </c>
      <c r="G900" t="s">
        <v>12</v>
      </c>
      <c r="H900">
        <v>0</v>
      </c>
    </row>
    <row r="901" spans="1:8" x14ac:dyDescent="0.35">
      <c r="A901">
        <v>16497</v>
      </c>
      <c r="B901" t="s">
        <v>11</v>
      </c>
      <c r="C901">
        <v>9</v>
      </c>
      <c r="D901">
        <v>221</v>
      </c>
      <c r="E901" t="s">
        <v>8</v>
      </c>
      <c r="F901" t="s">
        <v>13</v>
      </c>
      <c r="G901" t="s">
        <v>12</v>
      </c>
      <c r="H901">
        <v>0</v>
      </c>
    </row>
    <row r="902" spans="1:8" x14ac:dyDescent="0.35">
      <c r="A902">
        <v>12903</v>
      </c>
      <c r="B902" t="s">
        <v>11</v>
      </c>
      <c r="C902">
        <v>4</v>
      </c>
      <c r="D902">
        <v>311</v>
      </c>
      <c r="E902" t="s">
        <v>8</v>
      </c>
      <c r="F902" t="s">
        <v>13</v>
      </c>
      <c r="G902" t="s">
        <v>12</v>
      </c>
      <c r="H902">
        <v>0</v>
      </c>
    </row>
    <row r="903" spans="1:8" x14ac:dyDescent="0.35">
      <c r="A903">
        <v>10278</v>
      </c>
      <c r="B903" t="s">
        <v>11</v>
      </c>
      <c r="C903">
        <v>2</v>
      </c>
      <c r="D903">
        <v>215</v>
      </c>
      <c r="E903" t="s">
        <v>8</v>
      </c>
      <c r="F903" t="s">
        <v>13</v>
      </c>
      <c r="G903" t="s">
        <v>14</v>
      </c>
      <c r="H903">
        <v>0</v>
      </c>
    </row>
    <row r="904" spans="1:8" x14ac:dyDescent="0.35">
      <c r="A904">
        <v>18734</v>
      </c>
      <c r="B904" t="s">
        <v>7</v>
      </c>
      <c r="C904">
        <v>12</v>
      </c>
      <c r="D904">
        <v>377</v>
      </c>
      <c r="E904" t="s">
        <v>8</v>
      </c>
      <c r="F904" t="s">
        <v>13</v>
      </c>
      <c r="G904" t="s">
        <v>16</v>
      </c>
      <c r="H904">
        <v>0</v>
      </c>
    </row>
    <row r="905" spans="1:8" x14ac:dyDescent="0.35">
      <c r="A905">
        <v>17588</v>
      </c>
      <c r="B905" t="s">
        <v>7</v>
      </c>
      <c r="C905">
        <v>7</v>
      </c>
      <c r="D905">
        <v>372</v>
      </c>
      <c r="E905" t="s">
        <v>8</v>
      </c>
      <c r="F905" t="s">
        <v>9</v>
      </c>
      <c r="G905" t="s">
        <v>12</v>
      </c>
      <c r="H905">
        <v>0</v>
      </c>
    </row>
    <row r="906" spans="1:8" x14ac:dyDescent="0.35">
      <c r="A906">
        <v>17677</v>
      </c>
      <c r="B906" t="s">
        <v>11</v>
      </c>
      <c r="C906">
        <v>12</v>
      </c>
      <c r="D906">
        <v>175</v>
      </c>
      <c r="E906" t="s">
        <v>8</v>
      </c>
      <c r="F906" t="s">
        <v>13</v>
      </c>
      <c r="G906" t="s">
        <v>10</v>
      </c>
      <c r="H906">
        <v>0</v>
      </c>
    </row>
    <row r="907" spans="1:8" x14ac:dyDescent="0.35">
      <c r="A907">
        <v>16378</v>
      </c>
      <c r="B907" t="s">
        <v>7</v>
      </c>
      <c r="C907">
        <v>14</v>
      </c>
      <c r="D907">
        <v>446</v>
      </c>
      <c r="E907" t="s">
        <v>8</v>
      </c>
      <c r="F907" t="s">
        <v>9</v>
      </c>
      <c r="G907" t="s">
        <v>10</v>
      </c>
      <c r="H907">
        <v>0</v>
      </c>
    </row>
    <row r="908" spans="1:8" x14ac:dyDescent="0.35">
      <c r="A908">
        <v>10777</v>
      </c>
      <c r="B908" t="s">
        <v>11</v>
      </c>
      <c r="C908">
        <v>8</v>
      </c>
      <c r="D908">
        <v>277</v>
      </c>
      <c r="E908" t="s">
        <v>8</v>
      </c>
      <c r="F908" t="s">
        <v>13</v>
      </c>
      <c r="G908" t="s">
        <v>16</v>
      </c>
      <c r="H908">
        <v>0</v>
      </c>
    </row>
    <row r="909" spans="1:8" x14ac:dyDescent="0.35">
      <c r="A909">
        <v>10892</v>
      </c>
      <c r="B909" t="s">
        <v>11</v>
      </c>
      <c r="C909">
        <v>8</v>
      </c>
      <c r="D909">
        <v>280</v>
      </c>
      <c r="E909" t="s">
        <v>8</v>
      </c>
      <c r="F909" t="s">
        <v>9</v>
      </c>
      <c r="G909" t="s">
        <v>14</v>
      </c>
      <c r="H909">
        <v>0</v>
      </c>
    </row>
    <row r="910" spans="1:8" x14ac:dyDescent="0.35">
      <c r="A910">
        <v>13008</v>
      </c>
      <c r="B910" t="s">
        <v>7</v>
      </c>
      <c r="C910">
        <v>9</v>
      </c>
      <c r="D910">
        <v>146</v>
      </c>
      <c r="E910" t="s">
        <v>8</v>
      </c>
      <c r="F910" t="s">
        <v>13</v>
      </c>
      <c r="G910" t="s">
        <v>14</v>
      </c>
      <c r="H910">
        <v>0</v>
      </c>
    </row>
    <row r="911" spans="1:8" x14ac:dyDescent="0.35">
      <c r="A911">
        <v>17680</v>
      </c>
      <c r="B911" t="s">
        <v>7</v>
      </c>
      <c r="C911">
        <v>12</v>
      </c>
      <c r="D911">
        <v>303</v>
      </c>
      <c r="E911" t="s">
        <v>8</v>
      </c>
      <c r="F911" t="s">
        <v>13</v>
      </c>
      <c r="G911" t="s">
        <v>16</v>
      </c>
      <c r="H911">
        <v>0</v>
      </c>
    </row>
    <row r="912" spans="1:8" x14ac:dyDescent="0.35">
      <c r="A912">
        <v>17723</v>
      </c>
      <c r="B912" t="s">
        <v>7</v>
      </c>
      <c r="C912">
        <v>5</v>
      </c>
      <c r="D912">
        <v>316</v>
      </c>
      <c r="E912" t="s">
        <v>8</v>
      </c>
      <c r="F912" t="s">
        <v>13</v>
      </c>
      <c r="G912" t="s">
        <v>12</v>
      </c>
      <c r="H912">
        <v>0</v>
      </c>
    </row>
    <row r="913" spans="1:8" x14ac:dyDescent="0.35">
      <c r="A913">
        <v>11652</v>
      </c>
      <c r="B913" t="s">
        <v>7</v>
      </c>
      <c r="C913">
        <v>14</v>
      </c>
      <c r="D913">
        <v>361</v>
      </c>
      <c r="E913" t="s">
        <v>8</v>
      </c>
      <c r="F913" t="s">
        <v>9</v>
      </c>
      <c r="G913" t="s">
        <v>10</v>
      </c>
      <c r="H913">
        <v>0</v>
      </c>
    </row>
    <row r="914" spans="1:8" x14ac:dyDescent="0.35">
      <c r="A914">
        <v>19078</v>
      </c>
      <c r="B914" t="s">
        <v>11</v>
      </c>
      <c r="C914">
        <v>1</v>
      </c>
      <c r="D914">
        <v>256</v>
      </c>
      <c r="E914" t="s">
        <v>8</v>
      </c>
      <c r="F914" t="s">
        <v>9</v>
      </c>
      <c r="G914" t="s">
        <v>14</v>
      </c>
      <c r="H914">
        <v>0</v>
      </c>
    </row>
    <row r="915" spans="1:8" x14ac:dyDescent="0.35">
      <c r="A915">
        <v>12284</v>
      </c>
      <c r="B915" t="s">
        <v>7</v>
      </c>
      <c r="C915">
        <v>10</v>
      </c>
      <c r="D915">
        <v>375</v>
      </c>
      <c r="E915" t="s">
        <v>8</v>
      </c>
      <c r="F915" t="s">
        <v>9</v>
      </c>
      <c r="G915" t="s">
        <v>10</v>
      </c>
      <c r="H915">
        <v>0</v>
      </c>
    </row>
    <row r="916" spans="1:8" x14ac:dyDescent="0.35">
      <c r="A916">
        <v>12591</v>
      </c>
      <c r="B916" t="s">
        <v>11</v>
      </c>
      <c r="C916">
        <v>11</v>
      </c>
      <c r="D916">
        <v>314</v>
      </c>
      <c r="E916" t="s">
        <v>8</v>
      </c>
      <c r="F916" t="s">
        <v>13</v>
      </c>
      <c r="G916" t="s">
        <v>12</v>
      </c>
      <c r="H916">
        <v>0</v>
      </c>
    </row>
    <row r="917" spans="1:8" x14ac:dyDescent="0.35">
      <c r="A917">
        <v>12272</v>
      </c>
      <c r="B917" t="s">
        <v>7</v>
      </c>
      <c r="C917">
        <v>1</v>
      </c>
      <c r="D917">
        <v>415</v>
      </c>
      <c r="E917" t="s">
        <v>15</v>
      </c>
      <c r="F917" t="s">
        <v>9</v>
      </c>
      <c r="G917" t="s">
        <v>10</v>
      </c>
      <c r="H917">
        <v>1</v>
      </c>
    </row>
    <row r="918" spans="1:8" x14ac:dyDescent="0.35">
      <c r="A918">
        <v>10383</v>
      </c>
      <c r="B918" t="s">
        <v>11</v>
      </c>
      <c r="C918">
        <v>2</v>
      </c>
      <c r="D918">
        <v>301</v>
      </c>
      <c r="E918" t="s">
        <v>8</v>
      </c>
      <c r="F918" t="s">
        <v>13</v>
      </c>
      <c r="G918" t="s">
        <v>12</v>
      </c>
      <c r="H918">
        <v>0</v>
      </c>
    </row>
    <row r="919" spans="1:8" x14ac:dyDescent="0.35">
      <c r="A919">
        <v>18096</v>
      </c>
      <c r="B919" t="s">
        <v>11</v>
      </c>
      <c r="C919">
        <v>14</v>
      </c>
      <c r="D919">
        <v>46</v>
      </c>
      <c r="E919" t="s">
        <v>8</v>
      </c>
      <c r="F919" t="s">
        <v>13</v>
      </c>
      <c r="G919" t="s">
        <v>12</v>
      </c>
      <c r="H919">
        <v>0</v>
      </c>
    </row>
    <row r="920" spans="1:8" x14ac:dyDescent="0.35">
      <c r="A920">
        <v>16318</v>
      </c>
      <c r="B920" t="s">
        <v>7</v>
      </c>
      <c r="C920">
        <v>7</v>
      </c>
      <c r="D920">
        <v>170</v>
      </c>
      <c r="E920" t="s">
        <v>8</v>
      </c>
      <c r="F920" t="s">
        <v>9</v>
      </c>
      <c r="G920" t="s">
        <v>12</v>
      </c>
      <c r="H920">
        <v>0</v>
      </c>
    </row>
    <row r="921" spans="1:8" x14ac:dyDescent="0.35">
      <c r="A921">
        <v>14635</v>
      </c>
      <c r="B921" t="s">
        <v>11</v>
      </c>
      <c r="C921">
        <v>14</v>
      </c>
      <c r="D921">
        <v>426</v>
      </c>
      <c r="E921" t="s">
        <v>8</v>
      </c>
      <c r="F921" t="s">
        <v>9</v>
      </c>
      <c r="G921" t="s">
        <v>16</v>
      </c>
      <c r="H921">
        <v>0</v>
      </c>
    </row>
    <row r="922" spans="1:8" x14ac:dyDescent="0.35">
      <c r="A922">
        <v>12754</v>
      </c>
      <c r="B922" t="s">
        <v>7</v>
      </c>
      <c r="C922">
        <v>3</v>
      </c>
      <c r="D922">
        <v>136</v>
      </c>
      <c r="E922" t="s">
        <v>8</v>
      </c>
      <c r="F922" t="s">
        <v>9</v>
      </c>
      <c r="G922" t="s">
        <v>10</v>
      </c>
      <c r="H922">
        <v>0</v>
      </c>
    </row>
    <row r="923" spans="1:8" x14ac:dyDescent="0.35">
      <c r="A923">
        <v>14228</v>
      </c>
      <c r="B923" t="s">
        <v>7</v>
      </c>
      <c r="C923">
        <v>9</v>
      </c>
      <c r="D923">
        <v>389</v>
      </c>
      <c r="E923" t="s">
        <v>8</v>
      </c>
      <c r="F923" t="s">
        <v>13</v>
      </c>
      <c r="G923" t="s">
        <v>14</v>
      </c>
      <c r="H923">
        <v>0</v>
      </c>
    </row>
    <row r="924" spans="1:8" x14ac:dyDescent="0.35">
      <c r="A924">
        <v>16482</v>
      </c>
      <c r="B924" t="s">
        <v>7</v>
      </c>
      <c r="C924">
        <v>10</v>
      </c>
      <c r="D924">
        <v>112</v>
      </c>
      <c r="E924" t="s">
        <v>8</v>
      </c>
      <c r="F924" t="s">
        <v>13</v>
      </c>
      <c r="G924" t="s">
        <v>10</v>
      </c>
      <c r="H924">
        <v>0</v>
      </c>
    </row>
    <row r="925" spans="1:8" x14ac:dyDescent="0.35">
      <c r="A925">
        <v>10256</v>
      </c>
      <c r="B925" t="s">
        <v>11</v>
      </c>
      <c r="C925">
        <v>11</v>
      </c>
      <c r="D925">
        <v>305</v>
      </c>
      <c r="E925" t="s">
        <v>8</v>
      </c>
      <c r="F925" t="s">
        <v>9</v>
      </c>
      <c r="G925" t="s">
        <v>14</v>
      </c>
      <c r="H925">
        <v>0</v>
      </c>
    </row>
    <row r="926" spans="1:8" x14ac:dyDescent="0.35">
      <c r="A926">
        <v>19729</v>
      </c>
      <c r="B926" t="s">
        <v>7</v>
      </c>
      <c r="C926">
        <v>3</v>
      </c>
      <c r="D926">
        <v>327</v>
      </c>
      <c r="E926" t="s">
        <v>8</v>
      </c>
      <c r="F926" t="s">
        <v>13</v>
      </c>
      <c r="G926" t="s">
        <v>12</v>
      </c>
      <c r="H926">
        <v>0</v>
      </c>
    </row>
    <row r="927" spans="1:8" x14ac:dyDescent="0.35">
      <c r="A927">
        <v>11618</v>
      </c>
      <c r="B927" t="s">
        <v>11</v>
      </c>
      <c r="C927">
        <v>10</v>
      </c>
      <c r="D927">
        <v>375</v>
      </c>
      <c r="E927" t="s">
        <v>8</v>
      </c>
      <c r="F927" t="s">
        <v>13</v>
      </c>
      <c r="G927" t="s">
        <v>10</v>
      </c>
      <c r="H927">
        <v>0</v>
      </c>
    </row>
    <row r="928" spans="1:8" x14ac:dyDescent="0.35">
      <c r="A928">
        <v>16167</v>
      </c>
      <c r="B928" t="s">
        <v>11</v>
      </c>
      <c r="C928">
        <v>10</v>
      </c>
      <c r="D928">
        <v>98</v>
      </c>
      <c r="E928" t="s">
        <v>8</v>
      </c>
      <c r="F928" t="s">
        <v>9</v>
      </c>
      <c r="G928" t="s">
        <v>16</v>
      </c>
      <c r="H928">
        <v>0</v>
      </c>
    </row>
    <row r="929" spans="1:8" x14ac:dyDescent="0.35">
      <c r="A929">
        <v>10330</v>
      </c>
      <c r="B929" t="s">
        <v>11</v>
      </c>
      <c r="C929">
        <v>10</v>
      </c>
      <c r="D929">
        <v>407</v>
      </c>
      <c r="E929" t="s">
        <v>8</v>
      </c>
      <c r="F929" t="s">
        <v>13</v>
      </c>
      <c r="G929" t="s">
        <v>14</v>
      </c>
      <c r="H929">
        <v>0</v>
      </c>
    </row>
    <row r="930" spans="1:8" x14ac:dyDescent="0.35">
      <c r="A930">
        <v>19139</v>
      </c>
      <c r="B930" t="s">
        <v>11</v>
      </c>
      <c r="C930">
        <v>2</v>
      </c>
      <c r="D930">
        <v>393</v>
      </c>
      <c r="E930" t="s">
        <v>15</v>
      </c>
      <c r="F930" t="s">
        <v>9</v>
      </c>
      <c r="G930" t="s">
        <v>14</v>
      </c>
      <c r="H930">
        <v>1</v>
      </c>
    </row>
    <row r="931" spans="1:8" x14ac:dyDescent="0.35">
      <c r="A931">
        <v>19598</v>
      </c>
      <c r="B931" t="s">
        <v>11</v>
      </c>
      <c r="C931">
        <v>11</v>
      </c>
      <c r="D931">
        <v>40</v>
      </c>
      <c r="E931" t="s">
        <v>8</v>
      </c>
      <c r="F931" t="s">
        <v>9</v>
      </c>
      <c r="G931" t="s">
        <v>16</v>
      </c>
      <c r="H931">
        <v>0</v>
      </c>
    </row>
    <row r="932" spans="1:8" x14ac:dyDescent="0.35">
      <c r="A932">
        <v>11449</v>
      </c>
      <c r="B932" t="s">
        <v>11</v>
      </c>
      <c r="C932">
        <v>1</v>
      </c>
      <c r="D932">
        <v>176</v>
      </c>
      <c r="E932" t="s">
        <v>8</v>
      </c>
      <c r="F932" t="s">
        <v>13</v>
      </c>
      <c r="G932" t="s">
        <v>10</v>
      </c>
      <c r="H932">
        <v>0</v>
      </c>
    </row>
    <row r="933" spans="1:8" x14ac:dyDescent="0.35">
      <c r="A933">
        <v>19691</v>
      </c>
      <c r="B933" t="s">
        <v>11</v>
      </c>
      <c r="C933">
        <v>14</v>
      </c>
      <c r="D933">
        <v>84</v>
      </c>
      <c r="E933" t="s">
        <v>8</v>
      </c>
      <c r="F933" t="s">
        <v>13</v>
      </c>
      <c r="G933" t="s">
        <v>10</v>
      </c>
      <c r="H933">
        <v>0</v>
      </c>
    </row>
    <row r="934" spans="1:8" x14ac:dyDescent="0.35">
      <c r="A934">
        <v>12138</v>
      </c>
      <c r="B934" t="s">
        <v>11</v>
      </c>
      <c r="C934">
        <v>5</v>
      </c>
      <c r="D934">
        <v>244</v>
      </c>
      <c r="E934" t="s">
        <v>8</v>
      </c>
      <c r="F934" t="s">
        <v>13</v>
      </c>
      <c r="G934" t="s">
        <v>10</v>
      </c>
      <c r="H934">
        <v>0</v>
      </c>
    </row>
    <row r="935" spans="1:8" x14ac:dyDescent="0.35">
      <c r="A935">
        <v>14897</v>
      </c>
      <c r="B935" t="s">
        <v>11</v>
      </c>
      <c r="C935">
        <v>2</v>
      </c>
      <c r="D935">
        <v>288</v>
      </c>
      <c r="E935" t="s">
        <v>8</v>
      </c>
      <c r="F935" t="s">
        <v>13</v>
      </c>
      <c r="G935" t="s">
        <v>12</v>
      </c>
      <c r="H935">
        <v>0</v>
      </c>
    </row>
    <row r="936" spans="1:8" x14ac:dyDescent="0.35">
      <c r="A936">
        <v>17097</v>
      </c>
      <c r="B936" t="s">
        <v>7</v>
      </c>
      <c r="C936">
        <v>10</v>
      </c>
      <c r="D936">
        <v>296</v>
      </c>
      <c r="E936" t="s">
        <v>8</v>
      </c>
      <c r="F936" t="s">
        <v>13</v>
      </c>
      <c r="G936" t="s">
        <v>16</v>
      </c>
      <c r="H936">
        <v>0</v>
      </c>
    </row>
    <row r="937" spans="1:8" x14ac:dyDescent="0.35">
      <c r="A937">
        <v>15208</v>
      </c>
      <c r="B937" t="s">
        <v>7</v>
      </c>
      <c r="C937">
        <v>3</v>
      </c>
      <c r="D937">
        <v>394</v>
      </c>
      <c r="E937" t="s">
        <v>8</v>
      </c>
      <c r="F937" t="s">
        <v>13</v>
      </c>
      <c r="G937" t="s">
        <v>10</v>
      </c>
      <c r="H937">
        <v>0</v>
      </c>
    </row>
    <row r="938" spans="1:8" x14ac:dyDescent="0.35">
      <c r="A938">
        <v>14308</v>
      </c>
      <c r="B938" t="s">
        <v>7</v>
      </c>
      <c r="C938">
        <v>6</v>
      </c>
      <c r="D938">
        <v>427</v>
      </c>
      <c r="E938" t="s">
        <v>8</v>
      </c>
      <c r="F938" t="s">
        <v>13</v>
      </c>
      <c r="G938" t="s">
        <v>10</v>
      </c>
      <c r="H938">
        <v>0</v>
      </c>
    </row>
    <row r="939" spans="1:8" x14ac:dyDescent="0.35">
      <c r="A939">
        <v>10974</v>
      </c>
      <c r="B939" t="s">
        <v>7</v>
      </c>
      <c r="C939">
        <v>1</v>
      </c>
      <c r="D939">
        <v>150</v>
      </c>
      <c r="E939" t="s">
        <v>8</v>
      </c>
      <c r="F939" t="s">
        <v>9</v>
      </c>
      <c r="G939" t="s">
        <v>12</v>
      </c>
      <c r="H939">
        <v>0</v>
      </c>
    </row>
    <row r="940" spans="1:8" x14ac:dyDescent="0.35">
      <c r="A940">
        <v>16180</v>
      </c>
      <c r="B940" t="s">
        <v>11</v>
      </c>
      <c r="C940">
        <v>6</v>
      </c>
      <c r="D940">
        <v>124</v>
      </c>
      <c r="E940" t="s">
        <v>8</v>
      </c>
      <c r="F940" t="s">
        <v>9</v>
      </c>
      <c r="G940" t="s">
        <v>10</v>
      </c>
      <c r="H940">
        <v>0</v>
      </c>
    </row>
    <row r="941" spans="1:8" x14ac:dyDescent="0.35">
      <c r="A941">
        <v>10391</v>
      </c>
      <c r="B941" t="s">
        <v>11</v>
      </c>
      <c r="C941">
        <v>10</v>
      </c>
      <c r="D941">
        <v>255</v>
      </c>
      <c r="E941" t="s">
        <v>8</v>
      </c>
      <c r="F941" t="s">
        <v>13</v>
      </c>
      <c r="G941" t="s">
        <v>10</v>
      </c>
      <c r="H941">
        <v>0</v>
      </c>
    </row>
    <row r="942" spans="1:8" x14ac:dyDescent="0.35">
      <c r="A942">
        <v>12888</v>
      </c>
      <c r="B942" t="s">
        <v>11</v>
      </c>
      <c r="C942">
        <v>9</v>
      </c>
      <c r="D942">
        <v>199</v>
      </c>
      <c r="E942" t="s">
        <v>8</v>
      </c>
      <c r="F942" t="s">
        <v>9</v>
      </c>
      <c r="G942" t="s">
        <v>14</v>
      </c>
      <c r="H942">
        <v>0</v>
      </c>
    </row>
    <row r="943" spans="1:8" x14ac:dyDescent="0.35">
      <c r="A943">
        <v>15466</v>
      </c>
      <c r="B943" t="s">
        <v>7</v>
      </c>
      <c r="C943">
        <v>2</v>
      </c>
      <c r="D943">
        <v>246</v>
      </c>
      <c r="E943" t="s">
        <v>15</v>
      </c>
      <c r="F943" t="s">
        <v>13</v>
      </c>
      <c r="G943" t="s">
        <v>16</v>
      </c>
      <c r="H943">
        <v>1</v>
      </c>
    </row>
    <row r="944" spans="1:8" x14ac:dyDescent="0.35">
      <c r="A944">
        <v>13802</v>
      </c>
      <c r="B944" t="s">
        <v>7</v>
      </c>
      <c r="C944">
        <v>7</v>
      </c>
      <c r="D944">
        <v>337</v>
      </c>
      <c r="E944" t="s">
        <v>8</v>
      </c>
      <c r="F944" t="s">
        <v>13</v>
      </c>
      <c r="G944" t="s">
        <v>12</v>
      </c>
      <c r="H944">
        <v>0</v>
      </c>
    </row>
    <row r="945" spans="1:8" x14ac:dyDescent="0.35">
      <c r="A945">
        <v>11152</v>
      </c>
      <c r="B945" t="s">
        <v>11</v>
      </c>
      <c r="C945">
        <v>3</v>
      </c>
      <c r="D945">
        <v>109</v>
      </c>
      <c r="E945" t="s">
        <v>8</v>
      </c>
      <c r="F945" t="s">
        <v>13</v>
      </c>
      <c r="G945" t="s">
        <v>10</v>
      </c>
      <c r="H945">
        <v>0</v>
      </c>
    </row>
    <row r="946" spans="1:8" x14ac:dyDescent="0.35">
      <c r="A946">
        <v>17783</v>
      </c>
      <c r="B946" t="s">
        <v>7</v>
      </c>
      <c r="C946">
        <v>4</v>
      </c>
      <c r="D946">
        <v>232</v>
      </c>
      <c r="E946" t="s">
        <v>8</v>
      </c>
      <c r="F946" t="s">
        <v>13</v>
      </c>
      <c r="G946" t="s">
        <v>16</v>
      </c>
      <c r="H946">
        <v>0</v>
      </c>
    </row>
    <row r="947" spans="1:8" x14ac:dyDescent="0.35">
      <c r="A947">
        <v>10955</v>
      </c>
      <c r="B947" t="s">
        <v>11</v>
      </c>
      <c r="C947">
        <v>5</v>
      </c>
      <c r="D947">
        <v>48</v>
      </c>
      <c r="E947" t="s">
        <v>8</v>
      </c>
      <c r="F947" t="s">
        <v>13</v>
      </c>
      <c r="G947" t="s">
        <v>16</v>
      </c>
      <c r="H947">
        <v>0</v>
      </c>
    </row>
    <row r="948" spans="1:8" x14ac:dyDescent="0.35">
      <c r="A948">
        <v>12853</v>
      </c>
      <c r="B948" t="s">
        <v>11</v>
      </c>
      <c r="C948">
        <v>11</v>
      </c>
      <c r="D948">
        <v>305</v>
      </c>
      <c r="E948" t="s">
        <v>8</v>
      </c>
      <c r="F948" t="s">
        <v>13</v>
      </c>
      <c r="G948" t="s">
        <v>14</v>
      </c>
      <c r="H948">
        <v>0</v>
      </c>
    </row>
    <row r="949" spans="1:8" x14ac:dyDescent="0.35">
      <c r="A949">
        <v>13546</v>
      </c>
      <c r="B949" t="s">
        <v>7</v>
      </c>
      <c r="C949">
        <v>6</v>
      </c>
      <c r="D949">
        <v>144</v>
      </c>
      <c r="E949" t="s">
        <v>8</v>
      </c>
      <c r="F949" t="s">
        <v>13</v>
      </c>
      <c r="G949" t="s">
        <v>12</v>
      </c>
      <c r="H949">
        <v>0</v>
      </c>
    </row>
    <row r="950" spans="1:8" x14ac:dyDescent="0.35">
      <c r="A950">
        <v>13975</v>
      </c>
      <c r="B950" t="s">
        <v>7</v>
      </c>
      <c r="C950">
        <v>14</v>
      </c>
      <c r="D950">
        <v>46</v>
      </c>
      <c r="E950" t="s">
        <v>8</v>
      </c>
      <c r="F950" t="s">
        <v>9</v>
      </c>
      <c r="G950" t="s">
        <v>12</v>
      </c>
      <c r="H950">
        <v>0</v>
      </c>
    </row>
    <row r="951" spans="1:8" x14ac:dyDescent="0.35">
      <c r="A951">
        <v>11895</v>
      </c>
      <c r="B951" t="s">
        <v>7</v>
      </c>
      <c r="C951">
        <v>4</v>
      </c>
      <c r="D951">
        <v>100</v>
      </c>
      <c r="E951" t="s">
        <v>15</v>
      </c>
      <c r="F951" t="s">
        <v>9</v>
      </c>
      <c r="G951" t="s">
        <v>12</v>
      </c>
      <c r="H951">
        <v>1</v>
      </c>
    </row>
    <row r="952" spans="1:8" x14ac:dyDescent="0.35">
      <c r="A952">
        <v>15325</v>
      </c>
      <c r="B952" t="s">
        <v>11</v>
      </c>
      <c r="C952">
        <v>7</v>
      </c>
      <c r="D952">
        <v>296</v>
      </c>
      <c r="E952" t="s">
        <v>8</v>
      </c>
      <c r="F952" t="s">
        <v>13</v>
      </c>
      <c r="G952" t="s">
        <v>16</v>
      </c>
      <c r="H952">
        <v>0</v>
      </c>
    </row>
    <row r="953" spans="1:8" x14ac:dyDescent="0.35">
      <c r="A953">
        <v>19711</v>
      </c>
      <c r="B953" t="s">
        <v>11</v>
      </c>
      <c r="C953">
        <v>13</v>
      </c>
      <c r="D953">
        <v>235</v>
      </c>
      <c r="E953" t="s">
        <v>8</v>
      </c>
      <c r="F953" t="s">
        <v>9</v>
      </c>
      <c r="G953" t="s">
        <v>10</v>
      </c>
      <c r="H953">
        <v>0</v>
      </c>
    </row>
    <row r="954" spans="1:8" x14ac:dyDescent="0.35">
      <c r="A954">
        <v>16634</v>
      </c>
      <c r="B954" t="s">
        <v>7</v>
      </c>
      <c r="C954">
        <v>5</v>
      </c>
      <c r="D954">
        <v>62</v>
      </c>
      <c r="E954" t="s">
        <v>8</v>
      </c>
      <c r="F954" t="s">
        <v>13</v>
      </c>
      <c r="G954" t="s">
        <v>12</v>
      </c>
      <c r="H954">
        <v>0</v>
      </c>
    </row>
    <row r="955" spans="1:8" x14ac:dyDescent="0.35">
      <c r="A955">
        <v>17086</v>
      </c>
      <c r="B955" t="s">
        <v>11</v>
      </c>
      <c r="C955">
        <v>1</v>
      </c>
      <c r="D955">
        <v>360</v>
      </c>
      <c r="E955" t="s">
        <v>8</v>
      </c>
      <c r="F955" t="s">
        <v>9</v>
      </c>
      <c r="G955" t="s">
        <v>14</v>
      </c>
      <c r="H955">
        <v>0</v>
      </c>
    </row>
    <row r="956" spans="1:8" x14ac:dyDescent="0.35">
      <c r="A956">
        <v>11170</v>
      </c>
      <c r="B956" t="s">
        <v>11</v>
      </c>
      <c r="C956">
        <v>3</v>
      </c>
      <c r="D956">
        <v>329</v>
      </c>
      <c r="E956" t="s">
        <v>8</v>
      </c>
      <c r="F956" t="s">
        <v>9</v>
      </c>
      <c r="G956" t="s">
        <v>16</v>
      </c>
      <c r="H956">
        <v>0</v>
      </c>
    </row>
    <row r="957" spans="1:8" x14ac:dyDescent="0.35">
      <c r="A957">
        <v>15512</v>
      </c>
      <c r="B957" t="s">
        <v>11</v>
      </c>
      <c r="C957">
        <v>10</v>
      </c>
      <c r="D957">
        <v>200</v>
      </c>
      <c r="E957" t="s">
        <v>8</v>
      </c>
      <c r="F957" t="s">
        <v>9</v>
      </c>
      <c r="G957" t="s">
        <v>12</v>
      </c>
      <c r="H957">
        <v>0</v>
      </c>
    </row>
    <row r="958" spans="1:8" x14ac:dyDescent="0.35">
      <c r="A958">
        <v>14031</v>
      </c>
      <c r="B958" t="s">
        <v>11</v>
      </c>
      <c r="C958">
        <v>7</v>
      </c>
      <c r="D958">
        <v>431</v>
      </c>
      <c r="E958" t="s">
        <v>8</v>
      </c>
      <c r="F958" t="s">
        <v>13</v>
      </c>
      <c r="G958" t="s">
        <v>12</v>
      </c>
      <c r="H958">
        <v>0</v>
      </c>
    </row>
    <row r="959" spans="1:8" x14ac:dyDescent="0.35">
      <c r="A959">
        <v>15442</v>
      </c>
      <c r="B959" t="s">
        <v>7</v>
      </c>
      <c r="C959">
        <v>10</v>
      </c>
      <c r="D959">
        <v>78</v>
      </c>
      <c r="E959" t="s">
        <v>8</v>
      </c>
      <c r="F959" t="s">
        <v>13</v>
      </c>
      <c r="G959" t="s">
        <v>16</v>
      </c>
      <c r="H959">
        <v>0</v>
      </c>
    </row>
    <row r="960" spans="1:8" x14ac:dyDescent="0.35">
      <c r="A960">
        <v>15154</v>
      </c>
      <c r="B960" t="s">
        <v>11</v>
      </c>
      <c r="C960">
        <v>3</v>
      </c>
      <c r="D960">
        <v>197</v>
      </c>
      <c r="E960" t="s">
        <v>8</v>
      </c>
      <c r="F960" t="s">
        <v>9</v>
      </c>
      <c r="G960" t="s">
        <v>12</v>
      </c>
      <c r="H960">
        <v>0</v>
      </c>
    </row>
    <row r="961" spans="1:8" x14ac:dyDescent="0.35">
      <c r="A961">
        <v>15451</v>
      </c>
      <c r="B961" t="s">
        <v>11</v>
      </c>
      <c r="C961">
        <v>14</v>
      </c>
      <c r="D961">
        <v>70</v>
      </c>
      <c r="E961" t="s">
        <v>8</v>
      </c>
      <c r="F961" t="s">
        <v>13</v>
      </c>
      <c r="G961" t="s">
        <v>14</v>
      </c>
      <c r="H961">
        <v>0</v>
      </c>
    </row>
    <row r="962" spans="1:8" x14ac:dyDescent="0.35">
      <c r="A962">
        <v>15390</v>
      </c>
      <c r="B962" t="s">
        <v>7</v>
      </c>
      <c r="C962">
        <v>14</v>
      </c>
      <c r="D962">
        <v>283</v>
      </c>
      <c r="E962" t="s">
        <v>15</v>
      </c>
      <c r="F962" t="s">
        <v>13</v>
      </c>
      <c r="G962" t="s">
        <v>14</v>
      </c>
      <c r="H962">
        <v>1</v>
      </c>
    </row>
    <row r="963" spans="1:8" x14ac:dyDescent="0.35">
      <c r="A963">
        <v>10904</v>
      </c>
      <c r="B963" t="s">
        <v>7</v>
      </c>
      <c r="C963">
        <v>1</v>
      </c>
      <c r="D963">
        <v>293</v>
      </c>
      <c r="E963" t="s">
        <v>8</v>
      </c>
      <c r="F963" t="s">
        <v>13</v>
      </c>
      <c r="G963" t="s">
        <v>10</v>
      </c>
      <c r="H963">
        <v>0</v>
      </c>
    </row>
    <row r="964" spans="1:8" x14ac:dyDescent="0.35">
      <c r="A964">
        <v>11181</v>
      </c>
      <c r="B964" t="s">
        <v>7</v>
      </c>
      <c r="C964">
        <v>6</v>
      </c>
      <c r="D964">
        <v>61</v>
      </c>
      <c r="E964" t="s">
        <v>8</v>
      </c>
      <c r="F964" t="s">
        <v>9</v>
      </c>
      <c r="G964" t="s">
        <v>14</v>
      </c>
      <c r="H964">
        <v>0</v>
      </c>
    </row>
    <row r="965" spans="1:8" x14ac:dyDescent="0.35">
      <c r="A965">
        <v>18751</v>
      </c>
      <c r="B965" t="s">
        <v>7</v>
      </c>
      <c r="C965">
        <v>3</v>
      </c>
      <c r="D965">
        <v>360</v>
      </c>
      <c r="E965" t="s">
        <v>8</v>
      </c>
      <c r="F965" t="s">
        <v>13</v>
      </c>
      <c r="G965" t="s">
        <v>12</v>
      </c>
      <c r="H965">
        <v>0</v>
      </c>
    </row>
    <row r="966" spans="1:8" x14ac:dyDescent="0.35">
      <c r="A966">
        <v>12985</v>
      </c>
      <c r="B966" t="s">
        <v>7</v>
      </c>
      <c r="C966">
        <v>5</v>
      </c>
      <c r="D966">
        <v>133</v>
      </c>
      <c r="E966" t="s">
        <v>15</v>
      </c>
      <c r="F966" t="s">
        <v>13</v>
      </c>
      <c r="G966" t="s">
        <v>12</v>
      </c>
      <c r="H966">
        <v>1</v>
      </c>
    </row>
    <row r="967" spans="1:8" x14ac:dyDescent="0.35">
      <c r="A967">
        <v>12269</v>
      </c>
      <c r="B967" t="s">
        <v>7</v>
      </c>
      <c r="C967">
        <v>8</v>
      </c>
      <c r="D967">
        <v>72</v>
      </c>
      <c r="E967" t="s">
        <v>8</v>
      </c>
      <c r="F967" t="s">
        <v>9</v>
      </c>
      <c r="G967" t="s">
        <v>12</v>
      </c>
      <c r="H967">
        <v>0</v>
      </c>
    </row>
    <row r="968" spans="1:8" x14ac:dyDescent="0.35">
      <c r="A968">
        <v>18841</v>
      </c>
      <c r="B968" t="s">
        <v>7</v>
      </c>
      <c r="C968">
        <v>3</v>
      </c>
      <c r="D968">
        <v>360</v>
      </c>
      <c r="E968" t="s">
        <v>8</v>
      </c>
      <c r="F968" t="s">
        <v>13</v>
      </c>
      <c r="G968" t="s">
        <v>14</v>
      </c>
      <c r="H968">
        <v>0</v>
      </c>
    </row>
    <row r="969" spans="1:8" x14ac:dyDescent="0.35">
      <c r="A969">
        <v>18701</v>
      </c>
      <c r="B969" t="s">
        <v>11</v>
      </c>
      <c r="C969">
        <v>3</v>
      </c>
      <c r="D969">
        <v>180</v>
      </c>
      <c r="E969" t="s">
        <v>8</v>
      </c>
      <c r="F969" t="s">
        <v>9</v>
      </c>
      <c r="G969" t="s">
        <v>10</v>
      </c>
      <c r="H969">
        <v>0</v>
      </c>
    </row>
    <row r="970" spans="1:8" x14ac:dyDescent="0.35">
      <c r="A970">
        <v>11305</v>
      </c>
      <c r="B970" t="s">
        <v>7</v>
      </c>
      <c r="C970">
        <v>13</v>
      </c>
      <c r="D970">
        <v>142</v>
      </c>
      <c r="E970" t="s">
        <v>8</v>
      </c>
      <c r="F970" t="s">
        <v>9</v>
      </c>
      <c r="G970" t="s">
        <v>10</v>
      </c>
      <c r="H970">
        <v>0</v>
      </c>
    </row>
    <row r="971" spans="1:8" x14ac:dyDescent="0.35">
      <c r="A971">
        <v>15997</v>
      </c>
      <c r="B971" t="s">
        <v>7</v>
      </c>
      <c r="C971">
        <v>5</v>
      </c>
      <c r="D971">
        <v>415</v>
      </c>
      <c r="E971" t="s">
        <v>8</v>
      </c>
      <c r="F971" t="s">
        <v>13</v>
      </c>
      <c r="G971" t="s">
        <v>14</v>
      </c>
      <c r="H971">
        <v>0</v>
      </c>
    </row>
    <row r="972" spans="1:8" x14ac:dyDescent="0.35">
      <c r="A972">
        <v>19151</v>
      </c>
      <c r="B972" t="s">
        <v>11</v>
      </c>
      <c r="C972">
        <v>9</v>
      </c>
      <c r="D972">
        <v>328</v>
      </c>
      <c r="E972" t="s">
        <v>8</v>
      </c>
      <c r="F972" t="s">
        <v>13</v>
      </c>
      <c r="G972" t="s">
        <v>12</v>
      </c>
      <c r="H972">
        <v>0</v>
      </c>
    </row>
    <row r="973" spans="1:8" x14ac:dyDescent="0.35">
      <c r="A973">
        <v>15572</v>
      </c>
      <c r="B973" t="s">
        <v>7</v>
      </c>
      <c r="C973">
        <v>7</v>
      </c>
      <c r="D973">
        <v>119</v>
      </c>
      <c r="E973" t="s">
        <v>15</v>
      </c>
      <c r="F973" t="s">
        <v>9</v>
      </c>
      <c r="G973" t="s">
        <v>14</v>
      </c>
      <c r="H973">
        <v>1</v>
      </c>
    </row>
    <row r="974" spans="1:8" x14ac:dyDescent="0.35">
      <c r="A974">
        <v>14644</v>
      </c>
      <c r="B974" t="s">
        <v>7</v>
      </c>
      <c r="C974">
        <v>6</v>
      </c>
      <c r="D974">
        <v>405</v>
      </c>
      <c r="E974" t="s">
        <v>8</v>
      </c>
      <c r="F974" t="s">
        <v>13</v>
      </c>
      <c r="G974" t="s">
        <v>16</v>
      </c>
      <c r="H974">
        <v>0</v>
      </c>
    </row>
    <row r="975" spans="1:8" x14ac:dyDescent="0.35">
      <c r="A975">
        <v>19228</v>
      </c>
      <c r="B975" t="s">
        <v>7</v>
      </c>
      <c r="C975">
        <v>1</v>
      </c>
      <c r="D975">
        <v>48</v>
      </c>
      <c r="E975" t="s">
        <v>8</v>
      </c>
      <c r="F975" t="s">
        <v>13</v>
      </c>
      <c r="G975" t="s">
        <v>14</v>
      </c>
      <c r="H975">
        <v>0</v>
      </c>
    </row>
    <row r="976" spans="1:8" x14ac:dyDescent="0.35">
      <c r="A976">
        <v>10899</v>
      </c>
      <c r="B976" t="s">
        <v>7</v>
      </c>
      <c r="C976">
        <v>2</v>
      </c>
      <c r="D976">
        <v>149</v>
      </c>
      <c r="E976" t="s">
        <v>8</v>
      </c>
      <c r="F976" t="s">
        <v>9</v>
      </c>
      <c r="G976" t="s">
        <v>16</v>
      </c>
      <c r="H976">
        <v>0</v>
      </c>
    </row>
    <row r="977" spans="1:8" x14ac:dyDescent="0.35">
      <c r="A977">
        <v>15762</v>
      </c>
      <c r="B977" t="s">
        <v>11</v>
      </c>
      <c r="C977">
        <v>1</v>
      </c>
      <c r="D977">
        <v>135</v>
      </c>
      <c r="E977" t="s">
        <v>8</v>
      </c>
      <c r="F977" t="s">
        <v>9</v>
      </c>
      <c r="G977" t="s">
        <v>10</v>
      </c>
      <c r="H977">
        <v>0</v>
      </c>
    </row>
    <row r="978" spans="1:8" x14ac:dyDescent="0.35">
      <c r="A978">
        <v>16604</v>
      </c>
      <c r="B978" t="s">
        <v>7</v>
      </c>
      <c r="C978">
        <v>6</v>
      </c>
      <c r="D978">
        <v>384</v>
      </c>
      <c r="E978" t="s">
        <v>8</v>
      </c>
      <c r="F978" t="s">
        <v>9</v>
      </c>
      <c r="G978" t="s">
        <v>12</v>
      </c>
      <c r="H978">
        <v>0</v>
      </c>
    </row>
    <row r="979" spans="1:8" x14ac:dyDescent="0.35">
      <c r="A979">
        <v>10615</v>
      </c>
      <c r="B979" t="s">
        <v>7</v>
      </c>
      <c r="C979">
        <v>3</v>
      </c>
      <c r="D979">
        <v>263</v>
      </c>
      <c r="E979" t="s">
        <v>8</v>
      </c>
      <c r="F979" t="s">
        <v>13</v>
      </c>
      <c r="G979" t="s">
        <v>14</v>
      </c>
      <c r="H979">
        <v>0</v>
      </c>
    </row>
    <row r="980" spans="1:8" x14ac:dyDescent="0.35">
      <c r="A980">
        <v>13087</v>
      </c>
      <c r="B980" t="s">
        <v>7</v>
      </c>
      <c r="C980">
        <v>4</v>
      </c>
      <c r="D980">
        <v>144</v>
      </c>
      <c r="E980" t="s">
        <v>15</v>
      </c>
      <c r="F980" t="s">
        <v>9</v>
      </c>
      <c r="G980" t="s">
        <v>12</v>
      </c>
      <c r="H980">
        <v>1</v>
      </c>
    </row>
    <row r="981" spans="1:8" x14ac:dyDescent="0.35">
      <c r="A981">
        <v>13641</v>
      </c>
      <c r="B981" t="s">
        <v>7</v>
      </c>
      <c r="C981">
        <v>4</v>
      </c>
      <c r="D981">
        <v>351</v>
      </c>
      <c r="E981" t="s">
        <v>8</v>
      </c>
      <c r="F981" t="s">
        <v>13</v>
      </c>
      <c r="G981" t="s">
        <v>10</v>
      </c>
      <c r="H981">
        <v>0</v>
      </c>
    </row>
    <row r="982" spans="1:8" x14ac:dyDescent="0.35">
      <c r="A982">
        <v>11142</v>
      </c>
      <c r="B982" t="s">
        <v>11</v>
      </c>
      <c r="C982">
        <v>6</v>
      </c>
      <c r="D982">
        <v>318</v>
      </c>
      <c r="E982" t="s">
        <v>8</v>
      </c>
      <c r="F982" t="s">
        <v>13</v>
      </c>
      <c r="G982" t="s">
        <v>14</v>
      </c>
      <c r="H982">
        <v>0</v>
      </c>
    </row>
    <row r="983" spans="1:8" x14ac:dyDescent="0.35">
      <c r="A983">
        <v>16999</v>
      </c>
      <c r="B983" t="s">
        <v>7</v>
      </c>
      <c r="C983">
        <v>11</v>
      </c>
      <c r="D983">
        <v>190</v>
      </c>
      <c r="E983" t="s">
        <v>15</v>
      </c>
      <c r="F983" t="s">
        <v>9</v>
      </c>
      <c r="G983" t="s">
        <v>12</v>
      </c>
      <c r="H983">
        <v>1</v>
      </c>
    </row>
    <row r="984" spans="1:8" x14ac:dyDescent="0.35">
      <c r="A984">
        <v>18300</v>
      </c>
      <c r="B984" t="s">
        <v>11</v>
      </c>
      <c r="C984">
        <v>13</v>
      </c>
      <c r="D984">
        <v>355</v>
      </c>
      <c r="E984" t="s">
        <v>8</v>
      </c>
      <c r="F984" t="s">
        <v>13</v>
      </c>
      <c r="G984" t="s">
        <v>16</v>
      </c>
      <c r="H984">
        <v>0</v>
      </c>
    </row>
    <row r="985" spans="1:8" x14ac:dyDescent="0.35">
      <c r="A985">
        <v>17450</v>
      </c>
      <c r="B985" t="s">
        <v>11</v>
      </c>
      <c r="C985">
        <v>9</v>
      </c>
      <c r="D985">
        <v>102</v>
      </c>
      <c r="E985" t="s">
        <v>15</v>
      </c>
      <c r="F985" t="s">
        <v>13</v>
      </c>
      <c r="G985" t="s">
        <v>14</v>
      </c>
      <c r="H985">
        <v>1</v>
      </c>
    </row>
    <row r="986" spans="1:8" x14ac:dyDescent="0.35">
      <c r="A986">
        <v>13328</v>
      </c>
      <c r="B986" t="s">
        <v>11</v>
      </c>
      <c r="C986">
        <v>12</v>
      </c>
      <c r="D986">
        <v>78</v>
      </c>
      <c r="E986" t="s">
        <v>8</v>
      </c>
      <c r="F986" t="s">
        <v>9</v>
      </c>
      <c r="G986" t="s">
        <v>16</v>
      </c>
      <c r="H986">
        <v>0</v>
      </c>
    </row>
    <row r="987" spans="1:8" x14ac:dyDescent="0.35">
      <c r="A987">
        <v>11987</v>
      </c>
      <c r="B987" t="s">
        <v>11</v>
      </c>
      <c r="C987">
        <v>3</v>
      </c>
      <c r="D987">
        <v>302</v>
      </c>
      <c r="E987" t="s">
        <v>8</v>
      </c>
      <c r="F987" t="s">
        <v>13</v>
      </c>
      <c r="G987" t="s">
        <v>10</v>
      </c>
      <c r="H987">
        <v>0</v>
      </c>
    </row>
    <row r="988" spans="1:8" x14ac:dyDescent="0.35">
      <c r="A988">
        <v>13715</v>
      </c>
      <c r="B988" t="s">
        <v>11</v>
      </c>
      <c r="C988">
        <v>5</v>
      </c>
      <c r="D988">
        <v>250</v>
      </c>
      <c r="E988" t="s">
        <v>8</v>
      </c>
      <c r="F988" t="s">
        <v>9</v>
      </c>
      <c r="G988" t="s">
        <v>16</v>
      </c>
      <c r="H988">
        <v>0</v>
      </c>
    </row>
    <row r="989" spans="1:8" x14ac:dyDescent="0.35">
      <c r="A989">
        <v>19844</v>
      </c>
      <c r="B989" t="s">
        <v>7</v>
      </c>
      <c r="C989">
        <v>3</v>
      </c>
      <c r="D989">
        <v>286</v>
      </c>
      <c r="E989" t="s">
        <v>8</v>
      </c>
      <c r="F989" t="s">
        <v>13</v>
      </c>
      <c r="G989" t="s">
        <v>14</v>
      </c>
      <c r="H989">
        <v>0</v>
      </c>
    </row>
    <row r="990" spans="1:8" x14ac:dyDescent="0.35">
      <c r="A990">
        <v>12236</v>
      </c>
      <c r="B990" t="s">
        <v>11</v>
      </c>
      <c r="C990">
        <v>8</v>
      </c>
      <c r="D990">
        <v>167</v>
      </c>
      <c r="E990" t="s">
        <v>8</v>
      </c>
      <c r="F990" t="s">
        <v>13</v>
      </c>
      <c r="G990" t="s">
        <v>16</v>
      </c>
      <c r="H990">
        <v>0</v>
      </c>
    </row>
    <row r="991" spans="1:8" x14ac:dyDescent="0.35">
      <c r="A991">
        <v>14733</v>
      </c>
      <c r="B991" t="s">
        <v>11</v>
      </c>
      <c r="C991">
        <v>7</v>
      </c>
      <c r="D991">
        <v>257</v>
      </c>
      <c r="E991" t="s">
        <v>8</v>
      </c>
      <c r="F991" t="s">
        <v>9</v>
      </c>
      <c r="G991" t="s">
        <v>16</v>
      </c>
      <c r="H991">
        <v>0</v>
      </c>
    </row>
    <row r="992" spans="1:8" x14ac:dyDescent="0.35">
      <c r="A992">
        <v>12135</v>
      </c>
      <c r="B992" t="s">
        <v>7</v>
      </c>
      <c r="C992">
        <v>6</v>
      </c>
      <c r="D992">
        <v>358</v>
      </c>
      <c r="E992" t="s">
        <v>8</v>
      </c>
      <c r="F992" t="s">
        <v>13</v>
      </c>
      <c r="G992" t="s">
        <v>12</v>
      </c>
      <c r="H992">
        <v>0</v>
      </c>
    </row>
    <row r="993" spans="1:8" x14ac:dyDescent="0.35">
      <c r="A993">
        <v>19905</v>
      </c>
      <c r="B993" t="s">
        <v>7</v>
      </c>
      <c r="C993">
        <v>14</v>
      </c>
      <c r="D993">
        <v>259</v>
      </c>
      <c r="E993" t="s">
        <v>8</v>
      </c>
      <c r="F993" t="s">
        <v>9</v>
      </c>
      <c r="G993" t="s">
        <v>10</v>
      </c>
      <c r="H993">
        <v>0</v>
      </c>
    </row>
    <row r="994" spans="1:8" x14ac:dyDescent="0.35">
      <c r="A994">
        <v>12827</v>
      </c>
      <c r="B994" t="s">
        <v>11</v>
      </c>
      <c r="C994">
        <v>2</v>
      </c>
      <c r="D994">
        <v>179</v>
      </c>
      <c r="E994" t="s">
        <v>8</v>
      </c>
      <c r="F994" t="s">
        <v>9</v>
      </c>
      <c r="G994" t="s">
        <v>12</v>
      </c>
      <c r="H994">
        <v>0</v>
      </c>
    </row>
    <row r="995" spans="1:8" x14ac:dyDescent="0.35">
      <c r="A995">
        <v>12166</v>
      </c>
      <c r="B995" t="s">
        <v>7</v>
      </c>
      <c r="C995">
        <v>2</v>
      </c>
      <c r="D995">
        <v>180</v>
      </c>
      <c r="E995" t="s">
        <v>8</v>
      </c>
      <c r="F995" t="s">
        <v>13</v>
      </c>
      <c r="G995" t="s">
        <v>12</v>
      </c>
      <c r="H995">
        <v>0</v>
      </c>
    </row>
    <row r="996" spans="1:8" x14ac:dyDescent="0.35">
      <c r="A996">
        <v>19104</v>
      </c>
      <c r="B996" t="s">
        <v>11</v>
      </c>
      <c r="C996">
        <v>10</v>
      </c>
      <c r="D996">
        <v>246</v>
      </c>
      <c r="E996" t="s">
        <v>8</v>
      </c>
      <c r="F996" t="s">
        <v>9</v>
      </c>
      <c r="G996" t="s">
        <v>10</v>
      </c>
      <c r="H996">
        <v>0</v>
      </c>
    </row>
    <row r="997" spans="1:8" x14ac:dyDescent="0.35">
      <c r="A997">
        <v>10386</v>
      </c>
      <c r="B997" t="s">
        <v>11</v>
      </c>
      <c r="C997">
        <v>14</v>
      </c>
      <c r="D997">
        <v>384</v>
      </c>
      <c r="E997" t="s">
        <v>8</v>
      </c>
      <c r="F997" t="s">
        <v>9</v>
      </c>
      <c r="G997" t="s">
        <v>14</v>
      </c>
      <c r="H997">
        <v>0</v>
      </c>
    </row>
    <row r="998" spans="1:8" x14ac:dyDescent="0.35">
      <c r="A998">
        <v>12724</v>
      </c>
      <c r="B998" t="s">
        <v>7</v>
      </c>
      <c r="C998">
        <v>4</v>
      </c>
      <c r="D998">
        <v>329</v>
      </c>
      <c r="E998" t="s">
        <v>15</v>
      </c>
      <c r="F998" t="s">
        <v>9</v>
      </c>
      <c r="G998" t="s">
        <v>12</v>
      </c>
      <c r="H998">
        <v>1</v>
      </c>
    </row>
    <row r="999" spans="1:8" x14ac:dyDescent="0.35">
      <c r="A999">
        <v>15839</v>
      </c>
      <c r="B999" t="s">
        <v>7</v>
      </c>
      <c r="C999">
        <v>3</v>
      </c>
      <c r="D999">
        <v>117</v>
      </c>
      <c r="E999" t="s">
        <v>15</v>
      </c>
      <c r="F999" t="s">
        <v>13</v>
      </c>
      <c r="G999" t="s">
        <v>10</v>
      </c>
      <c r="H999">
        <v>1</v>
      </c>
    </row>
    <row r="1000" spans="1:8" x14ac:dyDescent="0.35">
      <c r="A1000">
        <v>16061</v>
      </c>
      <c r="B1000" t="s">
        <v>7</v>
      </c>
      <c r="C1000">
        <v>6</v>
      </c>
      <c r="D1000">
        <v>61</v>
      </c>
      <c r="E1000" t="s">
        <v>8</v>
      </c>
      <c r="F1000" t="s">
        <v>13</v>
      </c>
      <c r="G1000" t="s">
        <v>12</v>
      </c>
      <c r="H1000">
        <v>0</v>
      </c>
    </row>
    <row r="1001" spans="1:8" x14ac:dyDescent="0.35">
      <c r="A1001">
        <v>17927</v>
      </c>
      <c r="B1001" t="s">
        <v>11</v>
      </c>
      <c r="C1001">
        <v>6</v>
      </c>
      <c r="D1001">
        <v>261</v>
      </c>
      <c r="E1001" t="s">
        <v>8</v>
      </c>
      <c r="F1001" t="s">
        <v>13</v>
      </c>
      <c r="G1001" t="s">
        <v>16</v>
      </c>
      <c r="H1001">
        <v>0</v>
      </c>
    </row>
    <row r="1002" spans="1:8" x14ac:dyDescent="0.35">
      <c r="A1002">
        <v>19093</v>
      </c>
      <c r="B1002" t="s">
        <v>7</v>
      </c>
      <c r="C1002">
        <v>6</v>
      </c>
      <c r="D1002">
        <v>193</v>
      </c>
      <c r="E1002" t="s">
        <v>8</v>
      </c>
      <c r="F1002" t="s">
        <v>9</v>
      </c>
      <c r="G1002" t="s">
        <v>14</v>
      </c>
      <c r="H1002">
        <v>0</v>
      </c>
    </row>
    <row r="1003" spans="1:8" x14ac:dyDescent="0.35">
      <c r="A1003">
        <v>11829</v>
      </c>
      <c r="B1003" t="s">
        <v>11</v>
      </c>
      <c r="C1003">
        <v>4</v>
      </c>
      <c r="D1003">
        <v>251</v>
      </c>
      <c r="E1003" t="s">
        <v>8</v>
      </c>
      <c r="F1003" t="s">
        <v>9</v>
      </c>
      <c r="G1003" t="s">
        <v>16</v>
      </c>
      <c r="H1003">
        <v>0</v>
      </c>
    </row>
    <row r="1004" spans="1:8" x14ac:dyDescent="0.35">
      <c r="A1004">
        <v>17726</v>
      </c>
      <c r="B1004" t="s">
        <v>11</v>
      </c>
      <c r="C1004">
        <v>10</v>
      </c>
      <c r="D1004">
        <v>215</v>
      </c>
      <c r="E1004" t="s">
        <v>8</v>
      </c>
      <c r="F1004" t="s">
        <v>13</v>
      </c>
      <c r="G1004" t="s">
        <v>10</v>
      </c>
      <c r="H1004">
        <v>0</v>
      </c>
    </row>
    <row r="1005" spans="1:8" x14ac:dyDescent="0.35">
      <c r="A1005">
        <v>15276</v>
      </c>
      <c r="B1005" t="s">
        <v>7</v>
      </c>
      <c r="C1005">
        <v>14</v>
      </c>
      <c r="D1005">
        <v>303</v>
      </c>
      <c r="E1005" t="s">
        <v>8</v>
      </c>
      <c r="F1005" t="s">
        <v>9</v>
      </c>
      <c r="G1005" t="s">
        <v>10</v>
      </c>
      <c r="H1005">
        <v>0</v>
      </c>
    </row>
    <row r="1006" spans="1:8" x14ac:dyDescent="0.35">
      <c r="A1006">
        <v>16491</v>
      </c>
      <c r="B1006" t="s">
        <v>11</v>
      </c>
      <c r="C1006">
        <v>2</v>
      </c>
      <c r="D1006">
        <v>274</v>
      </c>
      <c r="E1006" t="s">
        <v>8</v>
      </c>
      <c r="F1006" t="s">
        <v>13</v>
      </c>
      <c r="G1006" t="s">
        <v>12</v>
      </c>
      <c r="H1006">
        <v>0</v>
      </c>
    </row>
    <row r="1007" spans="1:8" x14ac:dyDescent="0.35">
      <c r="A1007">
        <v>15398</v>
      </c>
      <c r="B1007" t="s">
        <v>11</v>
      </c>
      <c r="C1007">
        <v>13</v>
      </c>
      <c r="D1007">
        <v>215</v>
      </c>
      <c r="E1007" t="s">
        <v>8</v>
      </c>
      <c r="F1007" t="s">
        <v>9</v>
      </c>
      <c r="G1007" t="s">
        <v>16</v>
      </c>
      <c r="H1007">
        <v>0</v>
      </c>
    </row>
    <row r="1008" spans="1:8" x14ac:dyDescent="0.35">
      <c r="A1008">
        <v>13608</v>
      </c>
      <c r="B1008" t="s">
        <v>11</v>
      </c>
      <c r="C1008">
        <v>6</v>
      </c>
      <c r="D1008">
        <v>316</v>
      </c>
      <c r="E1008" t="s">
        <v>8</v>
      </c>
      <c r="F1008" t="s">
        <v>9</v>
      </c>
      <c r="G1008" t="s">
        <v>10</v>
      </c>
      <c r="H1008">
        <v>0</v>
      </c>
    </row>
    <row r="1009" spans="1:8" x14ac:dyDescent="0.35">
      <c r="A1009">
        <v>10216</v>
      </c>
      <c r="B1009" t="s">
        <v>11</v>
      </c>
      <c r="C1009">
        <v>12</v>
      </c>
      <c r="D1009">
        <v>250</v>
      </c>
      <c r="E1009" t="s">
        <v>15</v>
      </c>
      <c r="F1009" t="s">
        <v>13</v>
      </c>
      <c r="G1009" t="s">
        <v>10</v>
      </c>
      <c r="H1009">
        <v>1</v>
      </c>
    </row>
    <row r="1010" spans="1:8" x14ac:dyDescent="0.35">
      <c r="A1010">
        <v>13106</v>
      </c>
      <c r="B1010" t="s">
        <v>7</v>
      </c>
      <c r="C1010">
        <v>9</v>
      </c>
      <c r="D1010">
        <v>107</v>
      </c>
      <c r="E1010" t="s">
        <v>8</v>
      </c>
      <c r="F1010" t="s">
        <v>9</v>
      </c>
      <c r="G1010" t="s">
        <v>16</v>
      </c>
      <c r="H1010">
        <v>0</v>
      </c>
    </row>
    <row r="1011" spans="1:8" x14ac:dyDescent="0.35">
      <c r="A1011">
        <v>11041</v>
      </c>
      <c r="B1011" t="s">
        <v>7</v>
      </c>
      <c r="C1011">
        <v>11</v>
      </c>
      <c r="D1011">
        <v>377</v>
      </c>
      <c r="E1011" t="s">
        <v>8</v>
      </c>
      <c r="F1011" t="s">
        <v>13</v>
      </c>
      <c r="G1011" t="s">
        <v>12</v>
      </c>
      <c r="H1011">
        <v>0</v>
      </c>
    </row>
    <row r="1012" spans="1:8" x14ac:dyDescent="0.35">
      <c r="A1012">
        <v>13424</v>
      </c>
      <c r="B1012" t="s">
        <v>7</v>
      </c>
      <c r="C1012">
        <v>9</v>
      </c>
      <c r="D1012">
        <v>66</v>
      </c>
      <c r="E1012" t="s">
        <v>8</v>
      </c>
      <c r="F1012" t="s">
        <v>13</v>
      </c>
      <c r="G1012" t="s">
        <v>12</v>
      </c>
      <c r="H1012">
        <v>0</v>
      </c>
    </row>
    <row r="1013" spans="1:8" x14ac:dyDescent="0.35">
      <c r="A1013">
        <v>12114</v>
      </c>
      <c r="B1013" t="s">
        <v>11</v>
      </c>
      <c r="C1013">
        <v>12</v>
      </c>
      <c r="D1013">
        <v>124</v>
      </c>
      <c r="E1013" t="s">
        <v>8</v>
      </c>
      <c r="F1013" t="s">
        <v>13</v>
      </c>
      <c r="G1013" t="s">
        <v>16</v>
      </c>
      <c r="H1013">
        <v>0</v>
      </c>
    </row>
    <row r="1014" spans="1:8" x14ac:dyDescent="0.35">
      <c r="A1014">
        <v>15824</v>
      </c>
      <c r="B1014" t="s">
        <v>7</v>
      </c>
      <c r="C1014">
        <v>4</v>
      </c>
      <c r="D1014">
        <v>176</v>
      </c>
      <c r="E1014" t="s">
        <v>8</v>
      </c>
      <c r="F1014" t="s">
        <v>9</v>
      </c>
      <c r="G1014" t="s">
        <v>10</v>
      </c>
      <c r="H1014">
        <v>0</v>
      </c>
    </row>
    <row r="1015" spans="1:8" x14ac:dyDescent="0.35">
      <c r="A1015">
        <v>15892</v>
      </c>
      <c r="B1015" t="s">
        <v>11</v>
      </c>
      <c r="C1015">
        <v>9</v>
      </c>
      <c r="D1015">
        <v>281</v>
      </c>
      <c r="E1015" t="s">
        <v>8</v>
      </c>
      <c r="F1015" t="s">
        <v>13</v>
      </c>
      <c r="G1015" t="s">
        <v>14</v>
      </c>
      <c r="H1015">
        <v>0</v>
      </c>
    </row>
    <row r="1016" spans="1:8" x14ac:dyDescent="0.35">
      <c r="A1016">
        <v>15228</v>
      </c>
      <c r="B1016" t="s">
        <v>11</v>
      </c>
      <c r="C1016">
        <v>6</v>
      </c>
      <c r="D1016">
        <v>292</v>
      </c>
      <c r="E1016" t="s">
        <v>8</v>
      </c>
      <c r="F1016" t="s">
        <v>13</v>
      </c>
      <c r="G1016" t="s">
        <v>12</v>
      </c>
      <c r="H1016">
        <v>0</v>
      </c>
    </row>
    <row r="1017" spans="1:8" x14ac:dyDescent="0.35">
      <c r="A1017">
        <v>18273</v>
      </c>
      <c r="B1017" t="s">
        <v>7</v>
      </c>
      <c r="C1017">
        <v>1</v>
      </c>
      <c r="D1017">
        <v>287</v>
      </c>
      <c r="E1017" t="s">
        <v>8</v>
      </c>
      <c r="F1017" t="s">
        <v>9</v>
      </c>
      <c r="G1017" t="s">
        <v>10</v>
      </c>
      <c r="H1017">
        <v>0</v>
      </c>
    </row>
    <row r="1018" spans="1:8" x14ac:dyDescent="0.35">
      <c r="A1018">
        <v>15465</v>
      </c>
      <c r="B1018" t="s">
        <v>11</v>
      </c>
      <c r="C1018">
        <v>10</v>
      </c>
      <c r="D1018">
        <v>299</v>
      </c>
      <c r="E1018" t="s">
        <v>8</v>
      </c>
      <c r="F1018" t="s">
        <v>9</v>
      </c>
      <c r="G1018" t="s">
        <v>14</v>
      </c>
      <c r="H1018">
        <v>0</v>
      </c>
    </row>
    <row r="1019" spans="1:8" x14ac:dyDescent="0.35">
      <c r="A1019">
        <v>15577</v>
      </c>
      <c r="B1019" t="s">
        <v>7</v>
      </c>
      <c r="C1019">
        <v>12</v>
      </c>
      <c r="D1019">
        <v>385</v>
      </c>
      <c r="E1019" t="s">
        <v>8</v>
      </c>
      <c r="F1019" t="s">
        <v>9</v>
      </c>
      <c r="G1019" t="s">
        <v>16</v>
      </c>
      <c r="H1019">
        <v>0</v>
      </c>
    </row>
    <row r="1020" spans="1:8" x14ac:dyDescent="0.35">
      <c r="A1020">
        <v>15549</v>
      </c>
      <c r="B1020" t="s">
        <v>11</v>
      </c>
      <c r="C1020">
        <v>6</v>
      </c>
      <c r="D1020">
        <v>316</v>
      </c>
      <c r="E1020" t="s">
        <v>8</v>
      </c>
      <c r="F1020" t="s">
        <v>13</v>
      </c>
      <c r="G1020" t="s">
        <v>14</v>
      </c>
      <c r="H1020">
        <v>0</v>
      </c>
    </row>
    <row r="1021" spans="1:8" x14ac:dyDescent="0.35">
      <c r="A1021">
        <v>14611</v>
      </c>
      <c r="B1021" t="s">
        <v>7</v>
      </c>
      <c r="C1021">
        <v>10</v>
      </c>
      <c r="D1021">
        <v>284</v>
      </c>
      <c r="E1021" t="s">
        <v>8</v>
      </c>
      <c r="F1021" t="s">
        <v>9</v>
      </c>
      <c r="G1021" t="s">
        <v>12</v>
      </c>
      <c r="H1021">
        <v>0</v>
      </c>
    </row>
    <row r="1022" spans="1:8" x14ac:dyDescent="0.35">
      <c r="A1022">
        <v>14132</v>
      </c>
      <c r="B1022" t="s">
        <v>7</v>
      </c>
      <c r="C1022">
        <v>13</v>
      </c>
      <c r="D1022">
        <v>197</v>
      </c>
      <c r="E1022" t="s">
        <v>8</v>
      </c>
      <c r="F1022" t="s">
        <v>13</v>
      </c>
      <c r="G1022" t="s">
        <v>12</v>
      </c>
      <c r="H1022">
        <v>0</v>
      </c>
    </row>
    <row r="1023" spans="1:8" x14ac:dyDescent="0.35">
      <c r="A1023">
        <v>17676</v>
      </c>
      <c r="B1023" t="s">
        <v>11</v>
      </c>
      <c r="C1023">
        <v>13</v>
      </c>
      <c r="D1023">
        <v>144</v>
      </c>
      <c r="E1023" t="s">
        <v>8</v>
      </c>
      <c r="F1023" t="s">
        <v>9</v>
      </c>
      <c r="G1023" t="s">
        <v>10</v>
      </c>
      <c r="H1023">
        <v>0</v>
      </c>
    </row>
    <row r="1024" spans="1:8" x14ac:dyDescent="0.35">
      <c r="A1024">
        <v>17979</v>
      </c>
      <c r="B1024" t="s">
        <v>7</v>
      </c>
      <c r="C1024">
        <v>10</v>
      </c>
      <c r="D1024">
        <v>92</v>
      </c>
      <c r="E1024" t="s">
        <v>8</v>
      </c>
      <c r="F1024" t="s">
        <v>13</v>
      </c>
      <c r="G1024" t="s">
        <v>10</v>
      </c>
      <c r="H1024">
        <v>0</v>
      </c>
    </row>
    <row r="1025" spans="1:8" x14ac:dyDescent="0.35">
      <c r="A1025">
        <v>13119</v>
      </c>
      <c r="B1025" t="s">
        <v>11</v>
      </c>
      <c r="C1025">
        <v>10</v>
      </c>
      <c r="D1025">
        <v>40</v>
      </c>
      <c r="E1025" t="s">
        <v>8</v>
      </c>
      <c r="F1025" t="s">
        <v>9</v>
      </c>
      <c r="G1025" t="s">
        <v>12</v>
      </c>
      <c r="H1025">
        <v>0</v>
      </c>
    </row>
    <row r="1026" spans="1:8" x14ac:dyDescent="0.35">
      <c r="A1026">
        <v>14416</v>
      </c>
      <c r="B1026" t="s">
        <v>7</v>
      </c>
      <c r="C1026">
        <v>5</v>
      </c>
      <c r="D1026">
        <v>251</v>
      </c>
      <c r="E1026" t="s">
        <v>8</v>
      </c>
      <c r="F1026" t="s">
        <v>13</v>
      </c>
      <c r="G1026" t="s">
        <v>10</v>
      </c>
      <c r="H1026">
        <v>0</v>
      </c>
    </row>
    <row r="1027" spans="1:8" x14ac:dyDescent="0.35">
      <c r="A1027">
        <v>16659</v>
      </c>
      <c r="B1027" t="s">
        <v>11</v>
      </c>
      <c r="C1027">
        <v>10</v>
      </c>
      <c r="D1027">
        <v>46</v>
      </c>
      <c r="E1027" t="s">
        <v>8</v>
      </c>
      <c r="F1027" t="s">
        <v>9</v>
      </c>
      <c r="G1027" t="s">
        <v>12</v>
      </c>
      <c r="H1027">
        <v>0</v>
      </c>
    </row>
    <row r="1028" spans="1:8" x14ac:dyDescent="0.35">
      <c r="A1028">
        <v>17591</v>
      </c>
      <c r="B1028" t="s">
        <v>11</v>
      </c>
      <c r="C1028">
        <v>5</v>
      </c>
      <c r="D1028">
        <v>140</v>
      </c>
      <c r="E1028" t="s">
        <v>8</v>
      </c>
      <c r="F1028" t="s">
        <v>13</v>
      </c>
      <c r="G1028" t="s">
        <v>14</v>
      </c>
      <c r="H1028">
        <v>0</v>
      </c>
    </row>
    <row r="1029" spans="1:8" x14ac:dyDescent="0.35">
      <c r="A1029">
        <v>10733</v>
      </c>
      <c r="B1029" t="s">
        <v>7</v>
      </c>
      <c r="C1029">
        <v>13</v>
      </c>
      <c r="D1029">
        <v>258</v>
      </c>
      <c r="E1029" t="s">
        <v>8</v>
      </c>
      <c r="F1029" t="s">
        <v>9</v>
      </c>
      <c r="G1029" t="s">
        <v>12</v>
      </c>
      <c r="H1029">
        <v>0</v>
      </c>
    </row>
    <row r="1030" spans="1:8" x14ac:dyDescent="0.35">
      <c r="A1030">
        <v>16835</v>
      </c>
      <c r="B1030" t="s">
        <v>7</v>
      </c>
      <c r="C1030">
        <v>7</v>
      </c>
      <c r="D1030">
        <v>279</v>
      </c>
      <c r="E1030" t="s">
        <v>8</v>
      </c>
      <c r="F1030" t="s">
        <v>13</v>
      </c>
      <c r="G1030" t="s">
        <v>16</v>
      </c>
      <c r="H1030">
        <v>0</v>
      </c>
    </row>
    <row r="1031" spans="1:8" x14ac:dyDescent="0.35">
      <c r="A1031">
        <v>12168</v>
      </c>
      <c r="B1031" t="s">
        <v>11</v>
      </c>
      <c r="C1031">
        <v>12</v>
      </c>
      <c r="D1031">
        <v>93</v>
      </c>
      <c r="E1031" t="s">
        <v>8</v>
      </c>
      <c r="F1031" t="s">
        <v>13</v>
      </c>
      <c r="G1031" t="s">
        <v>10</v>
      </c>
      <c r="H1031">
        <v>0</v>
      </c>
    </row>
    <row r="1032" spans="1:8" x14ac:dyDescent="0.35">
      <c r="A1032">
        <v>18656</v>
      </c>
      <c r="B1032" t="s">
        <v>11</v>
      </c>
      <c r="C1032">
        <v>12</v>
      </c>
      <c r="D1032">
        <v>355</v>
      </c>
      <c r="E1032" t="s">
        <v>8</v>
      </c>
      <c r="F1032" t="s">
        <v>9</v>
      </c>
      <c r="G1032" t="s">
        <v>10</v>
      </c>
      <c r="H1032">
        <v>0</v>
      </c>
    </row>
    <row r="1033" spans="1:8" x14ac:dyDescent="0.35">
      <c r="A1033">
        <v>15246</v>
      </c>
      <c r="B1033" t="s">
        <v>7</v>
      </c>
      <c r="C1033">
        <v>12</v>
      </c>
      <c r="D1033">
        <v>243</v>
      </c>
      <c r="E1033" t="s">
        <v>8</v>
      </c>
      <c r="F1033" t="s">
        <v>13</v>
      </c>
      <c r="G1033" t="s">
        <v>10</v>
      </c>
      <c r="H1033">
        <v>0</v>
      </c>
    </row>
    <row r="1034" spans="1:8" x14ac:dyDescent="0.35">
      <c r="A1034">
        <v>11686</v>
      </c>
      <c r="B1034" t="s">
        <v>11</v>
      </c>
      <c r="C1034">
        <v>1</v>
      </c>
      <c r="D1034">
        <v>243</v>
      </c>
      <c r="E1034" t="s">
        <v>8</v>
      </c>
      <c r="F1034" t="s">
        <v>9</v>
      </c>
      <c r="G1034" t="s">
        <v>10</v>
      </c>
      <c r="H1034">
        <v>0</v>
      </c>
    </row>
    <row r="1035" spans="1:8" x14ac:dyDescent="0.35">
      <c r="A1035">
        <v>15545</v>
      </c>
      <c r="B1035" t="s">
        <v>11</v>
      </c>
      <c r="C1035">
        <v>3</v>
      </c>
      <c r="D1035">
        <v>107</v>
      </c>
      <c r="E1035" t="s">
        <v>8</v>
      </c>
      <c r="F1035" t="s">
        <v>13</v>
      </c>
      <c r="G1035" t="s">
        <v>16</v>
      </c>
      <c r="H1035">
        <v>0</v>
      </c>
    </row>
    <row r="1036" spans="1:8" x14ac:dyDescent="0.35">
      <c r="A1036">
        <v>19253</v>
      </c>
      <c r="B1036" t="s">
        <v>7</v>
      </c>
      <c r="C1036">
        <v>13</v>
      </c>
      <c r="D1036">
        <v>368</v>
      </c>
      <c r="E1036" t="s">
        <v>15</v>
      </c>
      <c r="F1036" t="s">
        <v>9</v>
      </c>
      <c r="G1036" t="s">
        <v>16</v>
      </c>
      <c r="H1036">
        <v>1</v>
      </c>
    </row>
    <row r="1037" spans="1:8" x14ac:dyDescent="0.35">
      <c r="A1037">
        <v>19993</v>
      </c>
      <c r="B1037" t="s">
        <v>7</v>
      </c>
      <c r="C1037">
        <v>9</v>
      </c>
      <c r="D1037">
        <v>307</v>
      </c>
      <c r="E1037" t="s">
        <v>8</v>
      </c>
      <c r="F1037" t="s">
        <v>13</v>
      </c>
      <c r="G1037" t="s">
        <v>14</v>
      </c>
      <c r="H1037">
        <v>0</v>
      </c>
    </row>
    <row r="1038" spans="1:8" x14ac:dyDescent="0.35">
      <c r="A1038">
        <v>13668</v>
      </c>
      <c r="B1038" t="s">
        <v>11</v>
      </c>
      <c r="C1038">
        <v>10</v>
      </c>
      <c r="D1038">
        <v>188</v>
      </c>
      <c r="E1038" t="s">
        <v>8</v>
      </c>
      <c r="F1038" t="s">
        <v>13</v>
      </c>
      <c r="G1038" t="s">
        <v>12</v>
      </c>
      <c r="H1038">
        <v>0</v>
      </c>
    </row>
    <row r="1039" spans="1:8" x14ac:dyDescent="0.35">
      <c r="A1039">
        <v>12772</v>
      </c>
      <c r="B1039" t="s">
        <v>11</v>
      </c>
      <c r="C1039">
        <v>10</v>
      </c>
      <c r="D1039">
        <v>202</v>
      </c>
      <c r="E1039" t="s">
        <v>8</v>
      </c>
      <c r="F1039" t="s">
        <v>13</v>
      </c>
      <c r="G1039" t="s">
        <v>12</v>
      </c>
      <c r="H1039">
        <v>0</v>
      </c>
    </row>
    <row r="1040" spans="1:8" x14ac:dyDescent="0.35">
      <c r="A1040">
        <v>15430</v>
      </c>
      <c r="B1040" t="s">
        <v>7</v>
      </c>
      <c r="C1040">
        <v>8</v>
      </c>
      <c r="D1040">
        <v>424</v>
      </c>
      <c r="E1040" t="s">
        <v>8</v>
      </c>
      <c r="F1040" t="s">
        <v>13</v>
      </c>
      <c r="G1040" t="s">
        <v>14</v>
      </c>
      <c r="H1040">
        <v>0</v>
      </c>
    </row>
    <row r="1041" spans="1:8" x14ac:dyDescent="0.35">
      <c r="A1041">
        <v>11167</v>
      </c>
      <c r="B1041" t="s">
        <v>7</v>
      </c>
      <c r="C1041">
        <v>5</v>
      </c>
      <c r="D1041">
        <v>212</v>
      </c>
      <c r="E1041" t="s">
        <v>8</v>
      </c>
      <c r="F1041" t="s">
        <v>13</v>
      </c>
      <c r="G1041" t="s">
        <v>14</v>
      </c>
      <c r="H1041">
        <v>0</v>
      </c>
    </row>
    <row r="1042" spans="1:8" x14ac:dyDescent="0.35">
      <c r="A1042">
        <v>16969</v>
      </c>
      <c r="B1042" t="s">
        <v>11</v>
      </c>
      <c r="C1042">
        <v>2</v>
      </c>
      <c r="D1042">
        <v>208</v>
      </c>
      <c r="E1042" t="s">
        <v>8</v>
      </c>
      <c r="F1042" t="s">
        <v>9</v>
      </c>
      <c r="G1042" t="s">
        <v>10</v>
      </c>
      <c r="H1042">
        <v>0</v>
      </c>
    </row>
    <row r="1043" spans="1:8" x14ac:dyDescent="0.35">
      <c r="A1043">
        <v>18831</v>
      </c>
      <c r="B1043" t="s">
        <v>7</v>
      </c>
      <c r="C1043">
        <v>12</v>
      </c>
      <c r="D1043">
        <v>110</v>
      </c>
      <c r="E1043" t="s">
        <v>8</v>
      </c>
      <c r="F1043" t="s">
        <v>9</v>
      </c>
      <c r="G1043" t="s">
        <v>10</v>
      </c>
      <c r="H1043">
        <v>0</v>
      </c>
    </row>
    <row r="1044" spans="1:8" x14ac:dyDescent="0.35">
      <c r="A1044">
        <v>16421</v>
      </c>
      <c r="B1044" t="s">
        <v>7</v>
      </c>
      <c r="C1044">
        <v>9</v>
      </c>
      <c r="D1044">
        <v>261</v>
      </c>
      <c r="E1044" t="s">
        <v>15</v>
      </c>
      <c r="F1044" t="s">
        <v>9</v>
      </c>
      <c r="G1044" t="s">
        <v>16</v>
      </c>
      <c r="H1044">
        <v>1</v>
      </c>
    </row>
    <row r="1045" spans="1:8" x14ac:dyDescent="0.35">
      <c r="A1045">
        <v>14172</v>
      </c>
      <c r="B1045" t="s">
        <v>7</v>
      </c>
      <c r="C1045">
        <v>7</v>
      </c>
      <c r="D1045">
        <v>49</v>
      </c>
      <c r="E1045" t="s">
        <v>8</v>
      </c>
      <c r="F1045" t="s">
        <v>9</v>
      </c>
      <c r="G1045" t="s">
        <v>14</v>
      </c>
      <c r="H1045">
        <v>0</v>
      </c>
    </row>
    <row r="1046" spans="1:8" x14ac:dyDescent="0.35">
      <c r="A1046">
        <v>18412</v>
      </c>
      <c r="B1046" t="s">
        <v>7</v>
      </c>
      <c r="C1046">
        <v>14</v>
      </c>
      <c r="D1046">
        <v>158</v>
      </c>
      <c r="E1046" t="s">
        <v>15</v>
      </c>
      <c r="F1046" t="s">
        <v>9</v>
      </c>
      <c r="G1046" t="s">
        <v>14</v>
      </c>
      <c r="H1046">
        <v>1</v>
      </c>
    </row>
    <row r="1047" spans="1:8" x14ac:dyDescent="0.35">
      <c r="A1047">
        <v>13022</v>
      </c>
      <c r="B1047" t="s">
        <v>7</v>
      </c>
      <c r="C1047">
        <v>1</v>
      </c>
      <c r="D1047">
        <v>76</v>
      </c>
      <c r="E1047" t="s">
        <v>8</v>
      </c>
      <c r="F1047" t="s">
        <v>9</v>
      </c>
      <c r="G1047" t="s">
        <v>12</v>
      </c>
      <c r="H1047">
        <v>0</v>
      </c>
    </row>
    <row r="1048" spans="1:8" x14ac:dyDescent="0.35">
      <c r="A1048">
        <v>19605</v>
      </c>
      <c r="B1048" t="s">
        <v>7</v>
      </c>
      <c r="C1048">
        <v>8</v>
      </c>
      <c r="D1048">
        <v>103</v>
      </c>
      <c r="E1048" t="s">
        <v>8</v>
      </c>
      <c r="F1048" t="s">
        <v>13</v>
      </c>
      <c r="G1048" t="s">
        <v>16</v>
      </c>
      <c r="H1048">
        <v>0</v>
      </c>
    </row>
    <row r="1049" spans="1:8" x14ac:dyDescent="0.35">
      <c r="A1049">
        <v>16161</v>
      </c>
      <c r="B1049" t="s">
        <v>7</v>
      </c>
      <c r="C1049">
        <v>4</v>
      </c>
      <c r="D1049">
        <v>127</v>
      </c>
      <c r="E1049" t="s">
        <v>8</v>
      </c>
      <c r="F1049" t="s">
        <v>13</v>
      </c>
      <c r="G1049" t="s">
        <v>10</v>
      </c>
      <c r="H1049">
        <v>0</v>
      </c>
    </row>
    <row r="1050" spans="1:8" x14ac:dyDescent="0.35">
      <c r="A1050">
        <v>12954</v>
      </c>
      <c r="B1050" t="s">
        <v>7</v>
      </c>
      <c r="C1050">
        <v>4</v>
      </c>
      <c r="D1050">
        <v>124</v>
      </c>
      <c r="E1050" t="s">
        <v>8</v>
      </c>
      <c r="F1050" t="s">
        <v>13</v>
      </c>
      <c r="G1050" t="s">
        <v>10</v>
      </c>
      <c r="H1050">
        <v>0</v>
      </c>
    </row>
    <row r="1051" spans="1:8" x14ac:dyDescent="0.35">
      <c r="A1051">
        <v>19086</v>
      </c>
      <c r="B1051" t="s">
        <v>11</v>
      </c>
      <c r="C1051">
        <v>10</v>
      </c>
      <c r="D1051">
        <v>123</v>
      </c>
      <c r="E1051" t="s">
        <v>8</v>
      </c>
      <c r="F1051" t="s">
        <v>9</v>
      </c>
      <c r="G1051" t="s">
        <v>10</v>
      </c>
      <c r="H1051">
        <v>0</v>
      </c>
    </row>
    <row r="1052" spans="1:8" x14ac:dyDescent="0.35">
      <c r="A1052">
        <v>16466</v>
      </c>
      <c r="B1052" t="s">
        <v>7</v>
      </c>
      <c r="C1052">
        <v>13</v>
      </c>
      <c r="D1052">
        <v>51</v>
      </c>
      <c r="E1052" t="s">
        <v>8</v>
      </c>
      <c r="F1052" t="s">
        <v>9</v>
      </c>
      <c r="G1052" t="s">
        <v>16</v>
      </c>
      <c r="H1052">
        <v>0</v>
      </c>
    </row>
    <row r="1053" spans="1:8" x14ac:dyDescent="0.35">
      <c r="A1053">
        <v>13790</v>
      </c>
      <c r="B1053" t="s">
        <v>11</v>
      </c>
      <c r="C1053">
        <v>7</v>
      </c>
      <c r="D1053">
        <v>53</v>
      </c>
      <c r="E1053" t="s">
        <v>8</v>
      </c>
      <c r="F1053" t="s">
        <v>13</v>
      </c>
      <c r="G1053" t="s">
        <v>14</v>
      </c>
      <c r="H1053">
        <v>0</v>
      </c>
    </row>
    <row r="1054" spans="1:8" x14ac:dyDescent="0.35">
      <c r="A1054">
        <v>16901</v>
      </c>
      <c r="B1054" t="s">
        <v>11</v>
      </c>
      <c r="C1054">
        <v>11</v>
      </c>
      <c r="D1054">
        <v>91</v>
      </c>
      <c r="E1054" t="s">
        <v>8</v>
      </c>
      <c r="F1054" t="s">
        <v>9</v>
      </c>
      <c r="G1054" t="s">
        <v>16</v>
      </c>
      <c r="H1054">
        <v>0</v>
      </c>
    </row>
    <row r="1055" spans="1:8" x14ac:dyDescent="0.35">
      <c r="A1055">
        <v>16709</v>
      </c>
      <c r="B1055" t="s">
        <v>7</v>
      </c>
      <c r="C1055">
        <v>1</v>
      </c>
      <c r="D1055">
        <v>209</v>
      </c>
      <c r="E1055" t="s">
        <v>8</v>
      </c>
      <c r="F1055" t="s">
        <v>9</v>
      </c>
      <c r="G1055" t="s">
        <v>10</v>
      </c>
      <c r="H1055">
        <v>0</v>
      </c>
    </row>
    <row r="1056" spans="1:8" x14ac:dyDescent="0.35">
      <c r="A1056">
        <v>16954</v>
      </c>
      <c r="B1056" t="s">
        <v>11</v>
      </c>
      <c r="C1056">
        <v>14</v>
      </c>
      <c r="D1056">
        <v>157</v>
      </c>
      <c r="E1056" t="s">
        <v>8</v>
      </c>
      <c r="F1056" t="s">
        <v>13</v>
      </c>
      <c r="G1056" t="s">
        <v>10</v>
      </c>
      <c r="H1056">
        <v>0</v>
      </c>
    </row>
    <row r="1057" spans="1:8" x14ac:dyDescent="0.35">
      <c r="A1057">
        <v>18605</v>
      </c>
      <c r="B1057" t="s">
        <v>11</v>
      </c>
      <c r="C1057">
        <v>5</v>
      </c>
      <c r="D1057">
        <v>160</v>
      </c>
      <c r="E1057" t="s">
        <v>8</v>
      </c>
      <c r="F1057" t="s">
        <v>9</v>
      </c>
      <c r="G1057" t="s">
        <v>14</v>
      </c>
      <c r="H1057">
        <v>0</v>
      </c>
    </row>
    <row r="1058" spans="1:8" x14ac:dyDescent="0.35">
      <c r="A1058">
        <v>13845</v>
      </c>
      <c r="B1058" t="s">
        <v>7</v>
      </c>
      <c r="C1058">
        <v>4</v>
      </c>
      <c r="D1058">
        <v>135</v>
      </c>
      <c r="E1058" t="s">
        <v>8</v>
      </c>
      <c r="F1058" t="s">
        <v>9</v>
      </c>
      <c r="G1058" t="s">
        <v>16</v>
      </c>
      <c r="H1058">
        <v>0</v>
      </c>
    </row>
    <row r="1059" spans="1:8" x14ac:dyDescent="0.35">
      <c r="A1059">
        <v>18082</v>
      </c>
      <c r="B1059" t="s">
        <v>11</v>
      </c>
      <c r="C1059">
        <v>3</v>
      </c>
      <c r="D1059">
        <v>318</v>
      </c>
      <c r="E1059" t="s">
        <v>8</v>
      </c>
      <c r="F1059" t="s">
        <v>9</v>
      </c>
      <c r="G1059" t="s">
        <v>12</v>
      </c>
      <c r="H1059">
        <v>0</v>
      </c>
    </row>
    <row r="1060" spans="1:8" x14ac:dyDescent="0.35">
      <c r="A1060">
        <v>15656</v>
      </c>
      <c r="B1060" t="s">
        <v>7</v>
      </c>
      <c r="C1060">
        <v>4</v>
      </c>
      <c r="D1060">
        <v>102</v>
      </c>
      <c r="E1060" t="s">
        <v>15</v>
      </c>
      <c r="F1060" t="s">
        <v>9</v>
      </c>
      <c r="G1060" t="s">
        <v>12</v>
      </c>
      <c r="H1060">
        <v>1</v>
      </c>
    </row>
    <row r="1061" spans="1:8" x14ac:dyDescent="0.35">
      <c r="A1061">
        <v>13702</v>
      </c>
      <c r="B1061" t="s">
        <v>11</v>
      </c>
      <c r="C1061">
        <v>7</v>
      </c>
      <c r="D1061">
        <v>106</v>
      </c>
      <c r="E1061" t="s">
        <v>8</v>
      </c>
      <c r="F1061" t="s">
        <v>13</v>
      </c>
      <c r="G1061" t="s">
        <v>12</v>
      </c>
      <c r="H1061">
        <v>0</v>
      </c>
    </row>
    <row r="1062" spans="1:8" x14ac:dyDescent="0.35">
      <c r="A1062">
        <v>17441</v>
      </c>
      <c r="B1062" t="s">
        <v>11</v>
      </c>
      <c r="C1062">
        <v>8</v>
      </c>
      <c r="D1062">
        <v>97</v>
      </c>
      <c r="E1062" t="s">
        <v>8</v>
      </c>
      <c r="F1062" t="s">
        <v>9</v>
      </c>
      <c r="G1062" t="s">
        <v>12</v>
      </c>
      <c r="H1062">
        <v>0</v>
      </c>
    </row>
    <row r="1063" spans="1:8" x14ac:dyDescent="0.35">
      <c r="A1063">
        <v>11238</v>
      </c>
      <c r="B1063" t="s">
        <v>7</v>
      </c>
      <c r="C1063">
        <v>5</v>
      </c>
      <c r="D1063">
        <v>265</v>
      </c>
      <c r="E1063" t="s">
        <v>8</v>
      </c>
      <c r="F1063" t="s">
        <v>9</v>
      </c>
      <c r="G1063" t="s">
        <v>16</v>
      </c>
      <c r="H1063">
        <v>0</v>
      </c>
    </row>
    <row r="1064" spans="1:8" x14ac:dyDescent="0.35">
      <c r="A1064">
        <v>14374</v>
      </c>
      <c r="B1064" t="s">
        <v>7</v>
      </c>
      <c r="C1064">
        <v>12</v>
      </c>
      <c r="D1064">
        <v>200</v>
      </c>
      <c r="E1064" t="s">
        <v>8</v>
      </c>
      <c r="F1064" t="s">
        <v>13</v>
      </c>
      <c r="G1064" t="s">
        <v>14</v>
      </c>
      <c r="H1064">
        <v>0</v>
      </c>
    </row>
    <row r="1065" spans="1:8" x14ac:dyDescent="0.35">
      <c r="A1065">
        <v>12196</v>
      </c>
      <c r="B1065" t="s">
        <v>11</v>
      </c>
      <c r="C1065">
        <v>14</v>
      </c>
      <c r="D1065">
        <v>411</v>
      </c>
      <c r="E1065" t="s">
        <v>8</v>
      </c>
      <c r="F1065" t="s">
        <v>9</v>
      </c>
      <c r="G1065" t="s">
        <v>14</v>
      </c>
      <c r="H1065">
        <v>0</v>
      </c>
    </row>
    <row r="1066" spans="1:8" x14ac:dyDescent="0.35">
      <c r="A1066">
        <v>13211</v>
      </c>
      <c r="B1066" t="s">
        <v>11</v>
      </c>
      <c r="C1066">
        <v>3</v>
      </c>
      <c r="D1066">
        <v>141</v>
      </c>
      <c r="E1066" t="s">
        <v>8</v>
      </c>
      <c r="F1066" t="s">
        <v>13</v>
      </c>
      <c r="G1066" t="s">
        <v>12</v>
      </c>
      <c r="H1066">
        <v>0</v>
      </c>
    </row>
    <row r="1067" spans="1:8" x14ac:dyDescent="0.35">
      <c r="A1067">
        <v>19754</v>
      </c>
      <c r="B1067" t="s">
        <v>11</v>
      </c>
      <c r="C1067">
        <v>5</v>
      </c>
      <c r="D1067">
        <v>122</v>
      </c>
      <c r="E1067" t="s">
        <v>8</v>
      </c>
      <c r="F1067" t="s">
        <v>9</v>
      </c>
      <c r="G1067" t="s">
        <v>14</v>
      </c>
      <c r="H1067">
        <v>0</v>
      </c>
    </row>
    <row r="1068" spans="1:8" x14ac:dyDescent="0.35">
      <c r="A1068">
        <v>11675</v>
      </c>
      <c r="B1068" t="s">
        <v>11</v>
      </c>
      <c r="C1068">
        <v>13</v>
      </c>
      <c r="D1068">
        <v>315</v>
      </c>
      <c r="E1068" t="s">
        <v>8</v>
      </c>
      <c r="F1068" t="s">
        <v>9</v>
      </c>
      <c r="G1068" t="s">
        <v>16</v>
      </c>
      <c r="H1068">
        <v>0</v>
      </c>
    </row>
    <row r="1069" spans="1:8" x14ac:dyDescent="0.35">
      <c r="A1069">
        <v>13982</v>
      </c>
      <c r="B1069" t="s">
        <v>11</v>
      </c>
      <c r="C1069">
        <v>14</v>
      </c>
      <c r="D1069">
        <v>133</v>
      </c>
      <c r="E1069" t="s">
        <v>8</v>
      </c>
      <c r="F1069" t="s">
        <v>9</v>
      </c>
      <c r="G1069" t="s">
        <v>10</v>
      </c>
      <c r="H1069">
        <v>0</v>
      </c>
    </row>
    <row r="1070" spans="1:8" x14ac:dyDescent="0.35">
      <c r="A1070">
        <v>13650</v>
      </c>
      <c r="B1070" t="s">
        <v>7</v>
      </c>
      <c r="C1070">
        <v>13</v>
      </c>
      <c r="D1070">
        <v>314</v>
      </c>
      <c r="E1070" t="s">
        <v>8</v>
      </c>
      <c r="F1070" t="s">
        <v>13</v>
      </c>
      <c r="G1070" t="s">
        <v>10</v>
      </c>
      <c r="H1070">
        <v>0</v>
      </c>
    </row>
    <row r="1071" spans="1:8" x14ac:dyDescent="0.35">
      <c r="A1071">
        <v>13326</v>
      </c>
      <c r="B1071" t="s">
        <v>7</v>
      </c>
      <c r="C1071">
        <v>12</v>
      </c>
      <c r="D1071">
        <v>135</v>
      </c>
      <c r="E1071" t="s">
        <v>8</v>
      </c>
      <c r="F1071" t="s">
        <v>9</v>
      </c>
      <c r="G1071" t="s">
        <v>14</v>
      </c>
      <c r="H1071">
        <v>0</v>
      </c>
    </row>
    <row r="1072" spans="1:8" x14ac:dyDescent="0.35">
      <c r="A1072">
        <v>16111</v>
      </c>
      <c r="B1072" t="s">
        <v>11</v>
      </c>
      <c r="C1072">
        <v>14</v>
      </c>
      <c r="D1072">
        <v>333</v>
      </c>
      <c r="E1072" t="s">
        <v>8</v>
      </c>
      <c r="F1072" t="s">
        <v>9</v>
      </c>
      <c r="G1072" t="s">
        <v>12</v>
      </c>
      <c r="H1072">
        <v>0</v>
      </c>
    </row>
    <row r="1073" spans="1:8" x14ac:dyDescent="0.35">
      <c r="A1073">
        <v>18863</v>
      </c>
      <c r="B1073" t="s">
        <v>11</v>
      </c>
      <c r="C1073">
        <v>8</v>
      </c>
      <c r="D1073">
        <v>119</v>
      </c>
      <c r="E1073" t="s">
        <v>8</v>
      </c>
      <c r="F1073" t="s">
        <v>13</v>
      </c>
      <c r="G1073" t="s">
        <v>10</v>
      </c>
      <c r="H1073">
        <v>0</v>
      </c>
    </row>
    <row r="1074" spans="1:8" x14ac:dyDescent="0.35">
      <c r="A1074">
        <v>15045</v>
      </c>
      <c r="B1074" t="s">
        <v>11</v>
      </c>
      <c r="C1074">
        <v>10</v>
      </c>
      <c r="D1074">
        <v>363</v>
      </c>
      <c r="E1074" t="s">
        <v>8</v>
      </c>
      <c r="F1074" t="s">
        <v>9</v>
      </c>
      <c r="G1074" t="s">
        <v>10</v>
      </c>
      <c r="H1074">
        <v>0</v>
      </c>
    </row>
    <row r="1075" spans="1:8" x14ac:dyDescent="0.35">
      <c r="A1075">
        <v>14274</v>
      </c>
      <c r="B1075" t="s">
        <v>11</v>
      </c>
      <c r="C1075">
        <v>8</v>
      </c>
      <c r="D1075">
        <v>92</v>
      </c>
      <c r="E1075" t="s">
        <v>8</v>
      </c>
      <c r="F1075" t="s">
        <v>13</v>
      </c>
      <c r="G1075" t="s">
        <v>10</v>
      </c>
      <c r="H1075">
        <v>0</v>
      </c>
    </row>
    <row r="1076" spans="1:8" x14ac:dyDescent="0.35">
      <c r="A1076">
        <v>19417</v>
      </c>
      <c r="B1076" t="s">
        <v>7</v>
      </c>
      <c r="C1076">
        <v>7</v>
      </c>
      <c r="D1076">
        <v>235</v>
      </c>
      <c r="E1076" t="s">
        <v>15</v>
      </c>
      <c r="F1076" t="s">
        <v>13</v>
      </c>
      <c r="G1076" t="s">
        <v>14</v>
      </c>
      <c r="H1076">
        <v>1</v>
      </c>
    </row>
    <row r="1077" spans="1:8" x14ac:dyDescent="0.35">
      <c r="A1077">
        <v>14485</v>
      </c>
      <c r="B1077" t="s">
        <v>11</v>
      </c>
      <c r="C1077">
        <v>2</v>
      </c>
      <c r="D1077">
        <v>425</v>
      </c>
      <c r="E1077" t="s">
        <v>8</v>
      </c>
      <c r="F1077" t="s">
        <v>13</v>
      </c>
      <c r="G1077" t="s">
        <v>14</v>
      </c>
      <c r="H1077">
        <v>0</v>
      </c>
    </row>
    <row r="1078" spans="1:8" x14ac:dyDescent="0.35">
      <c r="A1078">
        <v>14709</v>
      </c>
      <c r="B1078" t="s">
        <v>11</v>
      </c>
      <c r="C1078">
        <v>3</v>
      </c>
      <c r="D1078">
        <v>322</v>
      </c>
      <c r="E1078" t="s">
        <v>8</v>
      </c>
      <c r="F1078" t="s">
        <v>9</v>
      </c>
      <c r="G1078" t="s">
        <v>14</v>
      </c>
      <c r="H1078">
        <v>0</v>
      </c>
    </row>
    <row r="1079" spans="1:8" x14ac:dyDescent="0.35">
      <c r="A1079">
        <v>15298</v>
      </c>
      <c r="B1079" t="s">
        <v>7</v>
      </c>
      <c r="C1079">
        <v>7</v>
      </c>
      <c r="D1079">
        <v>284</v>
      </c>
      <c r="E1079" t="s">
        <v>8</v>
      </c>
      <c r="F1079" t="s">
        <v>13</v>
      </c>
      <c r="G1079" t="s">
        <v>14</v>
      </c>
      <c r="H1079">
        <v>0</v>
      </c>
    </row>
    <row r="1080" spans="1:8" x14ac:dyDescent="0.35">
      <c r="A1080">
        <v>16795</v>
      </c>
      <c r="B1080" t="s">
        <v>11</v>
      </c>
      <c r="C1080">
        <v>7</v>
      </c>
      <c r="D1080">
        <v>177</v>
      </c>
      <c r="E1080" t="s">
        <v>8</v>
      </c>
      <c r="F1080" t="s">
        <v>13</v>
      </c>
      <c r="G1080" t="s">
        <v>14</v>
      </c>
      <c r="H1080">
        <v>0</v>
      </c>
    </row>
    <row r="1081" spans="1:8" x14ac:dyDescent="0.35">
      <c r="A1081">
        <v>17355</v>
      </c>
      <c r="B1081" t="s">
        <v>7</v>
      </c>
      <c r="C1081">
        <v>10</v>
      </c>
      <c r="D1081">
        <v>113</v>
      </c>
      <c r="E1081" t="s">
        <v>8</v>
      </c>
      <c r="F1081" t="s">
        <v>9</v>
      </c>
      <c r="G1081" t="s">
        <v>12</v>
      </c>
      <c r="H1081">
        <v>0</v>
      </c>
    </row>
    <row r="1082" spans="1:8" x14ac:dyDescent="0.35">
      <c r="A1082">
        <v>11275</v>
      </c>
      <c r="B1082" t="s">
        <v>7</v>
      </c>
      <c r="C1082">
        <v>8</v>
      </c>
      <c r="D1082">
        <v>292</v>
      </c>
      <c r="E1082" t="s">
        <v>8</v>
      </c>
      <c r="F1082" t="s">
        <v>13</v>
      </c>
      <c r="G1082" t="s">
        <v>10</v>
      </c>
      <c r="H1082">
        <v>0</v>
      </c>
    </row>
    <row r="1083" spans="1:8" x14ac:dyDescent="0.35">
      <c r="A1083">
        <v>19152</v>
      </c>
      <c r="B1083" t="s">
        <v>11</v>
      </c>
      <c r="C1083">
        <v>13</v>
      </c>
      <c r="D1083">
        <v>115</v>
      </c>
      <c r="E1083" t="s">
        <v>8</v>
      </c>
      <c r="F1083" t="s">
        <v>9</v>
      </c>
      <c r="G1083" t="s">
        <v>14</v>
      </c>
      <c r="H1083">
        <v>0</v>
      </c>
    </row>
    <row r="1084" spans="1:8" x14ac:dyDescent="0.35">
      <c r="A1084">
        <v>10602</v>
      </c>
      <c r="B1084" t="s">
        <v>7</v>
      </c>
      <c r="C1084">
        <v>13</v>
      </c>
      <c r="D1084">
        <v>353</v>
      </c>
      <c r="E1084" t="s">
        <v>8</v>
      </c>
      <c r="F1084" t="s">
        <v>9</v>
      </c>
      <c r="G1084" t="s">
        <v>12</v>
      </c>
      <c r="H1084">
        <v>0</v>
      </c>
    </row>
    <row r="1085" spans="1:8" x14ac:dyDescent="0.35">
      <c r="A1085">
        <v>16462</v>
      </c>
      <c r="B1085" t="s">
        <v>7</v>
      </c>
      <c r="C1085">
        <v>12</v>
      </c>
      <c r="D1085">
        <v>303</v>
      </c>
      <c r="E1085" t="s">
        <v>8</v>
      </c>
      <c r="F1085" t="s">
        <v>9</v>
      </c>
      <c r="G1085" t="s">
        <v>14</v>
      </c>
      <c r="H1085">
        <v>0</v>
      </c>
    </row>
    <row r="1086" spans="1:8" x14ac:dyDescent="0.35">
      <c r="A1086">
        <v>13663</v>
      </c>
      <c r="B1086" t="s">
        <v>7</v>
      </c>
      <c r="C1086">
        <v>14</v>
      </c>
      <c r="D1086">
        <v>201</v>
      </c>
      <c r="E1086" t="s">
        <v>8</v>
      </c>
      <c r="F1086" t="s">
        <v>13</v>
      </c>
      <c r="G1086" t="s">
        <v>10</v>
      </c>
      <c r="H1086">
        <v>0</v>
      </c>
    </row>
    <row r="1087" spans="1:8" x14ac:dyDescent="0.35">
      <c r="A1087">
        <v>19329</v>
      </c>
      <c r="B1087" t="s">
        <v>11</v>
      </c>
      <c r="C1087">
        <v>10</v>
      </c>
      <c r="D1087">
        <v>179</v>
      </c>
      <c r="E1087" t="s">
        <v>8</v>
      </c>
      <c r="F1087" t="s">
        <v>13</v>
      </c>
      <c r="G1087" t="s">
        <v>14</v>
      </c>
      <c r="H1087">
        <v>0</v>
      </c>
    </row>
    <row r="1088" spans="1:8" x14ac:dyDescent="0.35">
      <c r="A1088">
        <v>11603</v>
      </c>
      <c r="B1088" t="s">
        <v>11</v>
      </c>
      <c r="C1088">
        <v>10</v>
      </c>
      <c r="D1088">
        <v>53</v>
      </c>
      <c r="E1088" t="s">
        <v>15</v>
      </c>
      <c r="F1088" t="s">
        <v>9</v>
      </c>
      <c r="G1088" t="s">
        <v>16</v>
      </c>
      <c r="H1088">
        <v>1</v>
      </c>
    </row>
    <row r="1089" spans="1:8" x14ac:dyDescent="0.35">
      <c r="A1089">
        <v>18454</v>
      </c>
      <c r="B1089" t="s">
        <v>7</v>
      </c>
      <c r="C1089">
        <v>4</v>
      </c>
      <c r="D1089">
        <v>368</v>
      </c>
      <c r="E1089" t="s">
        <v>15</v>
      </c>
      <c r="F1089" t="s">
        <v>9</v>
      </c>
      <c r="G1089" t="s">
        <v>16</v>
      </c>
      <c r="H1089">
        <v>1</v>
      </c>
    </row>
    <row r="1090" spans="1:8" x14ac:dyDescent="0.35">
      <c r="A1090">
        <v>16972</v>
      </c>
      <c r="B1090" t="s">
        <v>7</v>
      </c>
      <c r="C1090">
        <v>3</v>
      </c>
      <c r="D1090">
        <v>295</v>
      </c>
      <c r="E1090" t="s">
        <v>8</v>
      </c>
      <c r="F1090" t="s">
        <v>13</v>
      </c>
      <c r="G1090" t="s">
        <v>16</v>
      </c>
      <c r="H1090">
        <v>0</v>
      </c>
    </row>
    <row r="1091" spans="1:8" x14ac:dyDescent="0.35">
      <c r="A1091">
        <v>14719</v>
      </c>
      <c r="B1091" t="s">
        <v>11</v>
      </c>
      <c r="C1091">
        <v>9</v>
      </c>
      <c r="D1091">
        <v>233</v>
      </c>
      <c r="E1091" t="s">
        <v>8</v>
      </c>
      <c r="F1091" t="s">
        <v>9</v>
      </c>
      <c r="G1091" t="s">
        <v>10</v>
      </c>
      <c r="H1091">
        <v>0</v>
      </c>
    </row>
    <row r="1092" spans="1:8" x14ac:dyDescent="0.35">
      <c r="A1092">
        <v>18762</v>
      </c>
      <c r="B1092" t="s">
        <v>7</v>
      </c>
      <c r="C1092">
        <v>1</v>
      </c>
      <c r="D1092">
        <v>212</v>
      </c>
      <c r="E1092" t="s">
        <v>8</v>
      </c>
      <c r="F1092" t="s">
        <v>13</v>
      </c>
      <c r="G1092" t="s">
        <v>16</v>
      </c>
      <c r="H1092">
        <v>0</v>
      </c>
    </row>
    <row r="1093" spans="1:8" x14ac:dyDescent="0.35">
      <c r="A1093">
        <v>14224</v>
      </c>
      <c r="B1093" t="s">
        <v>11</v>
      </c>
      <c r="C1093">
        <v>8</v>
      </c>
      <c r="D1093">
        <v>154</v>
      </c>
      <c r="E1093" t="s">
        <v>8</v>
      </c>
      <c r="F1093" t="s">
        <v>9</v>
      </c>
      <c r="G1093" t="s">
        <v>14</v>
      </c>
      <c r="H1093">
        <v>0</v>
      </c>
    </row>
    <row r="1094" spans="1:8" x14ac:dyDescent="0.35">
      <c r="A1094">
        <v>18012</v>
      </c>
      <c r="B1094" t="s">
        <v>11</v>
      </c>
      <c r="C1094">
        <v>5</v>
      </c>
      <c r="D1094">
        <v>373</v>
      </c>
      <c r="E1094" t="s">
        <v>15</v>
      </c>
      <c r="F1094" t="s">
        <v>9</v>
      </c>
      <c r="G1094" t="s">
        <v>12</v>
      </c>
      <c r="H1094">
        <v>1</v>
      </c>
    </row>
    <row r="1095" spans="1:8" x14ac:dyDescent="0.35">
      <c r="A1095">
        <v>11260</v>
      </c>
      <c r="B1095" t="s">
        <v>11</v>
      </c>
      <c r="C1095">
        <v>7</v>
      </c>
      <c r="D1095">
        <v>222</v>
      </c>
      <c r="E1095" t="s">
        <v>8</v>
      </c>
      <c r="F1095" t="s">
        <v>9</v>
      </c>
      <c r="G1095" t="s">
        <v>12</v>
      </c>
      <c r="H1095">
        <v>0</v>
      </c>
    </row>
    <row r="1096" spans="1:8" x14ac:dyDescent="0.35">
      <c r="A1096">
        <v>11887</v>
      </c>
      <c r="B1096" t="s">
        <v>7</v>
      </c>
      <c r="C1096">
        <v>5</v>
      </c>
      <c r="D1096">
        <v>319</v>
      </c>
      <c r="E1096" t="s">
        <v>8</v>
      </c>
      <c r="F1096" t="s">
        <v>9</v>
      </c>
      <c r="G1096" t="s">
        <v>16</v>
      </c>
      <c r="H1096">
        <v>0</v>
      </c>
    </row>
    <row r="1097" spans="1:8" x14ac:dyDescent="0.35">
      <c r="A1097">
        <v>12689</v>
      </c>
      <c r="B1097" t="s">
        <v>11</v>
      </c>
      <c r="C1097">
        <v>12</v>
      </c>
      <c r="D1097">
        <v>145</v>
      </c>
      <c r="E1097" t="s">
        <v>8</v>
      </c>
      <c r="F1097" t="s">
        <v>13</v>
      </c>
      <c r="G1097" t="s">
        <v>10</v>
      </c>
      <c r="H1097">
        <v>0</v>
      </c>
    </row>
    <row r="1098" spans="1:8" x14ac:dyDescent="0.35">
      <c r="A1098">
        <v>14247</v>
      </c>
      <c r="B1098" t="s">
        <v>7</v>
      </c>
      <c r="C1098">
        <v>4</v>
      </c>
      <c r="D1098">
        <v>400</v>
      </c>
      <c r="E1098" t="s">
        <v>15</v>
      </c>
      <c r="F1098" t="s">
        <v>13</v>
      </c>
      <c r="G1098" t="s">
        <v>16</v>
      </c>
      <c r="H1098">
        <v>1</v>
      </c>
    </row>
    <row r="1099" spans="1:8" x14ac:dyDescent="0.35">
      <c r="A1099">
        <v>12905</v>
      </c>
      <c r="B1099" t="s">
        <v>11</v>
      </c>
      <c r="C1099">
        <v>12</v>
      </c>
      <c r="D1099">
        <v>215</v>
      </c>
      <c r="E1099" t="s">
        <v>8</v>
      </c>
      <c r="F1099" t="s">
        <v>9</v>
      </c>
      <c r="G1099" t="s">
        <v>16</v>
      </c>
      <c r="H1099">
        <v>0</v>
      </c>
    </row>
    <row r="1100" spans="1:8" x14ac:dyDescent="0.35">
      <c r="A1100">
        <v>11556</v>
      </c>
      <c r="B1100" t="s">
        <v>11</v>
      </c>
      <c r="C1100">
        <v>12</v>
      </c>
      <c r="D1100">
        <v>110</v>
      </c>
      <c r="E1100" t="s">
        <v>8</v>
      </c>
      <c r="F1100" t="s">
        <v>9</v>
      </c>
      <c r="G1100" t="s">
        <v>14</v>
      </c>
      <c r="H1100">
        <v>0</v>
      </c>
    </row>
    <row r="1101" spans="1:8" x14ac:dyDescent="0.35">
      <c r="A1101">
        <v>11136</v>
      </c>
      <c r="B1101" t="s">
        <v>7</v>
      </c>
      <c r="C1101">
        <v>9</v>
      </c>
      <c r="D1101">
        <v>230</v>
      </c>
      <c r="E1101" t="s">
        <v>8</v>
      </c>
      <c r="F1101" t="s">
        <v>9</v>
      </c>
      <c r="G1101" t="s">
        <v>16</v>
      </c>
      <c r="H1101">
        <v>0</v>
      </c>
    </row>
    <row r="1102" spans="1:8" x14ac:dyDescent="0.35">
      <c r="A1102">
        <v>11328</v>
      </c>
      <c r="B1102" t="s">
        <v>11</v>
      </c>
      <c r="C1102">
        <v>8</v>
      </c>
      <c r="D1102">
        <v>96</v>
      </c>
      <c r="E1102" t="s">
        <v>8</v>
      </c>
      <c r="F1102" t="s">
        <v>13</v>
      </c>
      <c r="G1102" t="s">
        <v>10</v>
      </c>
      <c r="H1102">
        <v>0</v>
      </c>
    </row>
    <row r="1103" spans="1:8" x14ac:dyDescent="0.35">
      <c r="A1103">
        <v>10416</v>
      </c>
      <c r="B1103" t="s">
        <v>7</v>
      </c>
      <c r="C1103">
        <v>6</v>
      </c>
      <c r="D1103">
        <v>416</v>
      </c>
      <c r="E1103" t="s">
        <v>8</v>
      </c>
      <c r="F1103" t="s">
        <v>9</v>
      </c>
      <c r="G1103" t="s">
        <v>16</v>
      </c>
      <c r="H1103">
        <v>0</v>
      </c>
    </row>
    <row r="1104" spans="1:8" x14ac:dyDescent="0.35">
      <c r="A1104">
        <v>17132</v>
      </c>
      <c r="B1104" t="s">
        <v>7</v>
      </c>
      <c r="C1104">
        <v>3</v>
      </c>
      <c r="D1104">
        <v>200</v>
      </c>
      <c r="E1104" t="s">
        <v>8</v>
      </c>
      <c r="F1104" t="s">
        <v>13</v>
      </c>
      <c r="G1104" t="s">
        <v>10</v>
      </c>
      <c r="H1104">
        <v>0</v>
      </c>
    </row>
    <row r="1105" spans="1:8" x14ac:dyDescent="0.35">
      <c r="A1105">
        <v>13706</v>
      </c>
      <c r="B1105" t="s">
        <v>11</v>
      </c>
      <c r="C1105">
        <v>1</v>
      </c>
      <c r="D1105">
        <v>323</v>
      </c>
      <c r="E1105" t="s">
        <v>8</v>
      </c>
      <c r="F1105" t="s">
        <v>13</v>
      </c>
      <c r="G1105" t="s">
        <v>12</v>
      </c>
      <c r="H1105">
        <v>0</v>
      </c>
    </row>
    <row r="1106" spans="1:8" x14ac:dyDescent="0.35">
      <c r="A1106">
        <v>12672</v>
      </c>
      <c r="B1106" t="s">
        <v>11</v>
      </c>
      <c r="C1106">
        <v>1</v>
      </c>
      <c r="D1106">
        <v>383</v>
      </c>
      <c r="E1106" t="s">
        <v>8</v>
      </c>
      <c r="F1106" t="s">
        <v>13</v>
      </c>
      <c r="G1106" t="s">
        <v>10</v>
      </c>
      <c r="H1106">
        <v>0</v>
      </c>
    </row>
    <row r="1107" spans="1:8" x14ac:dyDescent="0.35">
      <c r="A1107">
        <v>17604</v>
      </c>
      <c r="B1107" t="s">
        <v>11</v>
      </c>
      <c r="C1107">
        <v>9</v>
      </c>
      <c r="D1107">
        <v>387</v>
      </c>
      <c r="E1107" t="s">
        <v>8</v>
      </c>
      <c r="F1107" t="s">
        <v>13</v>
      </c>
      <c r="G1107" t="s">
        <v>14</v>
      </c>
      <c r="H1107">
        <v>0</v>
      </c>
    </row>
    <row r="1108" spans="1:8" x14ac:dyDescent="0.35">
      <c r="A1108">
        <v>14638</v>
      </c>
      <c r="B1108" t="s">
        <v>7</v>
      </c>
      <c r="C1108">
        <v>2</v>
      </c>
      <c r="D1108">
        <v>337</v>
      </c>
      <c r="E1108" t="s">
        <v>15</v>
      </c>
      <c r="F1108" t="s">
        <v>9</v>
      </c>
      <c r="G1108" t="s">
        <v>10</v>
      </c>
      <c r="H1108">
        <v>1</v>
      </c>
    </row>
    <row r="1109" spans="1:8" x14ac:dyDescent="0.35">
      <c r="A1109">
        <v>12179</v>
      </c>
      <c r="B1109" t="s">
        <v>7</v>
      </c>
      <c r="C1109">
        <v>6</v>
      </c>
      <c r="D1109">
        <v>170</v>
      </c>
      <c r="E1109" t="s">
        <v>8</v>
      </c>
      <c r="F1109" t="s">
        <v>9</v>
      </c>
      <c r="G1109" t="s">
        <v>12</v>
      </c>
      <c r="H1109">
        <v>0</v>
      </c>
    </row>
    <row r="1110" spans="1:8" x14ac:dyDescent="0.35">
      <c r="A1110">
        <v>14850</v>
      </c>
      <c r="B1110" t="s">
        <v>11</v>
      </c>
      <c r="C1110">
        <v>4</v>
      </c>
      <c r="D1110">
        <v>192</v>
      </c>
      <c r="E1110" t="s">
        <v>8</v>
      </c>
      <c r="F1110" t="s">
        <v>9</v>
      </c>
      <c r="G1110" t="s">
        <v>10</v>
      </c>
      <c r="H1110">
        <v>0</v>
      </c>
    </row>
    <row r="1111" spans="1:8" x14ac:dyDescent="0.35">
      <c r="A1111">
        <v>14658</v>
      </c>
      <c r="B1111" t="s">
        <v>11</v>
      </c>
      <c r="C1111">
        <v>14</v>
      </c>
      <c r="D1111">
        <v>55</v>
      </c>
      <c r="E1111" t="s">
        <v>8</v>
      </c>
      <c r="F1111" t="s">
        <v>9</v>
      </c>
      <c r="G1111" t="s">
        <v>10</v>
      </c>
      <c r="H1111">
        <v>0</v>
      </c>
    </row>
    <row r="1112" spans="1:8" x14ac:dyDescent="0.35">
      <c r="A1112">
        <v>11484</v>
      </c>
      <c r="B1112" t="s">
        <v>7</v>
      </c>
      <c r="C1112">
        <v>6</v>
      </c>
      <c r="D1112">
        <v>192</v>
      </c>
      <c r="E1112" t="s">
        <v>8</v>
      </c>
      <c r="F1112" t="s">
        <v>13</v>
      </c>
      <c r="G1112" t="s">
        <v>14</v>
      </c>
      <c r="H1112">
        <v>0</v>
      </c>
    </row>
    <row r="1113" spans="1:8" x14ac:dyDescent="0.35">
      <c r="A1113">
        <v>12396</v>
      </c>
      <c r="B1113" t="s">
        <v>11</v>
      </c>
      <c r="C1113">
        <v>1</v>
      </c>
      <c r="D1113">
        <v>261</v>
      </c>
      <c r="E1113" t="s">
        <v>8</v>
      </c>
      <c r="F1113" t="s">
        <v>9</v>
      </c>
      <c r="G1113" t="s">
        <v>14</v>
      </c>
      <c r="H1113">
        <v>0</v>
      </c>
    </row>
    <row r="1114" spans="1:8" x14ac:dyDescent="0.35">
      <c r="A1114">
        <v>19649</v>
      </c>
      <c r="B1114" t="s">
        <v>7</v>
      </c>
      <c r="C1114">
        <v>9</v>
      </c>
      <c r="D1114">
        <v>204</v>
      </c>
      <c r="E1114" t="s">
        <v>8</v>
      </c>
      <c r="F1114" t="s">
        <v>13</v>
      </c>
      <c r="G1114" t="s">
        <v>10</v>
      </c>
      <c r="H1114">
        <v>0</v>
      </c>
    </row>
    <row r="1115" spans="1:8" x14ac:dyDescent="0.35">
      <c r="A1115">
        <v>18916</v>
      </c>
      <c r="B1115" t="s">
        <v>7</v>
      </c>
      <c r="C1115">
        <v>2</v>
      </c>
      <c r="D1115">
        <v>52</v>
      </c>
      <c r="E1115" t="s">
        <v>8</v>
      </c>
      <c r="F1115" t="s">
        <v>9</v>
      </c>
      <c r="G1115" t="s">
        <v>16</v>
      </c>
      <c r="H1115">
        <v>0</v>
      </c>
    </row>
    <row r="1116" spans="1:8" x14ac:dyDescent="0.35">
      <c r="A1116">
        <v>14731</v>
      </c>
      <c r="B1116" t="s">
        <v>7</v>
      </c>
      <c r="C1116">
        <v>7</v>
      </c>
      <c r="D1116">
        <v>224</v>
      </c>
      <c r="E1116" t="s">
        <v>8</v>
      </c>
      <c r="F1116" t="s">
        <v>13</v>
      </c>
      <c r="G1116" t="s">
        <v>14</v>
      </c>
      <c r="H1116">
        <v>0</v>
      </c>
    </row>
    <row r="1117" spans="1:8" x14ac:dyDescent="0.35">
      <c r="A1117">
        <v>13997</v>
      </c>
      <c r="B1117" t="s">
        <v>7</v>
      </c>
      <c r="C1117">
        <v>11</v>
      </c>
      <c r="D1117">
        <v>179</v>
      </c>
      <c r="E1117" t="s">
        <v>8</v>
      </c>
      <c r="F1117" t="s">
        <v>9</v>
      </c>
      <c r="G1117" t="s">
        <v>14</v>
      </c>
      <c r="H1117">
        <v>0</v>
      </c>
    </row>
    <row r="1118" spans="1:8" x14ac:dyDescent="0.35">
      <c r="A1118">
        <v>19178</v>
      </c>
      <c r="B1118" t="s">
        <v>7</v>
      </c>
      <c r="C1118">
        <v>5</v>
      </c>
      <c r="D1118">
        <v>299</v>
      </c>
      <c r="E1118" t="s">
        <v>8</v>
      </c>
      <c r="F1118" t="s">
        <v>13</v>
      </c>
      <c r="G1118" t="s">
        <v>16</v>
      </c>
      <c r="H1118">
        <v>0</v>
      </c>
    </row>
    <row r="1119" spans="1:8" x14ac:dyDescent="0.35">
      <c r="A1119">
        <v>18286</v>
      </c>
      <c r="B1119" t="s">
        <v>7</v>
      </c>
      <c r="C1119">
        <v>13</v>
      </c>
      <c r="D1119">
        <v>107</v>
      </c>
      <c r="E1119" t="s">
        <v>8</v>
      </c>
      <c r="F1119" t="s">
        <v>9</v>
      </c>
      <c r="G1119" t="s">
        <v>12</v>
      </c>
      <c r="H1119">
        <v>0</v>
      </c>
    </row>
    <row r="1120" spans="1:8" x14ac:dyDescent="0.35">
      <c r="A1120">
        <v>19150</v>
      </c>
      <c r="B1120" t="s">
        <v>11</v>
      </c>
      <c r="C1120">
        <v>7</v>
      </c>
      <c r="D1120">
        <v>405</v>
      </c>
      <c r="E1120" t="s">
        <v>8</v>
      </c>
      <c r="F1120" t="s">
        <v>13</v>
      </c>
      <c r="G1120" t="s">
        <v>10</v>
      </c>
      <c r="H1120">
        <v>0</v>
      </c>
    </row>
    <row r="1121" spans="1:8" x14ac:dyDescent="0.35">
      <c r="A1121">
        <v>12181</v>
      </c>
      <c r="B1121" t="s">
        <v>7</v>
      </c>
      <c r="C1121">
        <v>10</v>
      </c>
      <c r="D1121">
        <v>292</v>
      </c>
      <c r="E1121" t="s">
        <v>8</v>
      </c>
      <c r="F1121" t="s">
        <v>9</v>
      </c>
      <c r="G1121" t="s">
        <v>10</v>
      </c>
      <c r="H1121">
        <v>0</v>
      </c>
    </row>
    <row r="1122" spans="1:8" x14ac:dyDescent="0.35">
      <c r="A1122">
        <v>19205</v>
      </c>
      <c r="B1122" t="s">
        <v>7</v>
      </c>
      <c r="C1122">
        <v>12</v>
      </c>
      <c r="D1122">
        <v>284</v>
      </c>
      <c r="E1122" t="s">
        <v>8</v>
      </c>
      <c r="F1122" t="s">
        <v>13</v>
      </c>
      <c r="G1122" t="s">
        <v>10</v>
      </c>
      <c r="H1122">
        <v>0</v>
      </c>
    </row>
    <row r="1123" spans="1:8" x14ac:dyDescent="0.35">
      <c r="A1123">
        <v>13637</v>
      </c>
      <c r="B1123" t="s">
        <v>7</v>
      </c>
      <c r="C1123">
        <v>5</v>
      </c>
      <c r="D1123">
        <v>381</v>
      </c>
      <c r="E1123" t="s">
        <v>8</v>
      </c>
      <c r="F1123" t="s">
        <v>9</v>
      </c>
      <c r="G1123" t="s">
        <v>16</v>
      </c>
      <c r="H1123">
        <v>0</v>
      </c>
    </row>
    <row r="1124" spans="1:8" x14ac:dyDescent="0.35">
      <c r="A1124">
        <v>16019</v>
      </c>
      <c r="B1124" t="s">
        <v>11</v>
      </c>
      <c r="C1124">
        <v>10</v>
      </c>
      <c r="D1124">
        <v>413</v>
      </c>
      <c r="E1124" t="s">
        <v>8</v>
      </c>
      <c r="F1124" t="s">
        <v>9</v>
      </c>
      <c r="G1124" t="s">
        <v>16</v>
      </c>
      <c r="H1124">
        <v>0</v>
      </c>
    </row>
    <row r="1125" spans="1:8" x14ac:dyDescent="0.35">
      <c r="A1125">
        <v>12180</v>
      </c>
      <c r="B1125" t="s">
        <v>7</v>
      </c>
      <c r="C1125">
        <v>13</v>
      </c>
      <c r="D1125">
        <v>144</v>
      </c>
      <c r="E1125" t="s">
        <v>8</v>
      </c>
      <c r="F1125" t="s">
        <v>9</v>
      </c>
      <c r="G1125" t="s">
        <v>12</v>
      </c>
      <c r="H1125">
        <v>0</v>
      </c>
    </row>
    <row r="1126" spans="1:8" x14ac:dyDescent="0.35">
      <c r="A1126">
        <v>19860</v>
      </c>
      <c r="B1126" t="s">
        <v>11</v>
      </c>
      <c r="C1126">
        <v>10</v>
      </c>
      <c r="D1126">
        <v>239</v>
      </c>
      <c r="E1126" t="s">
        <v>8</v>
      </c>
      <c r="F1126" t="s">
        <v>9</v>
      </c>
      <c r="G1126" t="s">
        <v>12</v>
      </c>
      <c r="H1126">
        <v>0</v>
      </c>
    </row>
    <row r="1127" spans="1:8" x14ac:dyDescent="0.35">
      <c r="A1127">
        <v>19737</v>
      </c>
      <c r="B1127" t="s">
        <v>7</v>
      </c>
      <c r="C1127">
        <v>1</v>
      </c>
      <c r="D1127">
        <v>47</v>
      </c>
      <c r="E1127" t="s">
        <v>8</v>
      </c>
      <c r="F1127" t="s">
        <v>13</v>
      </c>
      <c r="G1127" t="s">
        <v>16</v>
      </c>
      <c r="H1127">
        <v>0</v>
      </c>
    </row>
    <row r="1128" spans="1:8" x14ac:dyDescent="0.35">
      <c r="A1128">
        <v>12981</v>
      </c>
      <c r="B1128" t="s">
        <v>7</v>
      </c>
      <c r="C1128">
        <v>11</v>
      </c>
      <c r="D1128">
        <v>186</v>
      </c>
      <c r="E1128" t="s">
        <v>8</v>
      </c>
      <c r="F1128" t="s">
        <v>9</v>
      </c>
      <c r="G1128" t="s">
        <v>12</v>
      </c>
      <c r="H1128">
        <v>0</v>
      </c>
    </row>
    <row r="1129" spans="1:8" x14ac:dyDescent="0.35">
      <c r="A1129">
        <v>10129</v>
      </c>
      <c r="B1129" t="s">
        <v>11</v>
      </c>
      <c r="C1129">
        <v>12</v>
      </c>
      <c r="D1129">
        <v>131</v>
      </c>
      <c r="E1129" t="s">
        <v>8</v>
      </c>
      <c r="F1129" t="s">
        <v>9</v>
      </c>
      <c r="G1129" t="s">
        <v>10</v>
      </c>
      <c r="H1129">
        <v>0</v>
      </c>
    </row>
    <row r="1130" spans="1:8" x14ac:dyDescent="0.35">
      <c r="A1130">
        <v>11720</v>
      </c>
      <c r="B1130" t="s">
        <v>11</v>
      </c>
      <c r="C1130">
        <v>2</v>
      </c>
      <c r="D1130">
        <v>237</v>
      </c>
      <c r="E1130" t="s">
        <v>8</v>
      </c>
      <c r="F1130" t="s">
        <v>9</v>
      </c>
      <c r="G1130" t="s">
        <v>16</v>
      </c>
      <c r="H1130">
        <v>0</v>
      </c>
    </row>
    <row r="1131" spans="1:8" x14ac:dyDescent="0.35">
      <c r="A1131">
        <v>18190</v>
      </c>
      <c r="B1131" t="s">
        <v>11</v>
      </c>
      <c r="C1131">
        <v>8</v>
      </c>
      <c r="D1131">
        <v>370</v>
      </c>
      <c r="E1131" t="s">
        <v>8</v>
      </c>
      <c r="F1131" t="s">
        <v>9</v>
      </c>
      <c r="G1131" t="s">
        <v>16</v>
      </c>
      <c r="H1131">
        <v>0</v>
      </c>
    </row>
    <row r="1132" spans="1:8" x14ac:dyDescent="0.35">
      <c r="A1132">
        <v>18559</v>
      </c>
      <c r="B1132" t="s">
        <v>7</v>
      </c>
      <c r="C1132">
        <v>6</v>
      </c>
      <c r="D1132">
        <v>119</v>
      </c>
      <c r="E1132" t="s">
        <v>8</v>
      </c>
      <c r="F1132" t="s">
        <v>9</v>
      </c>
      <c r="G1132" t="s">
        <v>16</v>
      </c>
      <c r="H1132">
        <v>0</v>
      </c>
    </row>
    <row r="1133" spans="1:8" x14ac:dyDescent="0.35">
      <c r="A1133">
        <v>19154</v>
      </c>
      <c r="B1133" t="s">
        <v>11</v>
      </c>
      <c r="C1133">
        <v>11</v>
      </c>
      <c r="D1133">
        <v>257</v>
      </c>
      <c r="E1133" t="s">
        <v>8</v>
      </c>
      <c r="F1133" t="s">
        <v>13</v>
      </c>
      <c r="G1133" t="s">
        <v>12</v>
      </c>
      <c r="H1133">
        <v>0</v>
      </c>
    </row>
    <row r="1134" spans="1:8" x14ac:dyDescent="0.35">
      <c r="A1134">
        <v>15686</v>
      </c>
      <c r="B1134" t="s">
        <v>7</v>
      </c>
      <c r="C1134">
        <v>1</v>
      </c>
      <c r="D1134">
        <v>287</v>
      </c>
      <c r="E1134" t="s">
        <v>8</v>
      </c>
      <c r="F1134" t="s">
        <v>9</v>
      </c>
      <c r="G1134" t="s">
        <v>16</v>
      </c>
      <c r="H1134">
        <v>0</v>
      </c>
    </row>
    <row r="1135" spans="1:8" x14ac:dyDescent="0.35">
      <c r="A1135">
        <v>10420</v>
      </c>
      <c r="B1135" t="s">
        <v>7</v>
      </c>
      <c r="C1135">
        <v>10</v>
      </c>
      <c r="D1135">
        <v>441</v>
      </c>
      <c r="E1135" t="s">
        <v>8</v>
      </c>
      <c r="F1135" t="s">
        <v>9</v>
      </c>
      <c r="G1135" t="s">
        <v>16</v>
      </c>
      <c r="H1135">
        <v>0</v>
      </c>
    </row>
    <row r="1136" spans="1:8" x14ac:dyDescent="0.35">
      <c r="A1136">
        <v>12253</v>
      </c>
      <c r="B1136" t="s">
        <v>11</v>
      </c>
      <c r="C1136">
        <v>1</v>
      </c>
      <c r="D1136">
        <v>402</v>
      </c>
      <c r="E1136" t="s">
        <v>8</v>
      </c>
      <c r="F1136" t="s">
        <v>13</v>
      </c>
      <c r="G1136" t="s">
        <v>14</v>
      </c>
      <c r="H1136">
        <v>0</v>
      </c>
    </row>
    <row r="1137" spans="1:8" x14ac:dyDescent="0.35">
      <c r="A1137">
        <v>13226</v>
      </c>
      <c r="B1137" t="s">
        <v>7</v>
      </c>
      <c r="C1137">
        <v>3</v>
      </c>
      <c r="D1137">
        <v>391</v>
      </c>
      <c r="E1137" t="s">
        <v>8</v>
      </c>
      <c r="F1137" t="s">
        <v>13</v>
      </c>
      <c r="G1137" t="s">
        <v>10</v>
      </c>
      <c r="H1137">
        <v>0</v>
      </c>
    </row>
    <row r="1138" spans="1:8" x14ac:dyDescent="0.35">
      <c r="A1138">
        <v>13632</v>
      </c>
      <c r="B1138" t="s">
        <v>11</v>
      </c>
      <c r="C1138">
        <v>1</v>
      </c>
      <c r="D1138">
        <v>168</v>
      </c>
      <c r="E1138" t="s">
        <v>8</v>
      </c>
      <c r="F1138" t="s">
        <v>13</v>
      </c>
      <c r="G1138" t="s">
        <v>16</v>
      </c>
      <c r="H1138">
        <v>0</v>
      </c>
    </row>
    <row r="1139" spans="1:8" x14ac:dyDescent="0.35">
      <c r="A1139">
        <v>11497</v>
      </c>
      <c r="B1139" t="s">
        <v>11</v>
      </c>
      <c r="C1139">
        <v>4</v>
      </c>
      <c r="D1139">
        <v>102</v>
      </c>
      <c r="E1139" t="s">
        <v>8</v>
      </c>
      <c r="F1139" t="s">
        <v>9</v>
      </c>
      <c r="G1139" t="s">
        <v>14</v>
      </c>
      <c r="H1139">
        <v>0</v>
      </c>
    </row>
    <row r="1140" spans="1:8" x14ac:dyDescent="0.35">
      <c r="A1140">
        <v>11007</v>
      </c>
      <c r="B1140" t="s">
        <v>11</v>
      </c>
      <c r="C1140">
        <v>9</v>
      </c>
      <c r="D1140">
        <v>232</v>
      </c>
      <c r="E1140" t="s">
        <v>8</v>
      </c>
      <c r="F1140" t="s">
        <v>13</v>
      </c>
      <c r="G1140" t="s">
        <v>12</v>
      </c>
      <c r="H1140">
        <v>0</v>
      </c>
    </row>
    <row r="1141" spans="1:8" x14ac:dyDescent="0.35">
      <c r="A1141">
        <v>15669</v>
      </c>
      <c r="B1141" t="s">
        <v>7</v>
      </c>
      <c r="C1141">
        <v>9</v>
      </c>
      <c r="D1141">
        <v>147</v>
      </c>
      <c r="E1141" t="s">
        <v>8</v>
      </c>
      <c r="F1141" t="s">
        <v>13</v>
      </c>
      <c r="G1141" t="s">
        <v>14</v>
      </c>
      <c r="H1141">
        <v>0</v>
      </c>
    </row>
    <row r="1142" spans="1:8" x14ac:dyDescent="0.35">
      <c r="A1142">
        <v>15708</v>
      </c>
      <c r="B1142" t="s">
        <v>7</v>
      </c>
      <c r="C1142">
        <v>2</v>
      </c>
      <c r="D1142">
        <v>196</v>
      </c>
      <c r="E1142" t="s">
        <v>15</v>
      </c>
      <c r="F1142" t="s">
        <v>13</v>
      </c>
      <c r="G1142" t="s">
        <v>10</v>
      </c>
      <c r="H1142">
        <v>1</v>
      </c>
    </row>
    <row r="1143" spans="1:8" x14ac:dyDescent="0.35">
      <c r="A1143">
        <v>14301</v>
      </c>
      <c r="B1143" t="s">
        <v>7</v>
      </c>
      <c r="C1143">
        <v>13</v>
      </c>
      <c r="D1143">
        <v>419</v>
      </c>
      <c r="E1143" t="s">
        <v>8</v>
      </c>
      <c r="F1143" t="s">
        <v>9</v>
      </c>
      <c r="G1143" t="s">
        <v>12</v>
      </c>
      <c r="H1143">
        <v>0</v>
      </c>
    </row>
    <row r="1144" spans="1:8" x14ac:dyDescent="0.35">
      <c r="A1144">
        <v>14929</v>
      </c>
      <c r="B1144" t="s">
        <v>11</v>
      </c>
      <c r="C1144">
        <v>2</v>
      </c>
      <c r="D1144">
        <v>200</v>
      </c>
      <c r="E1144" t="s">
        <v>8</v>
      </c>
      <c r="F1144" t="s">
        <v>13</v>
      </c>
      <c r="G1144" t="s">
        <v>12</v>
      </c>
      <c r="H1144">
        <v>0</v>
      </c>
    </row>
    <row r="1145" spans="1:8" x14ac:dyDescent="0.35">
      <c r="A1145">
        <v>17806</v>
      </c>
      <c r="B1145" t="s">
        <v>11</v>
      </c>
      <c r="C1145">
        <v>5</v>
      </c>
      <c r="D1145">
        <v>241</v>
      </c>
      <c r="E1145" t="s">
        <v>8</v>
      </c>
      <c r="F1145" t="s">
        <v>9</v>
      </c>
      <c r="G1145" t="s">
        <v>12</v>
      </c>
      <c r="H1145">
        <v>0</v>
      </c>
    </row>
    <row r="1146" spans="1:8" x14ac:dyDescent="0.35">
      <c r="A1146">
        <v>19765</v>
      </c>
      <c r="B1146" t="s">
        <v>11</v>
      </c>
      <c r="C1146">
        <v>12</v>
      </c>
      <c r="D1146">
        <v>445</v>
      </c>
      <c r="E1146" t="s">
        <v>8</v>
      </c>
      <c r="F1146" t="s">
        <v>13</v>
      </c>
      <c r="G1146" t="s">
        <v>16</v>
      </c>
      <c r="H1146">
        <v>0</v>
      </c>
    </row>
    <row r="1147" spans="1:8" x14ac:dyDescent="0.35">
      <c r="A1147">
        <v>10791</v>
      </c>
      <c r="B1147" t="s">
        <v>7</v>
      </c>
      <c r="C1147">
        <v>14</v>
      </c>
      <c r="D1147">
        <v>64</v>
      </c>
      <c r="E1147" t="s">
        <v>8</v>
      </c>
      <c r="F1147" t="s">
        <v>9</v>
      </c>
      <c r="G1147" t="s">
        <v>16</v>
      </c>
      <c r="H1147">
        <v>0</v>
      </c>
    </row>
    <row r="1148" spans="1:8" x14ac:dyDescent="0.35">
      <c r="A1148">
        <v>18271</v>
      </c>
      <c r="B1148" t="s">
        <v>7</v>
      </c>
      <c r="C1148">
        <v>4</v>
      </c>
      <c r="D1148">
        <v>158</v>
      </c>
      <c r="E1148" t="s">
        <v>8</v>
      </c>
      <c r="F1148" t="s">
        <v>13</v>
      </c>
      <c r="G1148" t="s">
        <v>12</v>
      </c>
      <c r="H1148">
        <v>0</v>
      </c>
    </row>
    <row r="1149" spans="1:8" x14ac:dyDescent="0.35">
      <c r="A1149">
        <v>11428</v>
      </c>
      <c r="B1149" t="s">
        <v>11</v>
      </c>
      <c r="C1149">
        <v>14</v>
      </c>
      <c r="D1149">
        <v>326</v>
      </c>
      <c r="E1149" t="s">
        <v>8</v>
      </c>
      <c r="F1149" t="s">
        <v>9</v>
      </c>
      <c r="G1149" t="s">
        <v>16</v>
      </c>
      <c r="H1149">
        <v>0</v>
      </c>
    </row>
    <row r="1150" spans="1:8" x14ac:dyDescent="0.35">
      <c r="A1150">
        <v>18061</v>
      </c>
      <c r="B1150" t="s">
        <v>11</v>
      </c>
      <c r="C1150">
        <v>1</v>
      </c>
      <c r="D1150">
        <v>238</v>
      </c>
      <c r="E1150" t="s">
        <v>8</v>
      </c>
      <c r="F1150" t="s">
        <v>9</v>
      </c>
      <c r="G1150" t="s">
        <v>10</v>
      </c>
      <c r="H1150">
        <v>0</v>
      </c>
    </row>
    <row r="1151" spans="1:8" x14ac:dyDescent="0.35">
      <c r="A1151">
        <v>19742</v>
      </c>
      <c r="B1151" t="s">
        <v>11</v>
      </c>
      <c r="C1151">
        <v>8</v>
      </c>
      <c r="D1151">
        <v>235</v>
      </c>
      <c r="E1151" t="s">
        <v>8</v>
      </c>
      <c r="F1151" t="s">
        <v>9</v>
      </c>
      <c r="G1151" t="s">
        <v>16</v>
      </c>
      <c r="H1151">
        <v>0</v>
      </c>
    </row>
    <row r="1152" spans="1:8" x14ac:dyDescent="0.35">
      <c r="A1152">
        <v>18663</v>
      </c>
      <c r="B1152" t="s">
        <v>7</v>
      </c>
      <c r="C1152">
        <v>8</v>
      </c>
      <c r="D1152">
        <v>414</v>
      </c>
      <c r="E1152" t="s">
        <v>8</v>
      </c>
      <c r="F1152" t="s">
        <v>9</v>
      </c>
      <c r="G1152" t="s">
        <v>16</v>
      </c>
      <c r="H1152">
        <v>0</v>
      </c>
    </row>
    <row r="1153" spans="1:8" x14ac:dyDescent="0.35">
      <c r="A1153">
        <v>12139</v>
      </c>
      <c r="B1153" t="s">
        <v>11</v>
      </c>
      <c r="C1153">
        <v>5</v>
      </c>
      <c r="D1153">
        <v>420</v>
      </c>
      <c r="E1153" t="s">
        <v>8</v>
      </c>
      <c r="F1153" t="s">
        <v>9</v>
      </c>
      <c r="G1153" t="s">
        <v>16</v>
      </c>
      <c r="H1153">
        <v>0</v>
      </c>
    </row>
    <row r="1154" spans="1:8" x14ac:dyDescent="0.35">
      <c r="A1154">
        <v>13465</v>
      </c>
      <c r="B1154" t="s">
        <v>11</v>
      </c>
      <c r="C1154">
        <v>6</v>
      </c>
      <c r="D1154">
        <v>48</v>
      </c>
      <c r="E1154" t="s">
        <v>8</v>
      </c>
      <c r="F1154" t="s">
        <v>9</v>
      </c>
      <c r="G1154" t="s">
        <v>14</v>
      </c>
      <c r="H1154">
        <v>0</v>
      </c>
    </row>
    <row r="1155" spans="1:8" x14ac:dyDescent="0.35">
      <c r="A1155">
        <v>11087</v>
      </c>
      <c r="B1155" t="s">
        <v>7</v>
      </c>
      <c r="C1155">
        <v>6</v>
      </c>
      <c r="D1155">
        <v>237</v>
      </c>
      <c r="E1155" t="s">
        <v>8</v>
      </c>
      <c r="F1155" t="s">
        <v>13</v>
      </c>
      <c r="G1155" t="s">
        <v>12</v>
      </c>
      <c r="H1155">
        <v>0</v>
      </c>
    </row>
    <row r="1156" spans="1:8" x14ac:dyDescent="0.35">
      <c r="A1156">
        <v>10990</v>
      </c>
      <c r="B1156" t="s">
        <v>7</v>
      </c>
      <c r="C1156">
        <v>13</v>
      </c>
      <c r="D1156">
        <v>134</v>
      </c>
      <c r="E1156" t="s">
        <v>8</v>
      </c>
      <c r="F1156" t="s">
        <v>9</v>
      </c>
      <c r="G1156" t="s">
        <v>10</v>
      </c>
      <c r="H1156">
        <v>0</v>
      </c>
    </row>
    <row r="1157" spans="1:8" x14ac:dyDescent="0.35">
      <c r="A1157">
        <v>11941</v>
      </c>
      <c r="B1157" t="s">
        <v>7</v>
      </c>
      <c r="C1157">
        <v>9</v>
      </c>
      <c r="D1157">
        <v>46</v>
      </c>
      <c r="E1157" t="s">
        <v>8</v>
      </c>
      <c r="F1157" t="s">
        <v>13</v>
      </c>
      <c r="G1157" t="s">
        <v>10</v>
      </c>
      <c r="H1157">
        <v>0</v>
      </c>
    </row>
    <row r="1158" spans="1:8" x14ac:dyDescent="0.35">
      <c r="A1158">
        <v>12769</v>
      </c>
      <c r="B1158" t="s">
        <v>7</v>
      </c>
      <c r="C1158">
        <v>12</v>
      </c>
      <c r="D1158">
        <v>275</v>
      </c>
      <c r="E1158" t="s">
        <v>8</v>
      </c>
      <c r="F1158" t="s">
        <v>13</v>
      </c>
      <c r="G1158" t="s">
        <v>14</v>
      </c>
      <c r="H1158">
        <v>0</v>
      </c>
    </row>
    <row r="1159" spans="1:8" x14ac:dyDescent="0.35">
      <c r="A1159">
        <v>15990</v>
      </c>
      <c r="B1159" t="s">
        <v>7</v>
      </c>
      <c r="C1159">
        <v>7</v>
      </c>
      <c r="D1159">
        <v>106</v>
      </c>
      <c r="E1159" t="s">
        <v>8</v>
      </c>
      <c r="F1159" t="s">
        <v>13</v>
      </c>
      <c r="G1159" t="s">
        <v>10</v>
      </c>
      <c r="H1159">
        <v>0</v>
      </c>
    </row>
    <row r="1160" spans="1:8" x14ac:dyDescent="0.35">
      <c r="A1160">
        <v>16036</v>
      </c>
      <c r="B1160" t="s">
        <v>11</v>
      </c>
      <c r="C1160">
        <v>10</v>
      </c>
      <c r="D1160">
        <v>276</v>
      </c>
      <c r="E1160" t="s">
        <v>8</v>
      </c>
      <c r="F1160" t="s">
        <v>9</v>
      </c>
      <c r="G1160" t="s">
        <v>12</v>
      </c>
      <c r="H1160">
        <v>0</v>
      </c>
    </row>
    <row r="1161" spans="1:8" x14ac:dyDescent="0.35">
      <c r="A1161">
        <v>10623</v>
      </c>
      <c r="B1161" t="s">
        <v>7</v>
      </c>
      <c r="C1161">
        <v>13</v>
      </c>
      <c r="D1161">
        <v>368</v>
      </c>
      <c r="E1161" t="s">
        <v>8</v>
      </c>
      <c r="F1161" t="s">
        <v>13</v>
      </c>
      <c r="G1161" t="s">
        <v>10</v>
      </c>
      <c r="H1161">
        <v>0</v>
      </c>
    </row>
    <row r="1162" spans="1:8" x14ac:dyDescent="0.35">
      <c r="A1162">
        <v>15174</v>
      </c>
      <c r="B1162" t="s">
        <v>7</v>
      </c>
      <c r="C1162">
        <v>10</v>
      </c>
      <c r="D1162">
        <v>260</v>
      </c>
      <c r="E1162" t="s">
        <v>8</v>
      </c>
      <c r="F1162" t="s">
        <v>13</v>
      </c>
      <c r="G1162" t="s">
        <v>14</v>
      </c>
      <c r="H1162">
        <v>0</v>
      </c>
    </row>
    <row r="1163" spans="1:8" x14ac:dyDescent="0.35">
      <c r="A1163">
        <v>10879</v>
      </c>
      <c r="B1163" t="s">
        <v>7</v>
      </c>
      <c r="C1163">
        <v>10</v>
      </c>
      <c r="D1163">
        <v>281</v>
      </c>
      <c r="E1163" t="s">
        <v>8</v>
      </c>
      <c r="F1163" t="s">
        <v>13</v>
      </c>
      <c r="G1163" t="s">
        <v>14</v>
      </c>
      <c r="H1163">
        <v>0</v>
      </c>
    </row>
    <row r="1164" spans="1:8" x14ac:dyDescent="0.35">
      <c r="A1164">
        <v>15891</v>
      </c>
      <c r="B1164" t="s">
        <v>11</v>
      </c>
      <c r="C1164">
        <v>6</v>
      </c>
      <c r="D1164">
        <v>85</v>
      </c>
      <c r="E1164" t="s">
        <v>8</v>
      </c>
      <c r="F1164" t="s">
        <v>13</v>
      </c>
      <c r="G1164" t="s">
        <v>16</v>
      </c>
      <c r="H1164">
        <v>0</v>
      </c>
    </row>
    <row r="1165" spans="1:8" x14ac:dyDescent="0.35">
      <c r="A1165">
        <v>13335</v>
      </c>
      <c r="B1165" t="s">
        <v>7</v>
      </c>
      <c r="C1165">
        <v>6</v>
      </c>
      <c r="D1165">
        <v>225</v>
      </c>
      <c r="E1165" t="s">
        <v>15</v>
      </c>
      <c r="F1165" t="s">
        <v>13</v>
      </c>
      <c r="G1165" t="s">
        <v>10</v>
      </c>
      <c r="H1165">
        <v>1</v>
      </c>
    </row>
    <row r="1166" spans="1:8" x14ac:dyDescent="0.35">
      <c r="A1166">
        <v>13145</v>
      </c>
      <c r="B1166" t="s">
        <v>7</v>
      </c>
      <c r="C1166">
        <v>1</v>
      </c>
      <c r="D1166">
        <v>372</v>
      </c>
      <c r="E1166" t="s">
        <v>8</v>
      </c>
      <c r="F1166" t="s">
        <v>13</v>
      </c>
      <c r="G1166" t="s">
        <v>10</v>
      </c>
      <c r="H1166">
        <v>0</v>
      </c>
    </row>
    <row r="1167" spans="1:8" x14ac:dyDescent="0.35">
      <c r="A1167">
        <v>18248</v>
      </c>
      <c r="B1167" t="s">
        <v>7</v>
      </c>
      <c r="C1167">
        <v>3</v>
      </c>
      <c r="D1167">
        <v>343</v>
      </c>
      <c r="E1167" t="s">
        <v>8</v>
      </c>
      <c r="F1167" t="s">
        <v>9</v>
      </c>
      <c r="G1167" t="s">
        <v>10</v>
      </c>
      <c r="H1167">
        <v>0</v>
      </c>
    </row>
    <row r="1168" spans="1:8" x14ac:dyDescent="0.35">
      <c r="A1168">
        <v>17942</v>
      </c>
      <c r="B1168" t="s">
        <v>7</v>
      </c>
      <c r="C1168">
        <v>4</v>
      </c>
      <c r="D1168">
        <v>148</v>
      </c>
      <c r="E1168" t="s">
        <v>8</v>
      </c>
      <c r="F1168" t="s">
        <v>13</v>
      </c>
      <c r="G1168" t="s">
        <v>12</v>
      </c>
      <c r="H1168">
        <v>0</v>
      </c>
    </row>
    <row r="1169" spans="1:8" x14ac:dyDescent="0.35">
      <c r="A1169">
        <v>16323</v>
      </c>
      <c r="B1169" t="s">
        <v>7</v>
      </c>
      <c r="C1169">
        <v>9</v>
      </c>
      <c r="D1169">
        <v>63</v>
      </c>
      <c r="E1169" t="s">
        <v>15</v>
      </c>
      <c r="F1169" t="s">
        <v>9</v>
      </c>
      <c r="G1169" t="s">
        <v>16</v>
      </c>
      <c r="H1169">
        <v>1</v>
      </c>
    </row>
    <row r="1170" spans="1:8" x14ac:dyDescent="0.35">
      <c r="A1170">
        <v>10172</v>
      </c>
      <c r="B1170" t="s">
        <v>7</v>
      </c>
      <c r="C1170">
        <v>13</v>
      </c>
      <c r="D1170">
        <v>120</v>
      </c>
      <c r="E1170" t="s">
        <v>8</v>
      </c>
      <c r="F1170" t="s">
        <v>13</v>
      </c>
      <c r="G1170" t="s">
        <v>16</v>
      </c>
      <c r="H1170">
        <v>0</v>
      </c>
    </row>
    <row r="1171" spans="1:8" x14ac:dyDescent="0.35">
      <c r="A1171">
        <v>12062</v>
      </c>
      <c r="B1171" t="s">
        <v>7</v>
      </c>
      <c r="C1171">
        <v>3</v>
      </c>
      <c r="D1171">
        <v>103</v>
      </c>
      <c r="E1171" t="s">
        <v>8</v>
      </c>
      <c r="F1171" t="s">
        <v>9</v>
      </c>
      <c r="G1171" t="s">
        <v>10</v>
      </c>
      <c r="H1171">
        <v>0</v>
      </c>
    </row>
    <row r="1172" spans="1:8" x14ac:dyDescent="0.35">
      <c r="A1172">
        <v>14525</v>
      </c>
      <c r="B1172" t="s">
        <v>11</v>
      </c>
      <c r="C1172">
        <v>7</v>
      </c>
      <c r="D1172">
        <v>395</v>
      </c>
      <c r="E1172" t="s">
        <v>8</v>
      </c>
      <c r="F1172" t="s">
        <v>13</v>
      </c>
      <c r="G1172" t="s">
        <v>14</v>
      </c>
      <c r="H1172">
        <v>0</v>
      </c>
    </row>
    <row r="1173" spans="1:8" x14ac:dyDescent="0.35">
      <c r="A1173">
        <v>11306</v>
      </c>
      <c r="B1173" t="s">
        <v>7</v>
      </c>
      <c r="C1173">
        <v>10</v>
      </c>
      <c r="D1173">
        <v>121</v>
      </c>
      <c r="E1173" t="s">
        <v>8</v>
      </c>
      <c r="F1173" t="s">
        <v>9</v>
      </c>
      <c r="G1173" t="s">
        <v>10</v>
      </c>
      <c r="H1173">
        <v>0</v>
      </c>
    </row>
    <row r="1174" spans="1:8" x14ac:dyDescent="0.35">
      <c r="A1174">
        <v>16450</v>
      </c>
      <c r="B1174" t="s">
        <v>7</v>
      </c>
      <c r="C1174">
        <v>10</v>
      </c>
      <c r="D1174">
        <v>149</v>
      </c>
      <c r="E1174" t="s">
        <v>8</v>
      </c>
      <c r="F1174" t="s">
        <v>9</v>
      </c>
      <c r="G1174" t="s">
        <v>16</v>
      </c>
      <c r="H1174">
        <v>0</v>
      </c>
    </row>
    <row r="1175" spans="1:8" x14ac:dyDescent="0.35">
      <c r="A1175">
        <v>18489</v>
      </c>
      <c r="B1175" t="s">
        <v>7</v>
      </c>
      <c r="C1175">
        <v>2</v>
      </c>
      <c r="D1175">
        <v>296</v>
      </c>
      <c r="E1175" t="s">
        <v>8</v>
      </c>
      <c r="F1175" t="s">
        <v>13</v>
      </c>
      <c r="G1175" t="s">
        <v>16</v>
      </c>
      <c r="H1175">
        <v>0</v>
      </c>
    </row>
    <row r="1176" spans="1:8" x14ac:dyDescent="0.35">
      <c r="A1176">
        <v>18173</v>
      </c>
      <c r="B1176" t="s">
        <v>7</v>
      </c>
      <c r="C1176">
        <v>2</v>
      </c>
      <c r="D1176">
        <v>385</v>
      </c>
      <c r="E1176" t="s">
        <v>8</v>
      </c>
      <c r="F1176" t="s">
        <v>13</v>
      </c>
      <c r="G1176" t="s">
        <v>12</v>
      </c>
      <c r="H1176">
        <v>0</v>
      </c>
    </row>
    <row r="1177" spans="1:8" x14ac:dyDescent="0.35">
      <c r="A1177">
        <v>10926</v>
      </c>
      <c r="B1177" t="s">
        <v>11</v>
      </c>
      <c r="C1177">
        <v>2</v>
      </c>
      <c r="D1177">
        <v>310</v>
      </c>
      <c r="E1177" t="s">
        <v>8</v>
      </c>
      <c r="F1177" t="s">
        <v>13</v>
      </c>
      <c r="G1177" t="s">
        <v>12</v>
      </c>
      <c r="H1177">
        <v>0</v>
      </c>
    </row>
    <row r="1178" spans="1:8" x14ac:dyDescent="0.35">
      <c r="A1178">
        <v>16309</v>
      </c>
      <c r="B1178" t="s">
        <v>7</v>
      </c>
      <c r="C1178">
        <v>13</v>
      </c>
      <c r="D1178">
        <v>308</v>
      </c>
      <c r="E1178" t="s">
        <v>8</v>
      </c>
      <c r="F1178" t="s">
        <v>13</v>
      </c>
      <c r="G1178" t="s">
        <v>16</v>
      </c>
      <c r="H1178">
        <v>0</v>
      </c>
    </row>
    <row r="1179" spans="1:8" x14ac:dyDescent="0.35">
      <c r="A1179">
        <v>14104</v>
      </c>
      <c r="B1179" t="s">
        <v>7</v>
      </c>
      <c r="C1179">
        <v>9</v>
      </c>
      <c r="D1179">
        <v>258</v>
      </c>
      <c r="E1179" t="s">
        <v>15</v>
      </c>
      <c r="F1179" t="s">
        <v>9</v>
      </c>
      <c r="G1179" t="s">
        <v>14</v>
      </c>
      <c r="H1179">
        <v>1</v>
      </c>
    </row>
    <row r="1180" spans="1:8" x14ac:dyDescent="0.35">
      <c r="A1180">
        <v>10168</v>
      </c>
      <c r="B1180" t="s">
        <v>7</v>
      </c>
      <c r="C1180">
        <v>4</v>
      </c>
      <c r="D1180">
        <v>193</v>
      </c>
      <c r="E1180" t="s">
        <v>15</v>
      </c>
      <c r="F1180" t="s">
        <v>13</v>
      </c>
      <c r="G1180" t="s">
        <v>14</v>
      </c>
      <c r="H1180">
        <v>1</v>
      </c>
    </row>
    <row r="1181" spans="1:8" x14ac:dyDescent="0.35">
      <c r="A1181">
        <v>16975</v>
      </c>
      <c r="B1181" t="s">
        <v>7</v>
      </c>
      <c r="C1181">
        <v>10</v>
      </c>
      <c r="D1181">
        <v>46</v>
      </c>
      <c r="E1181" t="s">
        <v>8</v>
      </c>
      <c r="F1181" t="s">
        <v>9</v>
      </c>
      <c r="G1181" t="s">
        <v>16</v>
      </c>
      <c r="H1181">
        <v>0</v>
      </c>
    </row>
    <row r="1182" spans="1:8" x14ac:dyDescent="0.35">
      <c r="A1182">
        <v>11758</v>
      </c>
      <c r="B1182" t="s">
        <v>11</v>
      </c>
      <c r="C1182">
        <v>10</v>
      </c>
      <c r="D1182">
        <v>400</v>
      </c>
      <c r="E1182" t="s">
        <v>8</v>
      </c>
      <c r="F1182" t="s">
        <v>9</v>
      </c>
      <c r="G1182" t="s">
        <v>14</v>
      </c>
      <c r="H1182">
        <v>0</v>
      </c>
    </row>
    <row r="1183" spans="1:8" x14ac:dyDescent="0.35">
      <c r="A1183">
        <v>10862</v>
      </c>
      <c r="B1183" t="s">
        <v>7</v>
      </c>
      <c r="C1183">
        <v>8</v>
      </c>
      <c r="D1183">
        <v>335</v>
      </c>
      <c r="E1183" t="s">
        <v>8</v>
      </c>
      <c r="F1183" t="s">
        <v>9</v>
      </c>
      <c r="G1183" t="s">
        <v>10</v>
      </c>
      <c r="H1183">
        <v>0</v>
      </c>
    </row>
    <row r="1184" spans="1:8" x14ac:dyDescent="0.35">
      <c r="A1184">
        <v>16866</v>
      </c>
      <c r="B1184" t="s">
        <v>7</v>
      </c>
      <c r="C1184">
        <v>1</v>
      </c>
      <c r="D1184">
        <v>348</v>
      </c>
      <c r="E1184" t="s">
        <v>8</v>
      </c>
      <c r="F1184" t="s">
        <v>13</v>
      </c>
      <c r="G1184" t="s">
        <v>12</v>
      </c>
      <c r="H1184">
        <v>0</v>
      </c>
    </row>
    <row r="1185" spans="1:8" x14ac:dyDescent="0.35">
      <c r="A1185">
        <v>13788</v>
      </c>
      <c r="B1185" t="s">
        <v>7</v>
      </c>
      <c r="C1185">
        <v>14</v>
      </c>
      <c r="D1185">
        <v>164</v>
      </c>
      <c r="E1185" t="s">
        <v>8</v>
      </c>
      <c r="F1185" t="s">
        <v>9</v>
      </c>
      <c r="G1185" t="s">
        <v>12</v>
      </c>
      <c r="H1185">
        <v>0</v>
      </c>
    </row>
    <row r="1186" spans="1:8" x14ac:dyDescent="0.35">
      <c r="A1186">
        <v>12356</v>
      </c>
      <c r="B1186" t="s">
        <v>11</v>
      </c>
      <c r="C1186">
        <v>14</v>
      </c>
      <c r="D1186">
        <v>366</v>
      </c>
      <c r="E1186" t="s">
        <v>8</v>
      </c>
      <c r="F1186" t="s">
        <v>9</v>
      </c>
      <c r="G1186" t="s">
        <v>14</v>
      </c>
      <c r="H1186">
        <v>0</v>
      </c>
    </row>
    <row r="1187" spans="1:8" x14ac:dyDescent="0.35">
      <c r="A1187">
        <v>19452</v>
      </c>
      <c r="B1187" t="s">
        <v>11</v>
      </c>
      <c r="C1187">
        <v>5</v>
      </c>
      <c r="D1187">
        <v>400</v>
      </c>
      <c r="E1187" t="s">
        <v>8</v>
      </c>
      <c r="F1187" t="s">
        <v>9</v>
      </c>
      <c r="G1187" t="s">
        <v>16</v>
      </c>
      <c r="H1187">
        <v>0</v>
      </c>
    </row>
    <row r="1188" spans="1:8" x14ac:dyDescent="0.35">
      <c r="A1188">
        <v>16567</v>
      </c>
      <c r="B1188" t="s">
        <v>7</v>
      </c>
      <c r="C1188">
        <v>6</v>
      </c>
      <c r="D1188">
        <v>134</v>
      </c>
      <c r="E1188" t="s">
        <v>8</v>
      </c>
      <c r="F1188" t="s">
        <v>9</v>
      </c>
      <c r="G1188" t="s">
        <v>16</v>
      </c>
      <c r="H1188">
        <v>0</v>
      </c>
    </row>
    <row r="1189" spans="1:8" x14ac:dyDescent="0.35">
      <c r="A1189">
        <v>18760</v>
      </c>
      <c r="B1189" t="s">
        <v>7</v>
      </c>
      <c r="C1189">
        <v>13</v>
      </c>
      <c r="D1189">
        <v>344</v>
      </c>
      <c r="E1189" t="s">
        <v>8</v>
      </c>
      <c r="F1189" t="s">
        <v>9</v>
      </c>
      <c r="G1189" t="s">
        <v>10</v>
      </c>
      <c r="H1189">
        <v>0</v>
      </c>
    </row>
    <row r="1190" spans="1:8" x14ac:dyDescent="0.35">
      <c r="A1190">
        <v>14682</v>
      </c>
      <c r="B1190" t="s">
        <v>11</v>
      </c>
      <c r="C1190">
        <v>2</v>
      </c>
      <c r="D1190">
        <v>371</v>
      </c>
      <c r="E1190" t="s">
        <v>8</v>
      </c>
      <c r="F1190" t="s">
        <v>9</v>
      </c>
      <c r="G1190" t="s">
        <v>16</v>
      </c>
      <c r="H1190">
        <v>0</v>
      </c>
    </row>
    <row r="1191" spans="1:8" x14ac:dyDescent="0.35">
      <c r="A1191">
        <v>13410</v>
      </c>
      <c r="B1191" t="s">
        <v>11</v>
      </c>
      <c r="C1191">
        <v>2</v>
      </c>
      <c r="D1191">
        <v>65</v>
      </c>
      <c r="E1191" t="s">
        <v>8</v>
      </c>
      <c r="F1191" t="s">
        <v>13</v>
      </c>
      <c r="G1191" t="s">
        <v>12</v>
      </c>
      <c r="H1191">
        <v>0</v>
      </c>
    </row>
    <row r="1192" spans="1:8" x14ac:dyDescent="0.35">
      <c r="A1192">
        <v>13503</v>
      </c>
      <c r="B1192" t="s">
        <v>11</v>
      </c>
      <c r="C1192">
        <v>3</v>
      </c>
      <c r="D1192">
        <v>187</v>
      </c>
      <c r="E1192" t="s">
        <v>8</v>
      </c>
      <c r="F1192" t="s">
        <v>13</v>
      </c>
      <c r="G1192" t="s">
        <v>10</v>
      </c>
      <c r="H1192">
        <v>0</v>
      </c>
    </row>
    <row r="1193" spans="1:8" x14ac:dyDescent="0.35">
      <c r="A1193">
        <v>17884</v>
      </c>
      <c r="B1193" t="s">
        <v>11</v>
      </c>
      <c r="C1193">
        <v>8</v>
      </c>
      <c r="D1193">
        <v>368</v>
      </c>
      <c r="E1193" t="s">
        <v>8</v>
      </c>
      <c r="F1193" t="s">
        <v>9</v>
      </c>
      <c r="G1193" t="s">
        <v>12</v>
      </c>
      <c r="H1193">
        <v>0</v>
      </c>
    </row>
    <row r="1194" spans="1:8" x14ac:dyDescent="0.35">
      <c r="A1194">
        <v>12024</v>
      </c>
      <c r="B1194" t="s">
        <v>11</v>
      </c>
      <c r="C1194">
        <v>4</v>
      </c>
      <c r="D1194">
        <v>308</v>
      </c>
      <c r="E1194" t="s">
        <v>8</v>
      </c>
      <c r="F1194" t="s">
        <v>13</v>
      </c>
      <c r="G1194" t="s">
        <v>10</v>
      </c>
      <c r="H1194">
        <v>0</v>
      </c>
    </row>
    <row r="1195" spans="1:8" x14ac:dyDescent="0.35">
      <c r="A1195">
        <v>15056</v>
      </c>
      <c r="B1195" t="s">
        <v>11</v>
      </c>
      <c r="C1195">
        <v>9</v>
      </c>
      <c r="D1195">
        <v>262</v>
      </c>
      <c r="E1195" t="s">
        <v>8</v>
      </c>
      <c r="F1195" t="s">
        <v>9</v>
      </c>
      <c r="G1195" t="s">
        <v>14</v>
      </c>
      <c r="H1195">
        <v>0</v>
      </c>
    </row>
    <row r="1196" spans="1:8" x14ac:dyDescent="0.35">
      <c r="A1196">
        <v>14679</v>
      </c>
      <c r="B1196" t="s">
        <v>7</v>
      </c>
      <c r="C1196">
        <v>9</v>
      </c>
      <c r="D1196">
        <v>125</v>
      </c>
      <c r="E1196" t="s">
        <v>15</v>
      </c>
      <c r="F1196" t="s">
        <v>13</v>
      </c>
      <c r="G1196" t="s">
        <v>12</v>
      </c>
      <c r="H1196">
        <v>1</v>
      </c>
    </row>
    <row r="1197" spans="1:8" x14ac:dyDescent="0.35">
      <c r="A1197">
        <v>18339</v>
      </c>
      <c r="B1197" t="s">
        <v>11</v>
      </c>
      <c r="C1197">
        <v>9</v>
      </c>
      <c r="D1197">
        <v>115</v>
      </c>
      <c r="E1197" t="s">
        <v>8</v>
      </c>
      <c r="F1197" t="s">
        <v>9</v>
      </c>
      <c r="G1197" t="s">
        <v>10</v>
      </c>
      <c r="H1197">
        <v>0</v>
      </c>
    </row>
    <row r="1198" spans="1:8" x14ac:dyDescent="0.35">
      <c r="A1198">
        <v>15922</v>
      </c>
      <c r="B1198" t="s">
        <v>7</v>
      </c>
      <c r="C1198">
        <v>7</v>
      </c>
      <c r="D1198">
        <v>399</v>
      </c>
      <c r="E1198" t="s">
        <v>8</v>
      </c>
      <c r="F1198" t="s">
        <v>9</v>
      </c>
      <c r="G1198" t="s">
        <v>14</v>
      </c>
      <c r="H1198">
        <v>0</v>
      </c>
    </row>
    <row r="1199" spans="1:8" x14ac:dyDescent="0.35">
      <c r="A1199">
        <v>16369</v>
      </c>
      <c r="B1199" t="s">
        <v>11</v>
      </c>
      <c r="C1199">
        <v>1</v>
      </c>
      <c r="D1199">
        <v>104</v>
      </c>
      <c r="E1199" t="s">
        <v>8</v>
      </c>
      <c r="F1199" t="s">
        <v>9</v>
      </c>
      <c r="G1199" t="s">
        <v>14</v>
      </c>
      <c r="H1199">
        <v>0</v>
      </c>
    </row>
    <row r="1200" spans="1:8" x14ac:dyDescent="0.35">
      <c r="A1200">
        <v>16792</v>
      </c>
      <c r="B1200" t="s">
        <v>11</v>
      </c>
      <c r="C1200">
        <v>3</v>
      </c>
      <c r="D1200">
        <v>88</v>
      </c>
      <c r="E1200" t="s">
        <v>15</v>
      </c>
      <c r="F1200" t="s">
        <v>9</v>
      </c>
      <c r="G1200" t="s">
        <v>12</v>
      </c>
      <c r="H1200">
        <v>1</v>
      </c>
    </row>
    <row r="1201" spans="1:8" x14ac:dyDescent="0.35">
      <c r="A1201">
        <v>13056</v>
      </c>
      <c r="B1201" t="s">
        <v>7</v>
      </c>
      <c r="C1201">
        <v>3</v>
      </c>
      <c r="D1201">
        <v>144</v>
      </c>
      <c r="E1201" t="s">
        <v>8</v>
      </c>
      <c r="F1201" t="s">
        <v>9</v>
      </c>
      <c r="G1201" t="s">
        <v>14</v>
      </c>
      <c r="H1201">
        <v>0</v>
      </c>
    </row>
    <row r="1202" spans="1:8" x14ac:dyDescent="0.35">
      <c r="A1202">
        <v>15149</v>
      </c>
      <c r="B1202" t="s">
        <v>7</v>
      </c>
      <c r="C1202">
        <v>3</v>
      </c>
      <c r="D1202">
        <v>383</v>
      </c>
      <c r="E1202" t="s">
        <v>8</v>
      </c>
      <c r="F1202" t="s">
        <v>13</v>
      </c>
      <c r="G1202" t="s">
        <v>16</v>
      </c>
      <c r="H1202">
        <v>0</v>
      </c>
    </row>
    <row r="1203" spans="1:8" x14ac:dyDescent="0.35">
      <c r="A1203">
        <v>11418</v>
      </c>
      <c r="B1203" t="s">
        <v>11</v>
      </c>
      <c r="C1203">
        <v>10</v>
      </c>
      <c r="D1203">
        <v>295</v>
      </c>
      <c r="E1203" t="s">
        <v>8</v>
      </c>
      <c r="F1203" t="s">
        <v>13</v>
      </c>
      <c r="G1203" t="s">
        <v>12</v>
      </c>
      <c r="H1203">
        <v>0</v>
      </c>
    </row>
    <row r="1204" spans="1:8" x14ac:dyDescent="0.35">
      <c r="A1204">
        <v>18803</v>
      </c>
      <c r="B1204" t="s">
        <v>11</v>
      </c>
      <c r="C1204">
        <v>9</v>
      </c>
      <c r="D1204">
        <v>93</v>
      </c>
      <c r="E1204" t="s">
        <v>8</v>
      </c>
      <c r="F1204" t="s">
        <v>9</v>
      </c>
      <c r="G1204" t="s">
        <v>14</v>
      </c>
      <c r="H1204">
        <v>0</v>
      </c>
    </row>
    <row r="1205" spans="1:8" x14ac:dyDescent="0.35">
      <c r="A1205">
        <v>16956</v>
      </c>
      <c r="B1205" t="s">
        <v>11</v>
      </c>
      <c r="C1205">
        <v>7</v>
      </c>
      <c r="D1205">
        <v>95</v>
      </c>
      <c r="E1205" t="s">
        <v>8</v>
      </c>
      <c r="F1205" t="s">
        <v>13</v>
      </c>
      <c r="G1205" t="s">
        <v>16</v>
      </c>
      <c r="H1205">
        <v>0</v>
      </c>
    </row>
    <row r="1206" spans="1:8" x14ac:dyDescent="0.35">
      <c r="A1206">
        <v>12027</v>
      </c>
      <c r="B1206" t="s">
        <v>7</v>
      </c>
      <c r="C1206">
        <v>6</v>
      </c>
      <c r="D1206">
        <v>389</v>
      </c>
      <c r="E1206" t="s">
        <v>8</v>
      </c>
      <c r="F1206" t="s">
        <v>13</v>
      </c>
      <c r="G1206" t="s">
        <v>12</v>
      </c>
      <c r="H1206">
        <v>0</v>
      </c>
    </row>
    <row r="1207" spans="1:8" x14ac:dyDescent="0.35">
      <c r="A1207">
        <v>17912</v>
      </c>
      <c r="B1207" t="s">
        <v>11</v>
      </c>
      <c r="C1207">
        <v>3</v>
      </c>
      <c r="D1207">
        <v>111</v>
      </c>
      <c r="E1207" t="s">
        <v>8</v>
      </c>
      <c r="F1207" t="s">
        <v>13</v>
      </c>
      <c r="G1207" t="s">
        <v>12</v>
      </c>
      <c r="H1207">
        <v>0</v>
      </c>
    </row>
    <row r="1208" spans="1:8" x14ac:dyDescent="0.35">
      <c r="A1208">
        <v>17874</v>
      </c>
      <c r="B1208" t="s">
        <v>7</v>
      </c>
      <c r="C1208">
        <v>7</v>
      </c>
      <c r="D1208">
        <v>230</v>
      </c>
      <c r="E1208" t="s">
        <v>8</v>
      </c>
      <c r="F1208" t="s">
        <v>13</v>
      </c>
      <c r="G1208" t="s">
        <v>16</v>
      </c>
      <c r="H1208">
        <v>0</v>
      </c>
    </row>
    <row r="1209" spans="1:8" x14ac:dyDescent="0.35">
      <c r="A1209">
        <v>12864</v>
      </c>
      <c r="B1209" t="s">
        <v>11</v>
      </c>
      <c r="C1209">
        <v>11</v>
      </c>
      <c r="D1209">
        <v>99</v>
      </c>
      <c r="E1209" t="s">
        <v>8</v>
      </c>
      <c r="F1209" t="s">
        <v>9</v>
      </c>
      <c r="G1209" t="s">
        <v>12</v>
      </c>
      <c r="H1209">
        <v>0</v>
      </c>
    </row>
    <row r="1210" spans="1:8" x14ac:dyDescent="0.35">
      <c r="A1210">
        <v>10447</v>
      </c>
      <c r="B1210" t="s">
        <v>11</v>
      </c>
      <c r="C1210">
        <v>10</v>
      </c>
      <c r="D1210">
        <v>142</v>
      </c>
      <c r="E1210" t="s">
        <v>8</v>
      </c>
      <c r="F1210" t="s">
        <v>9</v>
      </c>
      <c r="G1210" t="s">
        <v>14</v>
      </c>
      <c r="H1210">
        <v>0</v>
      </c>
    </row>
    <row r="1211" spans="1:8" x14ac:dyDescent="0.35">
      <c r="A1211">
        <v>10272</v>
      </c>
      <c r="B1211" t="s">
        <v>7</v>
      </c>
      <c r="C1211">
        <v>2</v>
      </c>
      <c r="D1211">
        <v>289</v>
      </c>
      <c r="E1211" t="s">
        <v>8</v>
      </c>
      <c r="F1211" t="s">
        <v>9</v>
      </c>
      <c r="G1211" t="s">
        <v>10</v>
      </c>
      <c r="H1211">
        <v>0</v>
      </c>
    </row>
    <row r="1212" spans="1:8" x14ac:dyDescent="0.35">
      <c r="A1212">
        <v>15254</v>
      </c>
      <c r="B1212" t="s">
        <v>11</v>
      </c>
      <c r="C1212">
        <v>8</v>
      </c>
      <c r="D1212">
        <v>198</v>
      </c>
      <c r="E1212" t="s">
        <v>8</v>
      </c>
      <c r="F1212" t="s">
        <v>13</v>
      </c>
      <c r="G1212" t="s">
        <v>10</v>
      </c>
      <c r="H1212">
        <v>0</v>
      </c>
    </row>
    <row r="1213" spans="1:8" x14ac:dyDescent="0.35">
      <c r="A1213">
        <v>10880</v>
      </c>
      <c r="B1213" t="s">
        <v>7</v>
      </c>
      <c r="C1213">
        <v>3</v>
      </c>
      <c r="D1213">
        <v>97</v>
      </c>
      <c r="E1213" t="s">
        <v>8</v>
      </c>
      <c r="F1213" t="s">
        <v>9</v>
      </c>
      <c r="G1213" t="s">
        <v>14</v>
      </c>
      <c r="H1213">
        <v>0</v>
      </c>
    </row>
    <row r="1214" spans="1:8" x14ac:dyDescent="0.35">
      <c r="A1214">
        <v>13069</v>
      </c>
      <c r="B1214" t="s">
        <v>11</v>
      </c>
      <c r="C1214">
        <v>7</v>
      </c>
      <c r="D1214">
        <v>342</v>
      </c>
      <c r="E1214" t="s">
        <v>8</v>
      </c>
      <c r="F1214" t="s">
        <v>13</v>
      </c>
      <c r="G1214" t="s">
        <v>16</v>
      </c>
      <c r="H1214">
        <v>0</v>
      </c>
    </row>
    <row r="1215" spans="1:8" x14ac:dyDescent="0.35">
      <c r="A1215">
        <v>11150</v>
      </c>
      <c r="B1215" t="s">
        <v>7</v>
      </c>
      <c r="C1215">
        <v>1</v>
      </c>
      <c r="D1215">
        <v>278</v>
      </c>
      <c r="E1215" t="s">
        <v>8</v>
      </c>
      <c r="F1215" t="s">
        <v>9</v>
      </c>
      <c r="G1215" t="s">
        <v>12</v>
      </c>
      <c r="H1215">
        <v>0</v>
      </c>
    </row>
    <row r="1216" spans="1:8" x14ac:dyDescent="0.35">
      <c r="A1216">
        <v>10759</v>
      </c>
      <c r="B1216" t="s">
        <v>7</v>
      </c>
      <c r="C1216">
        <v>3</v>
      </c>
      <c r="D1216">
        <v>432</v>
      </c>
      <c r="E1216" t="s">
        <v>8</v>
      </c>
      <c r="F1216" t="s">
        <v>9</v>
      </c>
      <c r="G1216" t="s">
        <v>10</v>
      </c>
      <c r="H1216">
        <v>0</v>
      </c>
    </row>
    <row r="1217" spans="1:8" x14ac:dyDescent="0.35">
      <c r="A1217">
        <v>19816</v>
      </c>
      <c r="B1217" t="s">
        <v>11</v>
      </c>
      <c r="C1217">
        <v>7</v>
      </c>
      <c r="D1217">
        <v>403</v>
      </c>
      <c r="E1217" t="s">
        <v>8</v>
      </c>
      <c r="F1217" t="s">
        <v>9</v>
      </c>
      <c r="G1217" t="s">
        <v>14</v>
      </c>
      <c r="H1217">
        <v>0</v>
      </c>
    </row>
    <row r="1218" spans="1:8" x14ac:dyDescent="0.35">
      <c r="A1218">
        <v>12067</v>
      </c>
      <c r="B1218" t="s">
        <v>7</v>
      </c>
      <c r="C1218">
        <v>9</v>
      </c>
      <c r="D1218">
        <v>181</v>
      </c>
      <c r="E1218" t="s">
        <v>15</v>
      </c>
      <c r="F1218" t="s">
        <v>9</v>
      </c>
      <c r="G1218" t="s">
        <v>14</v>
      </c>
      <c r="H1218">
        <v>1</v>
      </c>
    </row>
    <row r="1219" spans="1:8" x14ac:dyDescent="0.35">
      <c r="A1219">
        <v>18356</v>
      </c>
      <c r="B1219" t="s">
        <v>11</v>
      </c>
      <c r="C1219">
        <v>13</v>
      </c>
      <c r="D1219">
        <v>160</v>
      </c>
      <c r="E1219" t="s">
        <v>8</v>
      </c>
      <c r="F1219" t="s">
        <v>13</v>
      </c>
      <c r="G1219" t="s">
        <v>12</v>
      </c>
      <c r="H1219">
        <v>0</v>
      </c>
    </row>
    <row r="1220" spans="1:8" x14ac:dyDescent="0.35">
      <c r="A1220">
        <v>13348</v>
      </c>
      <c r="B1220" t="s">
        <v>7</v>
      </c>
      <c r="C1220">
        <v>12</v>
      </c>
      <c r="D1220">
        <v>40</v>
      </c>
      <c r="E1220" t="s">
        <v>8</v>
      </c>
      <c r="F1220" t="s">
        <v>13</v>
      </c>
      <c r="G1220" t="s">
        <v>14</v>
      </c>
      <c r="H1220">
        <v>0</v>
      </c>
    </row>
    <row r="1221" spans="1:8" x14ac:dyDescent="0.35">
      <c r="A1221">
        <v>12639</v>
      </c>
      <c r="B1221" t="s">
        <v>7</v>
      </c>
      <c r="C1221">
        <v>10</v>
      </c>
      <c r="D1221">
        <v>367</v>
      </c>
      <c r="E1221" t="s">
        <v>8</v>
      </c>
      <c r="F1221" t="s">
        <v>13</v>
      </c>
      <c r="G1221" t="s">
        <v>10</v>
      </c>
      <c r="H1221">
        <v>0</v>
      </c>
    </row>
    <row r="1222" spans="1:8" x14ac:dyDescent="0.35">
      <c r="A1222">
        <v>11894</v>
      </c>
      <c r="B1222" t="s">
        <v>11</v>
      </c>
      <c r="C1222">
        <v>8</v>
      </c>
      <c r="D1222">
        <v>191</v>
      </c>
      <c r="E1222" t="s">
        <v>8</v>
      </c>
      <c r="F1222" t="s">
        <v>13</v>
      </c>
      <c r="G1222" t="s">
        <v>10</v>
      </c>
      <c r="H1222">
        <v>0</v>
      </c>
    </row>
    <row r="1223" spans="1:8" x14ac:dyDescent="0.35">
      <c r="A1223">
        <v>15018</v>
      </c>
      <c r="B1223" t="s">
        <v>11</v>
      </c>
      <c r="C1223">
        <v>4</v>
      </c>
      <c r="D1223">
        <v>434</v>
      </c>
      <c r="E1223" t="s">
        <v>8</v>
      </c>
      <c r="F1223" t="s">
        <v>9</v>
      </c>
      <c r="G1223" t="s">
        <v>12</v>
      </c>
      <c r="H1223">
        <v>0</v>
      </c>
    </row>
    <row r="1224" spans="1:8" x14ac:dyDescent="0.35">
      <c r="A1224">
        <v>10695</v>
      </c>
      <c r="B1224" t="s">
        <v>7</v>
      </c>
      <c r="C1224">
        <v>8</v>
      </c>
      <c r="D1224">
        <v>87</v>
      </c>
      <c r="E1224" t="s">
        <v>8</v>
      </c>
      <c r="F1224" t="s">
        <v>9</v>
      </c>
      <c r="G1224" t="s">
        <v>10</v>
      </c>
      <c r="H1224">
        <v>0</v>
      </c>
    </row>
    <row r="1225" spans="1:8" x14ac:dyDescent="0.35">
      <c r="A1225">
        <v>12890</v>
      </c>
      <c r="B1225" t="s">
        <v>7</v>
      </c>
      <c r="C1225">
        <v>6</v>
      </c>
      <c r="D1225">
        <v>80</v>
      </c>
      <c r="E1225" t="s">
        <v>15</v>
      </c>
      <c r="F1225" t="s">
        <v>13</v>
      </c>
      <c r="G1225" t="s">
        <v>14</v>
      </c>
      <c r="H1225">
        <v>1</v>
      </c>
    </row>
    <row r="1226" spans="1:8" x14ac:dyDescent="0.35">
      <c r="A1226">
        <v>13699</v>
      </c>
      <c r="B1226" t="s">
        <v>7</v>
      </c>
      <c r="C1226">
        <v>7</v>
      </c>
      <c r="D1226">
        <v>303</v>
      </c>
      <c r="E1226" t="s">
        <v>15</v>
      </c>
      <c r="F1226" t="s">
        <v>13</v>
      </c>
      <c r="G1226" t="s">
        <v>16</v>
      </c>
      <c r="H1226">
        <v>1</v>
      </c>
    </row>
    <row r="1227" spans="1:8" x14ac:dyDescent="0.35">
      <c r="A1227">
        <v>18372</v>
      </c>
      <c r="B1227" t="s">
        <v>11</v>
      </c>
      <c r="C1227">
        <v>14</v>
      </c>
      <c r="D1227">
        <v>118</v>
      </c>
      <c r="E1227" t="s">
        <v>8</v>
      </c>
      <c r="F1227" t="s">
        <v>13</v>
      </c>
      <c r="G1227" t="s">
        <v>10</v>
      </c>
      <c r="H1227">
        <v>0</v>
      </c>
    </row>
    <row r="1228" spans="1:8" x14ac:dyDescent="0.35">
      <c r="A1228">
        <v>17693</v>
      </c>
      <c r="B1228" t="s">
        <v>7</v>
      </c>
      <c r="C1228">
        <v>14</v>
      </c>
      <c r="D1228">
        <v>89</v>
      </c>
      <c r="E1228" t="s">
        <v>8</v>
      </c>
      <c r="F1228" t="s">
        <v>13</v>
      </c>
      <c r="G1228" t="s">
        <v>14</v>
      </c>
      <c r="H1228">
        <v>0</v>
      </c>
    </row>
    <row r="1229" spans="1:8" x14ac:dyDescent="0.35">
      <c r="A1229">
        <v>11871</v>
      </c>
      <c r="B1229" t="s">
        <v>7</v>
      </c>
      <c r="C1229">
        <v>6</v>
      </c>
      <c r="D1229">
        <v>443</v>
      </c>
      <c r="E1229" t="s">
        <v>15</v>
      </c>
      <c r="F1229" t="s">
        <v>9</v>
      </c>
      <c r="G1229" t="s">
        <v>14</v>
      </c>
      <c r="H1229">
        <v>1</v>
      </c>
    </row>
    <row r="1230" spans="1:8" x14ac:dyDescent="0.35">
      <c r="A1230">
        <v>10559</v>
      </c>
      <c r="B1230" t="s">
        <v>11</v>
      </c>
      <c r="C1230">
        <v>5</v>
      </c>
      <c r="D1230">
        <v>325</v>
      </c>
      <c r="E1230" t="s">
        <v>8</v>
      </c>
      <c r="F1230" t="s">
        <v>9</v>
      </c>
      <c r="G1230" t="s">
        <v>10</v>
      </c>
      <c r="H1230">
        <v>0</v>
      </c>
    </row>
    <row r="1231" spans="1:8" x14ac:dyDescent="0.35">
      <c r="A1231">
        <v>17149</v>
      </c>
      <c r="B1231" t="s">
        <v>11</v>
      </c>
      <c r="C1231">
        <v>8</v>
      </c>
      <c r="D1231">
        <v>358</v>
      </c>
      <c r="E1231" t="s">
        <v>8</v>
      </c>
      <c r="F1231" t="s">
        <v>9</v>
      </c>
      <c r="G1231" t="s">
        <v>16</v>
      </c>
      <c r="H1231">
        <v>0</v>
      </c>
    </row>
    <row r="1232" spans="1:8" x14ac:dyDescent="0.35">
      <c r="A1232">
        <v>13281</v>
      </c>
      <c r="B1232" t="s">
        <v>11</v>
      </c>
      <c r="C1232">
        <v>6</v>
      </c>
      <c r="D1232">
        <v>373</v>
      </c>
      <c r="E1232" t="s">
        <v>8</v>
      </c>
      <c r="F1232" t="s">
        <v>9</v>
      </c>
      <c r="G1232" t="s">
        <v>12</v>
      </c>
      <c r="H1232">
        <v>0</v>
      </c>
    </row>
    <row r="1233" spans="1:8" x14ac:dyDescent="0.35">
      <c r="A1233">
        <v>11410</v>
      </c>
      <c r="B1233" t="s">
        <v>11</v>
      </c>
      <c r="C1233">
        <v>12</v>
      </c>
      <c r="D1233">
        <v>437</v>
      </c>
      <c r="E1233" t="s">
        <v>8</v>
      </c>
      <c r="F1233" t="s">
        <v>9</v>
      </c>
      <c r="G1233" t="s">
        <v>16</v>
      </c>
      <c r="H1233">
        <v>0</v>
      </c>
    </row>
    <row r="1234" spans="1:8" x14ac:dyDescent="0.35">
      <c r="A1234">
        <v>17529</v>
      </c>
      <c r="B1234" t="s">
        <v>7</v>
      </c>
      <c r="C1234">
        <v>7</v>
      </c>
      <c r="D1234">
        <v>236</v>
      </c>
      <c r="E1234" t="s">
        <v>8</v>
      </c>
      <c r="F1234" t="s">
        <v>9</v>
      </c>
      <c r="G1234" t="s">
        <v>16</v>
      </c>
      <c r="H1234">
        <v>0</v>
      </c>
    </row>
    <row r="1235" spans="1:8" x14ac:dyDescent="0.35">
      <c r="A1235">
        <v>10846</v>
      </c>
      <c r="B1235" t="s">
        <v>7</v>
      </c>
      <c r="C1235">
        <v>13</v>
      </c>
      <c r="D1235">
        <v>280</v>
      </c>
      <c r="E1235" t="s">
        <v>15</v>
      </c>
      <c r="F1235" t="s">
        <v>9</v>
      </c>
      <c r="G1235" t="s">
        <v>12</v>
      </c>
      <c r="H1235">
        <v>1</v>
      </c>
    </row>
    <row r="1236" spans="1:8" x14ac:dyDescent="0.35">
      <c r="A1236">
        <v>11580</v>
      </c>
      <c r="B1236" t="s">
        <v>7</v>
      </c>
      <c r="C1236">
        <v>7</v>
      </c>
      <c r="D1236">
        <v>40</v>
      </c>
      <c r="E1236" t="s">
        <v>8</v>
      </c>
      <c r="F1236" t="s">
        <v>13</v>
      </c>
      <c r="G1236" t="s">
        <v>16</v>
      </c>
      <c r="H1236">
        <v>0</v>
      </c>
    </row>
    <row r="1237" spans="1:8" x14ac:dyDescent="0.35">
      <c r="A1237">
        <v>11122</v>
      </c>
      <c r="B1237" t="s">
        <v>7</v>
      </c>
      <c r="C1237">
        <v>11</v>
      </c>
      <c r="D1237">
        <v>438</v>
      </c>
      <c r="E1237" t="s">
        <v>8</v>
      </c>
      <c r="F1237" t="s">
        <v>9</v>
      </c>
      <c r="G1237" t="s">
        <v>12</v>
      </c>
      <c r="H1237">
        <v>0</v>
      </c>
    </row>
    <row r="1238" spans="1:8" x14ac:dyDescent="0.35">
      <c r="A1238">
        <v>10045</v>
      </c>
      <c r="B1238" t="s">
        <v>7</v>
      </c>
      <c r="C1238">
        <v>13</v>
      </c>
      <c r="D1238">
        <v>202</v>
      </c>
      <c r="E1238" t="s">
        <v>8</v>
      </c>
      <c r="F1238" t="s">
        <v>13</v>
      </c>
      <c r="G1238" t="s">
        <v>16</v>
      </c>
      <c r="H1238">
        <v>0</v>
      </c>
    </row>
    <row r="1239" spans="1:8" x14ac:dyDescent="0.35">
      <c r="A1239">
        <v>18049</v>
      </c>
      <c r="B1239" t="s">
        <v>11</v>
      </c>
      <c r="C1239">
        <v>4</v>
      </c>
      <c r="D1239">
        <v>55</v>
      </c>
      <c r="E1239" t="s">
        <v>15</v>
      </c>
      <c r="F1239" t="s">
        <v>13</v>
      </c>
      <c r="G1239" t="s">
        <v>10</v>
      </c>
      <c r="H1239">
        <v>1</v>
      </c>
    </row>
    <row r="1240" spans="1:8" x14ac:dyDescent="0.35">
      <c r="A1240">
        <v>11743</v>
      </c>
      <c r="B1240" t="s">
        <v>11</v>
      </c>
      <c r="C1240">
        <v>5</v>
      </c>
      <c r="D1240">
        <v>143</v>
      </c>
      <c r="E1240" t="s">
        <v>15</v>
      </c>
      <c r="F1240" t="s">
        <v>9</v>
      </c>
      <c r="G1240" t="s">
        <v>12</v>
      </c>
      <c r="H1240">
        <v>1</v>
      </c>
    </row>
    <row r="1241" spans="1:8" x14ac:dyDescent="0.35">
      <c r="A1241">
        <v>15814</v>
      </c>
      <c r="B1241" t="s">
        <v>11</v>
      </c>
      <c r="C1241">
        <v>5</v>
      </c>
      <c r="D1241">
        <v>116</v>
      </c>
      <c r="E1241" t="s">
        <v>8</v>
      </c>
      <c r="F1241" t="s">
        <v>13</v>
      </c>
      <c r="G1241" t="s">
        <v>16</v>
      </c>
      <c r="H1241">
        <v>0</v>
      </c>
    </row>
    <row r="1242" spans="1:8" x14ac:dyDescent="0.35">
      <c r="A1242">
        <v>14026</v>
      </c>
      <c r="B1242" t="s">
        <v>7</v>
      </c>
      <c r="C1242">
        <v>6</v>
      </c>
      <c r="D1242">
        <v>187</v>
      </c>
      <c r="E1242" t="s">
        <v>8</v>
      </c>
      <c r="F1242" t="s">
        <v>9</v>
      </c>
      <c r="G1242" t="s">
        <v>16</v>
      </c>
      <c r="H1242">
        <v>0</v>
      </c>
    </row>
    <row r="1243" spans="1:8" x14ac:dyDescent="0.35">
      <c r="A1243">
        <v>11250</v>
      </c>
      <c r="B1243" t="s">
        <v>11</v>
      </c>
      <c r="C1243">
        <v>12</v>
      </c>
      <c r="D1243">
        <v>256</v>
      </c>
      <c r="E1243" t="s">
        <v>8</v>
      </c>
      <c r="F1243" t="s">
        <v>13</v>
      </c>
      <c r="G1243" t="s">
        <v>10</v>
      </c>
      <c r="H1243">
        <v>0</v>
      </c>
    </row>
    <row r="1244" spans="1:8" x14ac:dyDescent="0.35">
      <c r="A1244">
        <v>12249</v>
      </c>
      <c r="B1244" t="s">
        <v>11</v>
      </c>
      <c r="C1244">
        <v>5</v>
      </c>
      <c r="D1244">
        <v>431</v>
      </c>
      <c r="E1244" t="s">
        <v>8</v>
      </c>
      <c r="F1244" t="s">
        <v>13</v>
      </c>
      <c r="G1244" t="s">
        <v>14</v>
      </c>
      <c r="H1244">
        <v>0</v>
      </c>
    </row>
    <row r="1245" spans="1:8" x14ac:dyDescent="0.35">
      <c r="A1245">
        <v>13998</v>
      </c>
      <c r="B1245" t="s">
        <v>7</v>
      </c>
      <c r="C1245">
        <v>3</v>
      </c>
      <c r="D1245">
        <v>212</v>
      </c>
      <c r="E1245" t="s">
        <v>8</v>
      </c>
      <c r="F1245" t="s">
        <v>9</v>
      </c>
      <c r="G1245" t="s">
        <v>14</v>
      </c>
      <c r="H1245">
        <v>0</v>
      </c>
    </row>
    <row r="1246" spans="1:8" x14ac:dyDescent="0.35">
      <c r="A1246">
        <v>16511</v>
      </c>
      <c r="B1246" t="s">
        <v>7</v>
      </c>
      <c r="C1246">
        <v>13</v>
      </c>
      <c r="D1246">
        <v>427</v>
      </c>
      <c r="E1246" t="s">
        <v>8</v>
      </c>
      <c r="F1246" t="s">
        <v>9</v>
      </c>
      <c r="G1246" t="s">
        <v>14</v>
      </c>
      <c r="H1246">
        <v>0</v>
      </c>
    </row>
    <row r="1247" spans="1:8" x14ac:dyDescent="0.35">
      <c r="A1247">
        <v>16307</v>
      </c>
      <c r="B1247" t="s">
        <v>11</v>
      </c>
      <c r="C1247">
        <v>10</v>
      </c>
      <c r="D1247">
        <v>109</v>
      </c>
      <c r="E1247" t="s">
        <v>8</v>
      </c>
      <c r="F1247" t="s">
        <v>13</v>
      </c>
      <c r="G1247" t="s">
        <v>14</v>
      </c>
      <c r="H1247">
        <v>0</v>
      </c>
    </row>
    <row r="1248" spans="1:8" x14ac:dyDescent="0.35">
      <c r="A1248">
        <v>17451</v>
      </c>
      <c r="B1248" t="s">
        <v>7</v>
      </c>
      <c r="C1248">
        <v>14</v>
      </c>
      <c r="D1248">
        <v>46</v>
      </c>
      <c r="E1248" t="s">
        <v>8</v>
      </c>
      <c r="F1248" t="s">
        <v>13</v>
      </c>
      <c r="G1248" t="s">
        <v>10</v>
      </c>
      <c r="H1248">
        <v>0</v>
      </c>
    </row>
    <row r="1249" spans="1:8" x14ac:dyDescent="0.35">
      <c r="A1249">
        <v>12533</v>
      </c>
      <c r="B1249" t="s">
        <v>7</v>
      </c>
      <c r="C1249">
        <v>7</v>
      </c>
      <c r="D1249">
        <v>231</v>
      </c>
      <c r="E1249" t="s">
        <v>8</v>
      </c>
      <c r="F1249" t="s">
        <v>9</v>
      </c>
      <c r="G1249" t="s">
        <v>12</v>
      </c>
      <c r="H1249">
        <v>0</v>
      </c>
    </row>
    <row r="1250" spans="1:8" x14ac:dyDescent="0.35">
      <c r="A1250">
        <v>10776</v>
      </c>
      <c r="B1250" t="s">
        <v>11</v>
      </c>
      <c r="C1250">
        <v>5</v>
      </c>
      <c r="D1250">
        <v>214</v>
      </c>
      <c r="E1250" t="s">
        <v>8</v>
      </c>
      <c r="F1250" t="s">
        <v>13</v>
      </c>
      <c r="G1250" t="s">
        <v>10</v>
      </c>
      <c r="H1250">
        <v>0</v>
      </c>
    </row>
    <row r="1251" spans="1:8" x14ac:dyDescent="0.35">
      <c r="A1251">
        <v>10800</v>
      </c>
      <c r="B1251" t="s">
        <v>7</v>
      </c>
      <c r="C1251">
        <v>3</v>
      </c>
      <c r="D1251">
        <v>430</v>
      </c>
      <c r="E1251" t="s">
        <v>8</v>
      </c>
      <c r="F1251" t="s">
        <v>9</v>
      </c>
      <c r="G1251" t="s">
        <v>14</v>
      </c>
      <c r="H1251">
        <v>0</v>
      </c>
    </row>
    <row r="1252" spans="1:8" x14ac:dyDescent="0.35">
      <c r="A1252">
        <v>13683</v>
      </c>
      <c r="B1252" t="s">
        <v>11</v>
      </c>
      <c r="C1252">
        <v>13</v>
      </c>
      <c r="D1252">
        <v>92</v>
      </c>
      <c r="E1252" t="s">
        <v>8</v>
      </c>
      <c r="F1252" t="s">
        <v>9</v>
      </c>
      <c r="G1252" t="s">
        <v>16</v>
      </c>
      <c r="H1252">
        <v>0</v>
      </c>
    </row>
    <row r="1253" spans="1:8" x14ac:dyDescent="0.35">
      <c r="A1253">
        <v>12125</v>
      </c>
      <c r="B1253" t="s">
        <v>11</v>
      </c>
      <c r="C1253">
        <v>8</v>
      </c>
      <c r="D1253">
        <v>363</v>
      </c>
      <c r="E1253" t="s">
        <v>8</v>
      </c>
      <c r="F1253" t="s">
        <v>13</v>
      </c>
      <c r="G1253" t="s">
        <v>12</v>
      </c>
      <c r="H1253">
        <v>0</v>
      </c>
    </row>
    <row r="1254" spans="1:8" x14ac:dyDescent="0.35">
      <c r="A1254">
        <v>12563</v>
      </c>
      <c r="B1254" t="s">
        <v>7</v>
      </c>
      <c r="C1254">
        <v>12</v>
      </c>
      <c r="D1254">
        <v>300</v>
      </c>
      <c r="E1254" t="s">
        <v>8</v>
      </c>
      <c r="F1254" t="s">
        <v>9</v>
      </c>
      <c r="G1254" t="s">
        <v>10</v>
      </c>
      <c r="H1254">
        <v>0</v>
      </c>
    </row>
    <row r="1255" spans="1:8" x14ac:dyDescent="0.35">
      <c r="A1255">
        <v>17331</v>
      </c>
      <c r="B1255" t="s">
        <v>7</v>
      </c>
      <c r="C1255">
        <v>6</v>
      </c>
      <c r="D1255">
        <v>352</v>
      </c>
      <c r="E1255" t="s">
        <v>8</v>
      </c>
      <c r="F1255" t="s">
        <v>13</v>
      </c>
      <c r="G1255" t="s">
        <v>10</v>
      </c>
      <c r="H1255">
        <v>0</v>
      </c>
    </row>
    <row r="1256" spans="1:8" x14ac:dyDescent="0.35">
      <c r="A1256">
        <v>18077</v>
      </c>
      <c r="B1256" t="s">
        <v>11</v>
      </c>
      <c r="C1256">
        <v>5</v>
      </c>
      <c r="D1256">
        <v>161</v>
      </c>
      <c r="E1256" t="s">
        <v>8</v>
      </c>
      <c r="F1256" t="s">
        <v>13</v>
      </c>
      <c r="G1256" t="s">
        <v>12</v>
      </c>
      <c r="H1256">
        <v>0</v>
      </c>
    </row>
    <row r="1257" spans="1:8" x14ac:dyDescent="0.35">
      <c r="A1257">
        <v>17469</v>
      </c>
      <c r="B1257" t="s">
        <v>7</v>
      </c>
      <c r="C1257">
        <v>9</v>
      </c>
      <c r="D1257">
        <v>320</v>
      </c>
      <c r="E1257" t="s">
        <v>8</v>
      </c>
      <c r="F1257" t="s">
        <v>13</v>
      </c>
      <c r="G1257" t="s">
        <v>14</v>
      </c>
      <c r="H1257">
        <v>0</v>
      </c>
    </row>
    <row r="1258" spans="1:8" x14ac:dyDescent="0.35">
      <c r="A1258">
        <v>16854</v>
      </c>
      <c r="B1258" t="s">
        <v>7</v>
      </c>
      <c r="C1258">
        <v>3</v>
      </c>
      <c r="D1258">
        <v>99</v>
      </c>
      <c r="E1258" t="s">
        <v>8</v>
      </c>
      <c r="F1258" t="s">
        <v>13</v>
      </c>
      <c r="G1258" t="s">
        <v>12</v>
      </c>
      <c r="H1258">
        <v>0</v>
      </c>
    </row>
    <row r="1259" spans="1:8" x14ac:dyDescent="0.35">
      <c r="A1259">
        <v>11768</v>
      </c>
      <c r="B1259" t="s">
        <v>7</v>
      </c>
      <c r="C1259">
        <v>7</v>
      </c>
      <c r="D1259">
        <v>327</v>
      </c>
      <c r="E1259" t="s">
        <v>8</v>
      </c>
      <c r="F1259" t="s">
        <v>9</v>
      </c>
      <c r="G1259" t="s">
        <v>12</v>
      </c>
      <c r="H1259">
        <v>0</v>
      </c>
    </row>
    <row r="1260" spans="1:8" x14ac:dyDescent="0.35">
      <c r="A1260">
        <v>15722</v>
      </c>
      <c r="B1260" t="s">
        <v>7</v>
      </c>
      <c r="C1260">
        <v>10</v>
      </c>
      <c r="D1260">
        <v>322</v>
      </c>
      <c r="E1260" t="s">
        <v>8</v>
      </c>
      <c r="F1260" t="s">
        <v>9</v>
      </c>
      <c r="G1260" t="s">
        <v>12</v>
      </c>
      <c r="H1260">
        <v>0</v>
      </c>
    </row>
    <row r="1261" spans="1:8" x14ac:dyDescent="0.35">
      <c r="A1261">
        <v>17673</v>
      </c>
      <c r="B1261" t="s">
        <v>7</v>
      </c>
      <c r="C1261">
        <v>9</v>
      </c>
      <c r="D1261">
        <v>119</v>
      </c>
      <c r="E1261" t="s">
        <v>8</v>
      </c>
      <c r="F1261" t="s">
        <v>13</v>
      </c>
      <c r="G1261" t="s">
        <v>10</v>
      </c>
      <c r="H1261">
        <v>0</v>
      </c>
    </row>
    <row r="1262" spans="1:8" x14ac:dyDescent="0.35">
      <c r="A1262">
        <v>16384</v>
      </c>
      <c r="B1262" t="s">
        <v>7</v>
      </c>
      <c r="C1262">
        <v>4</v>
      </c>
      <c r="D1262">
        <v>375</v>
      </c>
      <c r="E1262" t="s">
        <v>8</v>
      </c>
      <c r="F1262" t="s">
        <v>9</v>
      </c>
      <c r="G1262" t="s">
        <v>10</v>
      </c>
      <c r="H1262">
        <v>0</v>
      </c>
    </row>
    <row r="1263" spans="1:8" x14ac:dyDescent="0.35">
      <c r="A1263">
        <v>10803</v>
      </c>
      <c r="B1263" t="s">
        <v>7</v>
      </c>
      <c r="C1263">
        <v>1</v>
      </c>
      <c r="D1263">
        <v>326</v>
      </c>
      <c r="E1263" t="s">
        <v>8</v>
      </c>
      <c r="F1263" t="s">
        <v>13</v>
      </c>
      <c r="G1263" t="s">
        <v>12</v>
      </c>
      <c r="H1263">
        <v>0</v>
      </c>
    </row>
    <row r="1264" spans="1:8" x14ac:dyDescent="0.35">
      <c r="A1264">
        <v>14877</v>
      </c>
      <c r="B1264" t="s">
        <v>7</v>
      </c>
      <c r="C1264">
        <v>10</v>
      </c>
      <c r="D1264">
        <v>394</v>
      </c>
      <c r="E1264" t="s">
        <v>8</v>
      </c>
      <c r="F1264" t="s">
        <v>13</v>
      </c>
      <c r="G1264" t="s">
        <v>14</v>
      </c>
      <c r="H1264">
        <v>0</v>
      </c>
    </row>
    <row r="1265" spans="1:8" x14ac:dyDescent="0.35">
      <c r="A1265">
        <v>16483</v>
      </c>
      <c r="B1265" t="s">
        <v>7</v>
      </c>
      <c r="C1265">
        <v>11</v>
      </c>
      <c r="D1265">
        <v>237</v>
      </c>
      <c r="E1265" t="s">
        <v>8</v>
      </c>
      <c r="F1265" t="s">
        <v>9</v>
      </c>
      <c r="G1265" t="s">
        <v>16</v>
      </c>
      <c r="H1265">
        <v>0</v>
      </c>
    </row>
    <row r="1266" spans="1:8" x14ac:dyDescent="0.35">
      <c r="A1266">
        <v>18928</v>
      </c>
      <c r="B1266" t="s">
        <v>11</v>
      </c>
      <c r="C1266">
        <v>2</v>
      </c>
      <c r="D1266">
        <v>88</v>
      </c>
      <c r="E1266" t="s">
        <v>8</v>
      </c>
      <c r="F1266" t="s">
        <v>9</v>
      </c>
      <c r="G1266" t="s">
        <v>14</v>
      </c>
      <c r="H1266">
        <v>0</v>
      </c>
    </row>
    <row r="1267" spans="1:8" x14ac:dyDescent="0.35">
      <c r="A1267">
        <v>13084</v>
      </c>
      <c r="B1267" t="s">
        <v>11</v>
      </c>
      <c r="C1267">
        <v>13</v>
      </c>
      <c r="D1267">
        <v>221</v>
      </c>
      <c r="E1267" t="s">
        <v>8</v>
      </c>
      <c r="F1267" t="s">
        <v>9</v>
      </c>
      <c r="G1267" t="s">
        <v>14</v>
      </c>
      <c r="H1267">
        <v>0</v>
      </c>
    </row>
    <row r="1268" spans="1:8" x14ac:dyDescent="0.35">
      <c r="A1268">
        <v>18345</v>
      </c>
      <c r="B1268" t="s">
        <v>11</v>
      </c>
      <c r="C1268">
        <v>13</v>
      </c>
      <c r="D1268">
        <v>99</v>
      </c>
      <c r="E1268" t="s">
        <v>8</v>
      </c>
      <c r="F1268" t="s">
        <v>13</v>
      </c>
      <c r="G1268" t="s">
        <v>10</v>
      </c>
      <c r="H1268">
        <v>0</v>
      </c>
    </row>
    <row r="1269" spans="1:8" x14ac:dyDescent="0.35">
      <c r="A1269">
        <v>11722</v>
      </c>
      <c r="B1269" t="s">
        <v>7</v>
      </c>
      <c r="C1269">
        <v>1</v>
      </c>
      <c r="D1269">
        <v>361</v>
      </c>
      <c r="E1269" t="s">
        <v>8</v>
      </c>
      <c r="F1269" t="s">
        <v>9</v>
      </c>
      <c r="G1269" t="s">
        <v>14</v>
      </c>
      <c r="H1269">
        <v>0</v>
      </c>
    </row>
    <row r="1270" spans="1:8" x14ac:dyDescent="0.35">
      <c r="A1270">
        <v>12213</v>
      </c>
      <c r="B1270" t="s">
        <v>11</v>
      </c>
      <c r="C1270">
        <v>9</v>
      </c>
      <c r="D1270">
        <v>200</v>
      </c>
      <c r="E1270" t="s">
        <v>8</v>
      </c>
      <c r="F1270" t="s">
        <v>13</v>
      </c>
      <c r="G1270" t="s">
        <v>12</v>
      </c>
      <c r="H1270">
        <v>0</v>
      </c>
    </row>
    <row r="1271" spans="1:8" x14ac:dyDescent="0.35">
      <c r="A1271">
        <v>18937</v>
      </c>
      <c r="B1271" t="s">
        <v>11</v>
      </c>
      <c r="C1271">
        <v>5</v>
      </c>
      <c r="D1271">
        <v>252</v>
      </c>
      <c r="E1271" t="s">
        <v>8</v>
      </c>
      <c r="F1271" t="s">
        <v>13</v>
      </c>
      <c r="G1271" t="s">
        <v>10</v>
      </c>
      <c r="H1271">
        <v>0</v>
      </c>
    </row>
    <row r="1272" spans="1:8" x14ac:dyDescent="0.35">
      <c r="A1272">
        <v>19756</v>
      </c>
      <c r="B1272" t="s">
        <v>11</v>
      </c>
      <c r="C1272">
        <v>13</v>
      </c>
      <c r="D1272">
        <v>380</v>
      </c>
      <c r="E1272" t="s">
        <v>8</v>
      </c>
      <c r="F1272" t="s">
        <v>13</v>
      </c>
      <c r="G1272" t="s">
        <v>16</v>
      </c>
      <c r="H1272">
        <v>0</v>
      </c>
    </row>
    <row r="1273" spans="1:8" x14ac:dyDescent="0.35">
      <c r="A1273">
        <v>15979</v>
      </c>
      <c r="B1273" t="s">
        <v>7</v>
      </c>
      <c r="C1273">
        <v>14</v>
      </c>
      <c r="D1273">
        <v>107</v>
      </c>
      <c r="E1273" t="s">
        <v>8</v>
      </c>
      <c r="F1273" t="s">
        <v>9</v>
      </c>
      <c r="G1273" t="s">
        <v>12</v>
      </c>
      <c r="H1273">
        <v>0</v>
      </c>
    </row>
    <row r="1274" spans="1:8" x14ac:dyDescent="0.35">
      <c r="A1274">
        <v>13023</v>
      </c>
      <c r="B1274" t="s">
        <v>11</v>
      </c>
      <c r="C1274">
        <v>10</v>
      </c>
      <c r="D1274">
        <v>448</v>
      </c>
      <c r="E1274" t="s">
        <v>8</v>
      </c>
      <c r="F1274" t="s">
        <v>9</v>
      </c>
      <c r="G1274" t="s">
        <v>12</v>
      </c>
      <c r="H1274">
        <v>0</v>
      </c>
    </row>
    <row r="1275" spans="1:8" x14ac:dyDescent="0.35">
      <c r="A1275">
        <v>16843</v>
      </c>
      <c r="B1275" t="s">
        <v>11</v>
      </c>
      <c r="C1275">
        <v>4</v>
      </c>
      <c r="D1275">
        <v>300</v>
      </c>
      <c r="E1275" t="s">
        <v>15</v>
      </c>
      <c r="F1275" t="s">
        <v>9</v>
      </c>
      <c r="G1275" t="s">
        <v>16</v>
      </c>
      <c r="H1275">
        <v>1</v>
      </c>
    </row>
    <row r="1276" spans="1:8" x14ac:dyDescent="0.35">
      <c r="A1276">
        <v>18880</v>
      </c>
      <c r="B1276" t="s">
        <v>7</v>
      </c>
      <c r="C1276">
        <v>4</v>
      </c>
      <c r="D1276">
        <v>217</v>
      </c>
      <c r="E1276" t="s">
        <v>8</v>
      </c>
      <c r="F1276" t="s">
        <v>13</v>
      </c>
      <c r="G1276" t="s">
        <v>12</v>
      </c>
      <c r="H1276">
        <v>0</v>
      </c>
    </row>
    <row r="1277" spans="1:8" x14ac:dyDescent="0.35">
      <c r="A1277">
        <v>11331</v>
      </c>
      <c r="B1277" t="s">
        <v>7</v>
      </c>
      <c r="C1277">
        <v>14</v>
      </c>
      <c r="D1277">
        <v>206</v>
      </c>
      <c r="E1277" t="s">
        <v>8</v>
      </c>
      <c r="F1277" t="s">
        <v>9</v>
      </c>
      <c r="G1277" t="s">
        <v>10</v>
      </c>
      <c r="H1277">
        <v>0</v>
      </c>
    </row>
    <row r="1278" spans="1:8" x14ac:dyDescent="0.35">
      <c r="A1278">
        <v>17793</v>
      </c>
      <c r="B1278" t="s">
        <v>11</v>
      </c>
      <c r="C1278">
        <v>14</v>
      </c>
      <c r="D1278">
        <v>407</v>
      </c>
      <c r="E1278" t="s">
        <v>8</v>
      </c>
      <c r="F1278" t="s">
        <v>13</v>
      </c>
      <c r="G1278" t="s">
        <v>14</v>
      </c>
      <c r="H1278">
        <v>0</v>
      </c>
    </row>
    <row r="1279" spans="1:8" x14ac:dyDescent="0.35">
      <c r="A1279">
        <v>16540</v>
      </c>
      <c r="B1279" t="s">
        <v>11</v>
      </c>
      <c r="C1279">
        <v>10</v>
      </c>
      <c r="D1279">
        <v>83</v>
      </c>
      <c r="E1279" t="s">
        <v>8</v>
      </c>
      <c r="F1279" t="s">
        <v>9</v>
      </c>
      <c r="G1279" t="s">
        <v>16</v>
      </c>
      <c r="H1279">
        <v>0</v>
      </c>
    </row>
    <row r="1280" spans="1:8" x14ac:dyDescent="0.35">
      <c r="A1280">
        <v>12177</v>
      </c>
      <c r="B1280" t="s">
        <v>11</v>
      </c>
      <c r="C1280">
        <v>9</v>
      </c>
      <c r="D1280">
        <v>226</v>
      </c>
      <c r="E1280" t="s">
        <v>8</v>
      </c>
      <c r="F1280" t="s">
        <v>9</v>
      </c>
      <c r="G1280" t="s">
        <v>12</v>
      </c>
      <c r="H1280">
        <v>0</v>
      </c>
    </row>
    <row r="1281" spans="1:8" x14ac:dyDescent="0.35">
      <c r="A1281">
        <v>15052</v>
      </c>
      <c r="B1281" t="s">
        <v>11</v>
      </c>
      <c r="C1281">
        <v>2</v>
      </c>
      <c r="D1281">
        <v>188</v>
      </c>
      <c r="E1281" t="s">
        <v>8</v>
      </c>
      <c r="F1281" t="s">
        <v>13</v>
      </c>
      <c r="G1281" t="s">
        <v>16</v>
      </c>
      <c r="H1281">
        <v>0</v>
      </c>
    </row>
    <row r="1282" spans="1:8" x14ac:dyDescent="0.35">
      <c r="A1282">
        <v>14084</v>
      </c>
      <c r="B1282" t="s">
        <v>7</v>
      </c>
      <c r="C1282">
        <v>2</v>
      </c>
      <c r="D1282">
        <v>91</v>
      </c>
      <c r="E1282" t="s">
        <v>8</v>
      </c>
      <c r="F1282" t="s">
        <v>9</v>
      </c>
      <c r="G1282" t="s">
        <v>12</v>
      </c>
      <c r="H1282">
        <v>0</v>
      </c>
    </row>
    <row r="1283" spans="1:8" x14ac:dyDescent="0.35">
      <c r="A1283">
        <v>19841</v>
      </c>
      <c r="B1283" t="s">
        <v>7</v>
      </c>
      <c r="C1283">
        <v>1</v>
      </c>
      <c r="D1283">
        <v>61</v>
      </c>
      <c r="E1283" t="s">
        <v>8</v>
      </c>
      <c r="F1283" t="s">
        <v>13</v>
      </c>
      <c r="G1283" t="s">
        <v>16</v>
      </c>
      <c r="H1283">
        <v>0</v>
      </c>
    </row>
    <row r="1284" spans="1:8" x14ac:dyDescent="0.35">
      <c r="A1284">
        <v>14629</v>
      </c>
      <c r="B1284" t="s">
        <v>7</v>
      </c>
      <c r="C1284">
        <v>9</v>
      </c>
      <c r="D1284">
        <v>424</v>
      </c>
      <c r="E1284" t="s">
        <v>15</v>
      </c>
      <c r="F1284" t="s">
        <v>9</v>
      </c>
      <c r="G1284" t="s">
        <v>14</v>
      </c>
      <c r="H1284">
        <v>1</v>
      </c>
    </row>
    <row r="1285" spans="1:8" x14ac:dyDescent="0.35">
      <c r="A1285">
        <v>16711</v>
      </c>
      <c r="B1285" t="s">
        <v>11</v>
      </c>
      <c r="C1285">
        <v>14</v>
      </c>
      <c r="D1285">
        <v>410</v>
      </c>
      <c r="E1285" t="s">
        <v>8</v>
      </c>
      <c r="F1285" t="s">
        <v>9</v>
      </c>
      <c r="G1285" t="s">
        <v>14</v>
      </c>
      <c r="H1285">
        <v>0</v>
      </c>
    </row>
    <row r="1286" spans="1:8" x14ac:dyDescent="0.35">
      <c r="A1286">
        <v>13070</v>
      </c>
      <c r="B1286" t="s">
        <v>11</v>
      </c>
      <c r="C1286">
        <v>8</v>
      </c>
      <c r="D1286">
        <v>187</v>
      </c>
      <c r="E1286" t="s">
        <v>8</v>
      </c>
      <c r="F1286" t="s">
        <v>13</v>
      </c>
      <c r="G1286" t="s">
        <v>14</v>
      </c>
      <c r="H1286">
        <v>0</v>
      </c>
    </row>
    <row r="1287" spans="1:8" x14ac:dyDescent="0.35">
      <c r="A1287">
        <v>10850</v>
      </c>
      <c r="B1287" t="s">
        <v>11</v>
      </c>
      <c r="C1287">
        <v>14</v>
      </c>
      <c r="D1287">
        <v>366</v>
      </c>
      <c r="E1287" t="s">
        <v>8</v>
      </c>
      <c r="F1287" t="s">
        <v>9</v>
      </c>
      <c r="G1287" t="s">
        <v>16</v>
      </c>
      <c r="H1287">
        <v>0</v>
      </c>
    </row>
    <row r="1288" spans="1:8" x14ac:dyDescent="0.35">
      <c r="A1288">
        <v>11265</v>
      </c>
      <c r="B1288" t="s">
        <v>11</v>
      </c>
      <c r="C1288">
        <v>5</v>
      </c>
      <c r="D1288">
        <v>369</v>
      </c>
      <c r="E1288" t="s">
        <v>8</v>
      </c>
      <c r="F1288" t="s">
        <v>9</v>
      </c>
      <c r="G1288" t="s">
        <v>12</v>
      </c>
      <c r="H1288">
        <v>0</v>
      </c>
    </row>
    <row r="1289" spans="1:8" x14ac:dyDescent="0.35">
      <c r="A1289">
        <v>19429</v>
      </c>
      <c r="B1289" t="s">
        <v>7</v>
      </c>
      <c r="C1289">
        <v>13</v>
      </c>
      <c r="D1289">
        <v>447</v>
      </c>
      <c r="E1289" t="s">
        <v>8</v>
      </c>
      <c r="F1289" t="s">
        <v>13</v>
      </c>
      <c r="G1289" t="s">
        <v>14</v>
      </c>
      <c r="H1289">
        <v>0</v>
      </c>
    </row>
    <row r="1290" spans="1:8" x14ac:dyDescent="0.35">
      <c r="A1290">
        <v>14830</v>
      </c>
      <c r="B1290" t="s">
        <v>11</v>
      </c>
      <c r="C1290">
        <v>1</v>
      </c>
      <c r="D1290">
        <v>191</v>
      </c>
      <c r="E1290" t="s">
        <v>8</v>
      </c>
      <c r="F1290" t="s">
        <v>13</v>
      </c>
      <c r="G1290" t="s">
        <v>12</v>
      </c>
      <c r="H1290">
        <v>0</v>
      </c>
    </row>
    <row r="1291" spans="1:8" x14ac:dyDescent="0.35">
      <c r="A1291">
        <v>19122</v>
      </c>
      <c r="B1291" t="s">
        <v>7</v>
      </c>
      <c r="C1291">
        <v>4</v>
      </c>
      <c r="D1291">
        <v>240</v>
      </c>
      <c r="E1291" t="s">
        <v>8</v>
      </c>
      <c r="F1291" t="s">
        <v>13</v>
      </c>
      <c r="G1291" t="s">
        <v>16</v>
      </c>
      <c r="H1291">
        <v>0</v>
      </c>
    </row>
    <row r="1292" spans="1:8" x14ac:dyDescent="0.35">
      <c r="A1292">
        <v>16662</v>
      </c>
      <c r="B1292" t="s">
        <v>7</v>
      </c>
      <c r="C1292">
        <v>1</v>
      </c>
      <c r="D1292">
        <v>219</v>
      </c>
      <c r="E1292" t="s">
        <v>8</v>
      </c>
      <c r="F1292" t="s">
        <v>13</v>
      </c>
      <c r="G1292" t="s">
        <v>12</v>
      </c>
      <c r="H1292">
        <v>0</v>
      </c>
    </row>
    <row r="1293" spans="1:8" x14ac:dyDescent="0.35">
      <c r="A1293">
        <v>10135</v>
      </c>
      <c r="B1293" t="s">
        <v>11</v>
      </c>
      <c r="C1293">
        <v>13</v>
      </c>
      <c r="D1293">
        <v>401</v>
      </c>
      <c r="E1293" t="s">
        <v>8</v>
      </c>
      <c r="F1293" t="s">
        <v>9</v>
      </c>
      <c r="G1293" t="s">
        <v>10</v>
      </c>
      <c r="H1293">
        <v>0</v>
      </c>
    </row>
    <row r="1294" spans="1:8" x14ac:dyDescent="0.35">
      <c r="A1294">
        <v>17423</v>
      </c>
      <c r="B1294" t="s">
        <v>7</v>
      </c>
      <c r="C1294">
        <v>7</v>
      </c>
      <c r="D1294">
        <v>370</v>
      </c>
      <c r="E1294" t="s">
        <v>8</v>
      </c>
      <c r="F1294" t="s">
        <v>13</v>
      </c>
      <c r="G1294" t="s">
        <v>14</v>
      </c>
      <c r="H1294">
        <v>0</v>
      </c>
    </row>
    <row r="1295" spans="1:8" x14ac:dyDescent="0.35">
      <c r="A1295">
        <v>17238</v>
      </c>
      <c r="B1295" t="s">
        <v>7</v>
      </c>
      <c r="C1295">
        <v>14</v>
      </c>
      <c r="D1295">
        <v>306</v>
      </c>
      <c r="E1295" t="s">
        <v>8</v>
      </c>
      <c r="F1295" t="s">
        <v>9</v>
      </c>
      <c r="G1295" t="s">
        <v>16</v>
      </c>
      <c r="H1295">
        <v>0</v>
      </c>
    </row>
    <row r="1296" spans="1:8" x14ac:dyDescent="0.35">
      <c r="A1296">
        <v>14020</v>
      </c>
      <c r="B1296" t="s">
        <v>11</v>
      </c>
      <c r="C1296">
        <v>5</v>
      </c>
      <c r="D1296">
        <v>152</v>
      </c>
      <c r="E1296" t="s">
        <v>8</v>
      </c>
      <c r="F1296" t="s">
        <v>13</v>
      </c>
      <c r="G1296" t="s">
        <v>16</v>
      </c>
      <c r="H1296">
        <v>0</v>
      </c>
    </row>
    <row r="1297" spans="1:8" x14ac:dyDescent="0.35">
      <c r="A1297">
        <v>19050</v>
      </c>
      <c r="B1297" t="s">
        <v>7</v>
      </c>
      <c r="C1297">
        <v>5</v>
      </c>
      <c r="D1297">
        <v>197</v>
      </c>
      <c r="E1297" t="s">
        <v>15</v>
      </c>
      <c r="F1297" t="s">
        <v>13</v>
      </c>
      <c r="G1297" t="s">
        <v>16</v>
      </c>
      <c r="H1297">
        <v>1</v>
      </c>
    </row>
    <row r="1298" spans="1:8" x14ac:dyDescent="0.35">
      <c r="A1298">
        <v>14791</v>
      </c>
      <c r="B1298" t="s">
        <v>7</v>
      </c>
      <c r="C1298">
        <v>1</v>
      </c>
      <c r="D1298">
        <v>367</v>
      </c>
      <c r="E1298" t="s">
        <v>8</v>
      </c>
      <c r="F1298" t="s">
        <v>13</v>
      </c>
      <c r="G1298" t="s">
        <v>10</v>
      </c>
      <c r="H1298">
        <v>0</v>
      </c>
    </row>
    <row r="1299" spans="1:8" x14ac:dyDescent="0.35">
      <c r="A1299">
        <v>14503</v>
      </c>
      <c r="B1299" t="s">
        <v>11</v>
      </c>
      <c r="C1299">
        <v>12</v>
      </c>
      <c r="D1299">
        <v>335</v>
      </c>
      <c r="E1299" t="s">
        <v>8</v>
      </c>
      <c r="F1299" t="s">
        <v>13</v>
      </c>
      <c r="G1299" t="s">
        <v>12</v>
      </c>
      <c r="H1299">
        <v>0</v>
      </c>
    </row>
    <row r="1300" spans="1:8" x14ac:dyDescent="0.35">
      <c r="A1300">
        <v>15935</v>
      </c>
      <c r="B1300" t="s">
        <v>7</v>
      </c>
      <c r="C1300">
        <v>7</v>
      </c>
      <c r="D1300">
        <v>47</v>
      </c>
      <c r="E1300" t="s">
        <v>8</v>
      </c>
      <c r="F1300" t="s">
        <v>9</v>
      </c>
      <c r="G1300" t="s">
        <v>16</v>
      </c>
      <c r="H1300">
        <v>0</v>
      </c>
    </row>
    <row r="1301" spans="1:8" x14ac:dyDescent="0.35">
      <c r="A1301">
        <v>14940</v>
      </c>
      <c r="B1301" t="s">
        <v>7</v>
      </c>
      <c r="C1301">
        <v>7</v>
      </c>
      <c r="D1301">
        <v>117</v>
      </c>
      <c r="E1301" t="s">
        <v>15</v>
      </c>
      <c r="F1301" t="s">
        <v>9</v>
      </c>
      <c r="G1301" t="s">
        <v>14</v>
      </c>
      <c r="H1301">
        <v>1</v>
      </c>
    </row>
    <row r="1302" spans="1:8" x14ac:dyDescent="0.35">
      <c r="A1302">
        <v>12958</v>
      </c>
      <c r="B1302" t="s">
        <v>7</v>
      </c>
      <c r="C1302">
        <v>10</v>
      </c>
      <c r="D1302">
        <v>186</v>
      </c>
      <c r="E1302" t="s">
        <v>8</v>
      </c>
      <c r="F1302" t="s">
        <v>13</v>
      </c>
      <c r="G1302" t="s">
        <v>16</v>
      </c>
      <c r="H1302">
        <v>0</v>
      </c>
    </row>
    <row r="1303" spans="1:8" x14ac:dyDescent="0.35">
      <c r="A1303">
        <v>16920</v>
      </c>
      <c r="B1303" t="s">
        <v>7</v>
      </c>
      <c r="C1303">
        <v>10</v>
      </c>
      <c r="D1303">
        <v>370</v>
      </c>
      <c r="E1303" t="s">
        <v>8</v>
      </c>
      <c r="F1303" t="s">
        <v>9</v>
      </c>
      <c r="G1303" t="s">
        <v>12</v>
      </c>
      <c r="H1303">
        <v>0</v>
      </c>
    </row>
    <row r="1304" spans="1:8" x14ac:dyDescent="0.35">
      <c r="A1304">
        <v>12193</v>
      </c>
      <c r="B1304" t="s">
        <v>7</v>
      </c>
      <c r="C1304">
        <v>11</v>
      </c>
      <c r="D1304">
        <v>138</v>
      </c>
      <c r="E1304" t="s">
        <v>8</v>
      </c>
      <c r="F1304" t="s">
        <v>13</v>
      </c>
      <c r="G1304" t="s">
        <v>16</v>
      </c>
      <c r="H1304">
        <v>0</v>
      </c>
    </row>
    <row r="1305" spans="1:8" x14ac:dyDescent="0.35">
      <c r="A1305">
        <v>12837</v>
      </c>
      <c r="B1305" t="s">
        <v>7</v>
      </c>
      <c r="C1305">
        <v>6</v>
      </c>
      <c r="D1305">
        <v>54</v>
      </c>
      <c r="E1305" t="s">
        <v>8</v>
      </c>
      <c r="F1305" t="s">
        <v>13</v>
      </c>
      <c r="G1305" t="s">
        <v>14</v>
      </c>
      <c r="H1305">
        <v>0</v>
      </c>
    </row>
    <row r="1306" spans="1:8" x14ac:dyDescent="0.35">
      <c r="A1306">
        <v>15082</v>
      </c>
      <c r="B1306" t="s">
        <v>7</v>
      </c>
      <c r="C1306">
        <v>11</v>
      </c>
      <c r="D1306">
        <v>102</v>
      </c>
      <c r="E1306" t="s">
        <v>8</v>
      </c>
      <c r="F1306" t="s">
        <v>13</v>
      </c>
      <c r="G1306" t="s">
        <v>12</v>
      </c>
      <c r="H1306">
        <v>0</v>
      </c>
    </row>
    <row r="1307" spans="1:8" x14ac:dyDescent="0.35">
      <c r="A1307">
        <v>10642</v>
      </c>
      <c r="B1307" t="s">
        <v>7</v>
      </c>
      <c r="C1307">
        <v>3</v>
      </c>
      <c r="D1307">
        <v>105</v>
      </c>
      <c r="E1307" t="s">
        <v>8</v>
      </c>
      <c r="F1307" t="s">
        <v>13</v>
      </c>
      <c r="G1307" t="s">
        <v>10</v>
      </c>
      <c r="H1307">
        <v>0</v>
      </c>
    </row>
    <row r="1308" spans="1:8" x14ac:dyDescent="0.35">
      <c r="A1308">
        <v>13705</v>
      </c>
      <c r="B1308" t="s">
        <v>7</v>
      </c>
      <c r="C1308">
        <v>4</v>
      </c>
      <c r="D1308">
        <v>423</v>
      </c>
      <c r="E1308" t="s">
        <v>8</v>
      </c>
      <c r="F1308" t="s">
        <v>13</v>
      </c>
      <c r="G1308" t="s">
        <v>16</v>
      </c>
      <c r="H1308">
        <v>0</v>
      </c>
    </row>
    <row r="1309" spans="1:8" x14ac:dyDescent="0.35">
      <c r="A1309">
        <v>13643</v>
      </c>
      <c r="B1309" t="s">
        <v>7</v>
      </c>
      <c r="C1309">
        <v>4</v>
      </c>
      <c r="D1309">
        <v>84</v>
      </c>
      <c r="E1309" t="s">
        <v>8</v>
      </c>
      <c r="F1309" t="s">
        <v>13</v>
      </c>
      <c r="G1309" t="s">
        <v>10</v>
      </c>
      <c r="H1309">
        <v>0</v>
      </c>
    </row>
    <row r="1310" spans="1:8" x14ac:dyDescent="0.35">
      <c r="A1310">
        <v>12007</v>
      </c>
      <c r="B1310" t="s">
        <v>7</v>
      </c>
      <c r="C1310">
        <v>11</v>
      </c>
      <c r="D1310">
        <v>247</v>
      </c>
      <c r="E1310" t="s">
        <v>8</v>
      </c>
      <c r="F1310" t="s">
        <v>9</v>
      </c>
      <c r="G1310" t="s">
        <v>12</v>
      </c>
      <c r="H1310">
        <v>0</v>
      </c>
    </row>
    <row r="1311" spans="1:8" x14ac:dyDescent="0.35">
      <c r="A1311">
        <v>11992</v>
      </c>
      <c r="B1311" t="s">
        <v>7</v>
      </c>
      <c r="C1311">
        <v>5</v>
      </c>
      <c r="D1311">
        <v>377</v>
      </c>
      <c r="E1311" t="s">
        <v>8</v>
      </c>
      <c r="F1311" t="s">
        <v>13</v>
      </c>
      <c r="G1311" t="s">
        <v>14</v>
      </c>
      <c r="H1311">
        <v>0</v>
      </c>
    </row>
    <row r="1312" spans="1:8" x14ac:dyDescent="0.35">
      <c r="A1312">
        <v>16032</v>
      </c>
      <c r="B1312" t="s">
        <v>7</v>
      </c>
      <c r="C1312">
        <v>8</v>
      </c>
      <c r="D1312">
        <v>50</v>
      </c>
      <c r="E1312" t="s">
        <v>8</v>
      </c>
      <c r="F1312" t="s">
        <v>9</v>
      </c>
      <c r="G1312" t="s">
        <v>10</v>
      </c>
      <c r="H1312">
        <v>0</v>
      </c>
    </row>
    <row r="1313" spans="1:8" x14ac:dyDescent="0.35">
      <c r="A1313">
        <v>15061</v>
      </c>
      <c r="B1313" t="s">
        <v>7</v>
      </c>
      <c r="C1313">
        <v>5</v>
      </c>
      <c r="D1313">
        <v>309</v>
      </c>
      <c r="E1313" t="s">
        <v>8</v>
      </c>
      <c r="F1313" t="s">
        <v>13</v>
      </c>
      <c r="G1313" t="s">
        <v>12</v>
      </c>
      <c r="H1313">
        <v>0</v>
      </c>
    </row>
    <row r="1314" spans="1:8" x14ac:dyDescent="0.35">
      <c r="A1314">
        <v>19278</v>
      </c>
      <c r="B1314" t="s">
        <v>7</v>
      </c>
      <c r="C1314">
        <v>7</v>
      </c>
      <c r="D1314">
        <v>96</v>
      </c>
      <c r="E1314" t="s">
        <v>8</v>
      </c>
      <c r="F1314" t="s">
        <v>13</v>
      </c>
      <c r="G1314" t="s">
        <v>12</v>
      </c>
      <c r="H1314">
        <v>0</v>
      </c>
    </row>
    <row r="1315" spans="1:8" x14ac:dyDescent="0.35">
      <c r="A1315">
        <v>13289</v>
      </c>
      <c r="B1315" t="s">
        <v>11</v>
      </c>
      <c r="C1315">
        <v>9</v>
      </c>
      <c r="D1315">
        <v>377</v>
      </c>
      <c r="E1315" t="s">
        <v>8</v>
      </c>
      <c r="F1315" t="s">
        <v>9</v>
      </c>
      <c r="G1315" t="s">
        <v>14</v>
      </c>
      <c r="H1315">
        <v>0</v>
      </c>
    </row>
    <row r="1316" spans="1:8" x14ac:dyDescent="0.35">
      <c r="A1316">
        <v>11075</v>
      </c>
      <c r="B1316" t="s">
        <v>11</v>
      </c>
      <c r="C1316">
        <v>11</v>
      </c>
      <c r="D1316">
        <v>49</v>
      </c>
      <c r="E1316" t="s">
        <v>8</v>
      </c>
      <c r="F1316" t="s">
        <v>13</v>
      </c>
      <c r="G1316" t="s">
        <v>16</v>
      </c>
      <c r="H1316">
        <v>0</v>
      </c>
    </row>
    <row r="1317" spans="1:8" x14ac:dyDescent="0.35">
      <c r="A1317">
        <v>12415</v>
      </c>
      <c r="B1317" t="s">
        <v>7</v>
      </c>
      <c r="C1317">
        <v>11</v>
      </c>
      <c r="D1317">
        <v>327</v>
      </c>
      <c r="E1317" t="s">
        <v>8</v>
      </c>
      <c r="F1317" t="s">
        <v>9</v>
      </c>
      <c r="G1317" t="s">
        <v>12</v>
      </c>
      <c r="H1317">
        <v>0</v>
      </c>
    </row>
    <row r="1318" spans="1:8" x14ac:dyDescent="0.35">
      <c r="A1318">
        <v>13937</v>
      </c>
      <c r="B1318" t="s">
        <v>11</v>
      </c>
      <c r="C1318">
        <v>4</v>
      </c>
      <c r="D1318">
        <v>412</v>
      </c>
      <c r="E1318" t="s">
        <v>8</v>
      </c>
      <c r="F1318" t="s">
        <v>9</v>
      </c>
      <c r="G1318" t="s">
        <v>16</v>
      </c>
      <c r="H1318">
        <v>0</v>
      </c>
    </row>
    <row r="1319" spans="1:8" x14ac:dyDescent="0.35">
      <c r="A1319">
        <v>14218</v>
      </c>
      <c r="B1319" t="s">
        <v>11</v>
      </c>
      <c r="C1319">
        <v>13</v>
      </c>
      <c r="D1319">
        <v>241</v>
      </c>
      <c r="E1319" t="s">
        <v>8</v>
      </c>
      <c r="F1319" t="s">
        <v>9</v>
      </c>
      <c r="G1319" t="s">
        <v>12</v>
      </c>
      <c r="H1319">
        <v>0</v>
      </c>
    </row>
    <row r="1320" spans="1:8" x14ac:dyDescent="0.35">
      <c r="A1320">
        <v>11187</v>
      </c>
      <c r="B1320" t="s">
        <v>7</v>
      </c>
      <c r="C1320">
        <v>10</v>
      </c>
      <c r="D1320">
        <v>84</v>
      </c>
      <c r="E1320" t="s">
        <v>8</v>
      </c>
      <c r="F1320" t="s">
        <v>13</v>
      </c>
      <c r="G1320" t="s">
        <v>16</v>
      </c>
      <c r="H1320">
        <v>0</v>
      </c>
    </row>
    <row r="1321" spans="1:8" x14ac:dyDescent="0.35">
      <c r="A1321">
        <v>18649</v>
      </c>
      <c r="B1321" t="s">
        <v>7</v>
      </c>
      <c r="C1321">
        <v>2</v>
      </c>
      <c r="D1321">
        <v>261</v>
      </c>
      <c r="E1321" t="s">
        <v>8</v>
      </c>
      <c r="F1321" t="s">
        <v>13</v>
      </c>
      <c r="G1321" t="s">
        <v>12</v>
      </c>
      <c r="H1321">
        <v>0</v>
      </c>
    </row>
    <row r="1322" spans="1:8" x14ac:dyDescent="0.35">
      <c r="A1322">
        <v>15313</v>
      </c>
      <c r="B1322" t="s">
        <v>11</v>
      </c>
      <c r="C1322">
        <v>8</v>
      </c>
      <c r="D1322">
        <v>200</v>
      </c>
      <c r="E1322" t="s">
        <v>8</v>
      </c>
      <c r="F1322" t="s">
        <v>13</v>
      </c>
      <c r="G1322" t="s">
        <v>10</v>
      </c>
      <c r="H1322">
        <v>0</v>
      </c>
    </row>
    <row r="1323" spans="1:8" x14ac:dyDescent="0.35">
      <c r="A1323">
        <v>19008</v>
      </c>
      <c r="B1323" t="s">
        <v>7</v>
      </c>
      <c r="C1323">
        <v>4</v>
      </c>
      <c r="D1323">
        <v>326</v>
      </c>
      <c r="E1323" t="s">
        <v>15</v>
      </c>
      <c r="F1323" t="s">
        <v>13</v>
      </c>
      <c r="G1323" t="s">
        <v>14</v>
      </c>
      <c r="H1323">
        <v>1</v>
      </c>
    </row>
    <row r="1324" spans="1:8" x14ac:dyDescent="0.35">
      <c r="A1324">
        <v>18506</v>
      </c>
      <c r="B1324" t="s">
        <v>11</v>
      </c>
      <c r="C1324">
        <v>10</v>
      </c>
      <c r="D1324">
        <v>93</v>
      </c>
      <c r="E1324" t="s">
        <v>15</v>
      </c>
      <c r="F1324" t="s">
        <v>9</v>
      </c>
      <c r="G1324" t="s">
        <v>14</v>
      </c>
      <c r="H1324">
        <v>1</v>
      </c>
    </row>
    <row r="1325" spans="1:8" x14ac:dyDescent="0.35">
      <c r="A1325">
        <v>13030</v>
      </c>
      <c r="B1325" t="s">
        <v>11</v>
      </c>
      <c r="C1325">
        <v>8</v>
      </c>
      <c r="D1325">
        <v>373</v>
      </c>
      <c r="E1325" t="s">
        <v>8</v>
      </c>
      <c r="F1325" t="s">
        <v>13</v>
      </c>
      <c r="G1325" t="s">
        <v>14</v>
      </c>
      <c r="H1325">
        <v>0</v>
      </c>
    </row>
    <row r="1326" spans="1:8" x14ac:dyDescent="0.35">
      <c r="A1326">
        <v>10555</v>
      </c>
      <c r="B1326" t="s">
        <v>7</v>
      </c>
      <c r="C1326">
        <v>12</v>
      </c>
      <c r="D1326">
        <v>327</v>
      </c>
      <c r="E1326" t="s">
        <v>8</v>
      </c>
      <c r="F1326" t="s">
        <v>9</v>
      </c>
      <c r="G1326" t="s">
        <v>16</v>
      </c>
      <c r="H1326">
        <v>0</v>
      </c>
    </row>
    <row r="1327" spans="1:8" x14ac:dyDescent="0.35">
      <c r="A1327">
        <v>11669</v>
      </c>
      <c r="B1327" t="s">
        <v>11</v>
      </c>
      <c r="C1327">
        <v>2</v>
      </c>
      <c r="D1327">
        <v>142</v>
      </c>
      <c r="E1327" t="s">
        <v>8</v>
      </c>
      <c r="F1327" t="s">
        <v>13</v>
      </c>
      <c r="G1327" t="s">
        <v>16</v>
      </c>
      <c r="H1327">
        <v>0</v>
      </c>
    </row>
    <row r="1328" spans="1:8" x14ac:dyDescent="0.35">
      <c r="A1328">
        <v>11163</v>
      </c>
      <c r="B1328" t="s">
        <v>11</v>
      </c>
      <c r="C1328">
        <v>1</v>
      </c>
      <c r="D1328">
        <v>277</v>
      </c>
      <c r="E1328" t="s">
        <v>8</v>
      </c>
      <c r="F1328" t="s">
        <v>13</v>
      </c>
      <c r="G1328" t="s">
        <v>14</v>
      </c>
      <c r="H1328">
        <v>0</v>
      </c>
    </row>
    <row r="1329" spans="1:8" x14ac:dyDescent="0.35">
      <c r="A1329">
        <v>15567</v>
      </c>
      <c r="B1329" t="s">
        <v>11</v>
      </c>
      <c r="C1329">
        <v>14</v>
      </c>
      <c r="D1329">
        <v>128</v>
      </c>
      <c r="E1329" t="s">
        <v>8</v>
      </c>
      <c r="F1329" t="s">
        <v>9</v>
      </c>
      <c r="G1329" t="s">
        <v>10</v>
      </c>
      <c r="H1329">
        <v>0</v>
      </c>
    </row>
    <row r="1330" spans="1:8" x14ac:dyDescent="0.35">
      <c r="A1330">
        <v>11079</v>
      </c>
      <c r="B1330" t="s">
        <v>11</v>
      </c>
      <c r="C1330">
        <v>2</v>
      </c>
      <c r="D1330">
        <v>93</v>
      </c>
      <c r="E1330" t="s">
        <v>8</v>
      </c>
      <c r="F1330" t="s">
        <v>9</v>
      </c>
      <c r="G1330" t="s">
        <v>12</v>
      </c>
      <c r="H1330">
        <v>0</v>
      </c>
    </row>
    <row r="1331" spans="1:8" x14ac:dyDescent="0.35">
      <c r="A1331">
        <v>14375</v>
      </c>
      <c r="B1331" t="s">
        <v>7</v>
      </c>
      <c r="C1331">
        <v>5</v>
      </c>
      <c r="D1331">
        <v>232</v>
      </c>
      <c r="E1331" t="s">
        <v>8</v>
      </c>
      <c r="F1331" t="s">
        <v>9</v>
      </c>
      <c r="G1331" t="s">
        <v>14</v>
      </c>
      <c r="H1331">
        <v>0</v>
      </c>
    </row>
    <row r="1332" spans="1:8" x14ac:dyDescent="0.35">
      <c r="A1332">
        <v>15023</v>
      </c>
      <c r="B1332" t="s">
        <v>7</v>
      </c>
      <c r="C1332">
        <v>14</v>
      </c>
      <c r="D1332">
        <v>145</v>
      </c>
      <c r="E1332" t="s">
        <v>8</v>
      </c>
      <c r="F1332" t="s">
        <v>13</v>
      </c>
      <c r="G1332" t="s">
        <v>14</v>
      </c>
      <c r="H1332">
        <v>0</v>
      </c>
    </row>
    <row r="1333" spans="1:8" x14ac:dyDescent="0.35">
      <c r="A1333">
        <v>11807</v>
      </c>
      <c r="B1333" t="s">
        <v>11</v>
      </c>
      <c r="C1333">
        <v>4</v>
      </c>
      <c r="D1333">
        <v>106</v>
      </c>
      <c r="E1333" t="s">
        <v>15</v>
      </c>
      <c r="F1333" t="s">
        <v>13</v>
      </c>
      <c r="G1333" t="s">
        <v>16</v>
      </c>
      <c r="H1333">
        <v>1</v>
      </c>
    </row>
    <row r="1334" spans="1:8" x14ac:dyDescent="0.35">
      <c r="A1334">
        <v>16232</v>
      </c>
      <c r="B1334" t="s">
        <v>11</v>
      </c>
      <c r="C1334">
        <v>14</v>
      </c>
      <c r="D1334">
        <v>69</v>
      </c>
      <c r="E1334" t="s">
        <v>8</v>
      </c>
      <c r="F1334" t="s">
        <v>9</v>
      </c>
      <c r="G1334" t="s">
        <v>16</v>
      </c>
      <c r="H1334">
        <v>0</v>
      </c>
    </row>
    <row r="1335" spans="1:8" x14ac:dyDescent="0.35">
      <c r="A1335">
        <v>16053</v>
      </c>
      <c r="B1335" t="s">
        <v>7</v>
      </c>
      <c r="C1335">
        <v>7</v>
      </c>
      <c r="D1335">
        <v>132</v>
      </c>
      <c r="E1335" t="s">
        <v>15</v>
      </c>
      <c r="F1335" t="s">
        <v>13</v>
      </c>
      <c r="G1335" t="s">
        <v>14</v>
      </c>
      <c r="H1335">
        <v>1</v>
      </c>
    </row>
    <row r="1336" spans="1:8" x14ac:dyDescent="0.35">
      <c r="A1336">
        <v>14806</v>
      </c>
      <c r="B1336" t="s">
        <v>7</v>
      </c>
      <c r="C1336">
        <v>9</v>
      </c>
      <c r="D1336">
        <v>307</v>
      </c>
      <c r="E1336" t="s">
        <v>8</v>
      </c>
      <c r="F1336" t="s">
        <v>9</v>
      </c>
      <c r="G1336" t="s">
        <v>14</v>
      </c>
      <c r="H1336">
        <v>0</v>
      </c>
    </row>
    <row r="1337" spans="1:8" x14ac:dyDescent="0.35">
      <c r="A1337">
        <v>11715</v>
      </c>
      <c r="B1337" t="s">
        <v>7</v>
      </c>
      <c r="C1337">
        <v>11</v>
      </c>
      <c r="D1337">
        <v>42</v>
      </c>
      <c r="E1337" t="s">
        <v>8</v>
      </c>
      <c r="F1337" t="s">
        <v>13</v>
      </c>
      <c r="G1337" t="s">
        <v>16</v>
      </c>
      <c r="H1337">
        <v>0</v>
      </c>
    </row>
    <row r="1338" spans="1:8" x14ac:dyDescent="0.35">
      <c r="A1338">
        <v>11338</v>
      </c>
      <c r="B1338" t="s">
        <v>11</v>
      </c>
      <c r="C1338">
        <v>9</v>
      </c>
      <c r="D1338">
        <v>271</v>
      </c>
      <c r="E1338" t="s">
        <v>8</v>
      </c>
      <c r="F1338" t="s">
        <v>13</v>
      </c>
      <c r="G1338" t="s">
        <v>10</v>
      </c>
      <c r="H1338">
        <v>0</v>
      </c>
    </row>
    <row r="1339" spans="1:8" x14ac:dyDescent="0.35">
      <c r="A1339">
        <v>18588</v>
      </c>
      <c r="B1339" t="s">
        <v>7</v>
      </c>
      <c r="C1339">
        <v>7</v>
      </c>
      <c r="D1339">
        <v>280</v>
      </c>
      <c r="E1339" t="s">
        <v>15</v>
      </c>
      <c r="F1339" t="s">
        <v>13</v>
      </c>
      <c r="G1339" t="s">
        <v>14</v>
      </c>
      <c r="H1339">
        <v>1</v>
      </c>
    </row>
    <row r="1340" spans="1:8" x14ac:dyDescent="0.35">
      <c r="A1340">
        <v>16326</v>
      </c>
      <c r="B1340" t="s">
        <v>7</v>
      </c>
      <c r="C1340">
        <v>11</v>
      </c>
      <c r="D1340">
        <v>177</v>
      </c>
      <c r="E1340" t="s">
        <v>15</v>
      </c>
      <c r="F1340" t="s">
        <v>13</v>
      </c>
      <c r="G1340" t="s">
        <v>10</v>
      </c>
      <c r="H1340">
        <v>1</v>
      </c>
    </row>
    <row r="1341" spans="1:8" x14ac:dyDescent="0.35">
      <c r="A1341">
        <v>12613</v>
      </c>
      <c r="B1341" t="s">
        <v>7</v>
      </c>
      <c r="C1341">
        <v>6</v>
      </c>
      <c r="D1341">
        <v>100</v>
      </c>
      <c r="E1341" t="s">
        <v>8</v>
      </c>
      <c r="F1341" t="s">
        <v>13</v>
      </c>
      <c r="G1341" t="s">
        <v>12</v>
      </c>
      <c r="H1341">
        <v>0</v>
      </c>
    </row>
    <row r="1342" spans="1:8" x14ac:dyDescent="0.35">
      <c r="A1342">
        <v>12041</v>
      </c>
      <c r="B1342" t="s">
        <v>7</v>
      </c>
      <c r="C1342">
        <v>9</v>
      </c>
      <c r="D1342">
        <v>350</v>
      </c>
      <c r="E1342" t="s">
        <v>15</v>
      </c>
      <c r="F1342" t="s">
        <v>9</v>
      </c>
      <c r="G1342" t="s">
        <v>14</v>
      </c>
      <c r="H1342">
        <v>1</v>
      </c>
    </row>
    <row r="1343" spans="1:8" x14ac:dyDescent="0.35">
      <c r="A1343">
        <v>18000</v>
      </c>
      <c r="B1343" t="s">
        <v>7</v>
      </c>
      <c r="C1343">
        <v>2</v>
      </c>
      <c r="D1343">
        <v>319</v>
      </c>
      <c r="E1343" t="s">
        <v>8</v>
      </c>
      <c r="F1343" t="s">
        <v>9</v>
      </c>
      <c r="G1343" t="s">
        <v>14</v>
      </c>
      <c r="H1343">
        <v>0</v>
      </c>
    </row>
    <row r="1344" spans="1:8" x14ac:dyDescent="0.35">
      <c r="A1344">
        <v>13227</v>
      </c>
      <c r="B1344" t="s">
        <v>11</v>
      </c>
      <c r="C1344">
        <v>12</v>
      </c>
      <c r="D1344">
        <v>192</v>
      </c>
      <c r="E1344" t="s">
        <v>8</v>
      </c>
      <c r="F1344" t="s">
        <v>13</v>
      </c>
      <c r="G1344" t="s">
        <v>12</v>
      </c>
      <c r="H1344">
        <v>0</v>
      </c>
    </row>
    <row r="1345" spans="1:8" x14ac:dyDescent="0.35">
      <c r="A1345">
        <v>19787</v>
      </c>
      <c r="B1345" t="s">
        <v>7</v>
      </c>
      <c r="C1345">
        <v>3</v>
      </c>
      <c r="D1345">
        <v>91</v>
      </c>
      <c r="E1345" t="s">
        <v>8</v>
      </c>
      <c r="F1345" t="s">
        <v>9</v>
      </c>
      <c r="G1345" t="s">
        <v>10</v>
      </c>
      <c r="H1345">
        <v>0</v>
      </c>
    </row>
    <row r="1346" spans="1:8" x14ac:dyDescent="0.35">
      <c r="A1346">
        <v>14505</v>
      </c>
      <c r="B1346" t="s">
        <v>11</v>
      </c>
      <c r="C1346">
        <v>9</v>
      </c>
      <c r="D1346">
        <v>260</v>
      </c>
      <c r="E1346" t="s">
        <v>8</v>
      </c>
      <c r="F1346" t="s">
        <v>9</v>
      </c>
      <c r="G1346" t="s">
        <v>12</v>
      </c>
      <c r="H1346">
        <v>0</v>
      </c>
    </row>
    <row r="1347" spans="1:8" x14ac:dyDescent="0.35">
      <c r="A1347">
        <v>13807</v>
      </c>
      <c r="B1347" t="s">
        <v>7</v>
      </c>
      <c r="C1347">
        <v>12</v>
      </c>
      <c r="D1347">
        <v>262</v>
      </c>
      <c r="E1347" t="s">
        <v>8</v>
      </c>
      <c r="F1347" t="s">
        <v>13</v>
      </c>
      <c r="G1347" t="s">
        <v>14</v>
      </c>
      <c r="H1347">
        <v>0</v>
      </c>
    </row>
    <row r="1348" spans="1:8" x14ac:dyDescent="0.35">
      <c r="A1348">
        <v>13958</v>
      </c>
      <c r="B1348" t="s">
        <v>7</v>
      </c>
      <c r="C1348">
        <v>1</v>
      </c>
      <c r="D1348">
        <v>449</v>
      </c>
      <c r="E1348" t="s">
        <v>8</v>
      </c>
      <c r="F1348" t="s">
        <v>13</v>
      </c>
      <c r="G1348" t="s">
        <v>14</v>
      </c>
      <c r="H1348">
        <v>0</v>
      </c>
    </row>
    <row r="1349" spans="1:8" x14ac:dyDescent="0.35">
      <c r="A1349">
        <v>17855</v>
      </c>
      <c r="B1349" t="s">
        <v>11</v>
      </c>
      <c r="C1349">
        <v>9</v>
      </c>
      <c r="D1349">
        <v>108</v>
      </c>
      <c r="E1349" t="s">
        <v>8</v>
      </c>
      <c r="F1349" t="s">
        <v>13</v>
      </c>
      <c r="G1349" t="s">
        <v>10</v>
      </c>
      <c r="H1349">
        <v>0</v>
      </c>
    </row>
    <row r="1350" spans="1:8" x14ac:dyDescent="0.35">
      <c r="A1350">
        <v>11853</v>
      </c>
      <c r="B1350" t="s">
        <v>7</v>
      </c>
      <c r="C1350">
        <v>12</v>
      </c>
      <c r="D1350">
        <v>446</v>
      </c>
      <c r="E1350" t="s">
        <v>8</v>
      </c>
      <c r="F1350" t="s">
        <v>9</v>
      </c>
      <c r="G1350" t="s">
        <v>16</v>
      </c>
      <c r="H1350">
        <v>0</v>
      </c>
    </row>
    <row r="1351" spans="1:8" x14ac:dyDescent="0.35">
      <c r="A1351">
        <v>16690</v>
      </c>
      <c r="B1351" t="s">
        <v>11</v>
      </c>
      <c r="C1351">
        <v>13</v>
      </c>
      <c r="D1351">
        <v>238</v>
      </c>
      <c r="E1351" t="s">
        <v>8</v>
      </c>
      <c r="F1351" t="s">
        <v>9</v>
      </c>
      <c r="G1351" t="s">
        <v>16</v>
      </c>
      <c r="H1351">
        <v>0</v>
      </c>
    </row>
    <row r="1352" spans="1:8" x14ac:dyDescent="0.35">
      <c r="A1352">
        <v>11762</v>
      </c>
      <c r="B1352" t="s">
        <v>11</v>
      </c>
      <c r="C1352">
        <v>9</v>
      </c>
      <c r="D1352">
        <v>286</v>
      </c>
      <c r="E1352" t="s">
        <v>8</v>
      </c>
      <c r="F1352" t="s">
        <v>13</v>
      </c>
      <c r="G1352" t="s">
        <v>16</v>
      </c>
      <c r="H1352">
        <v>0</v>
      </c>
    </row>
    <row r="1353" spans="1:8" x14ac:dyDescent="0.35">
      <c r="A1353">
        <v>10292</v>
      </c>
      <c r="B1353" t="s">
        <v>7</v>
      </c>
      <c r="C1353">
        <v>4</v>
      </c>
      <c r="D1353">
        <v>235</v>
      </c>
      <c r="E1353" t="s">
        <v>8</v>
      </c>
      <c r="F1353" t="s">
        <v>9</v>
      </c>
      <c r="G1353" t="s">
        <v>12</v>
      </c>
      <c r="H1353">
        <v>0</v>
      </c>
    </row>
    <row r="1354" spans="1:8" x14ac:dyDescent="0.35">
      <c r="A1354">
        <v>10653</v>
      </c>
      <c r="B1354" t="s">
        <v>7</v>
      </c>
      <c r="C1354">
        <v>8</v>
      </c>
      <c r="D1354">
        <v>109</v>
      </c>
      <c r="E1354" t="s">
        <v>8</v>
      </c>
      <c r="F1354" t="s">
        <v>9</v>
      </c>
      <c r="G1354" t="s">
        <v>10</v>
      </c>
      <c r="H1354">
        <v>0</v>
      </c>
    </row>
    <row r="1355" spans="1:8" x14ac:dyDescent="0.35">
      <c r="A1355">
        <v>10070</v>
      </c>
      <c r="B1355" t="s">
        <v>11</v>
      </c>
      <c r="C1355">
        <v>12</v>
      </c>
      <c r="D1355">
        <v>283</v>
      </c>
      <c r="E1355" t="s">
        <v>8</v>
      </c>
      <c r="F1355" t="s">
        <v>9</v>
      </c>
      <c r="G1355" t="s">
        <v>10</v>
      </c>
      <c r="H1355">
        <v>0</v>
      </c>
    </row>
    <row r="1356" spans="1:8" x14ac:dyDescent="0.35">
      <c r="A1356">
        <v>10434</v>
      </c>
      <c r="B1356" t="s">
        <v>11</v>
      </c>
      <c r="C1356">
        <v>4</v>
      </c>
      <c r="D1356">
        <v>263</v>
      </c>
      <c r="E1356" t="s">
        <v>8</v>
      </c>
      <c r="F1356" t="s">
        <v>9</v>
      </c>
      <c r="G1356" t="s">
        <v>10</v>
      </c>
      <c r="H1356">
        <v>0</v>
      </c>
    </row>
    <row r="1357" spans="1:8" x14ac:dyDescent="0.35">
      <c r="A1357">
        <v>13536</v>
      </c>
      <c r="B1357" t="s">
        <v>11</v>
      </c>
      <c r="C1357">
        <v>7</v>
      </c>
      <c r="D1357">
        <v>146</v>
      </c>
      <c r="E1357" t="s">
        <v>8</v>
      </c>
      <c r="F1357" t="s">
        <v>9</v>
      </c>
      <c r="G1357" t="s">
        <v>16</v>
      </c>
      <c r="H1357">
        <v>0</v>
      </c>
    </row>
    <row r="1358" spans="1:8" x14ac:dyDescent="0.35">
      <c r="A1358">
        <v>18039</v>
      </c>
      <c r="B1358" t="s">
        <v>7</v>
      </c>
      <c r="C1358">
        <v>12</v>
      </c>
      <c r="D1358">
        <v>168</v>
      </c>
      <c r="E1358" t="s">
        <v>8</v>
      </c>
      <c r="F1358" t="s">
        <v>13</v>
      </c>
      <c r="G1358" t="s">
        <v>10</v>
      </c>
      <c r="H1358">
        <v>0</v>
      </c>
    </row>
    <row r="1359" spans="1:8" x14ac:dyDescent="0.35">
      <c r="A1359">
        <v>14131</v>
      </c>
      <c r="B1359" t="s">
        <v>11</v>
      </c>
      <c r="C1359">
        <v>2</v>
      </c>
      <c r="D1359">
        <v>370</v>
      </c>
      <c r="E1359" t="s">
        <v>8</v>
      </c>
      <c r="F1359" t="s">
        <v>9</v>
      </c>
      <c r="G1359" t="s">
        <v>14</v>
      </c>
      <c r="H1359">
        <v>0</v>
      </c>
    </row>
    <row r="1360" spans="1:8" x14ac:dyDescent="0.35">
      <c r="A1360">
        <v>13263</v>
      </c>
      <c r="B1360" t="s">
        <v>7</v>
      </c>
      <c r="C1360">
        <v>12</v>
      </c>
      <c r="D1360">
        <v>426</v>
      </c>
      <c r="E1360" t="s">
        <v>8</v>
      </c>
      <c r="F1360" t="s">
        <v>9</v>
      </c>
      <c r="G1360" t="s">
        <v>10</v>
      </c>
      <c r="H1360">
        <v>0</v>
      </c>
    </row>
    <row r="1361" spans="1:8" x14ac:dyDescent="0.35">
      <c r="A1361">
        <v>12882</v>
      </c>
      <c r="B1361" t="s">
        <v>7</v>
      </c>
      <c r="C1361">
        <v>3</v>
      </c>
      <c r="D1361">
        <v>219</v>
      </c>
      <c r="E1361" t="s">
        <v>8</v>
      </c>
      <c r="F1361" t="s">
        <v>13</v>
      </c>
      <c r="G1361" t="s">
        <v>14</v>
      </c>
      <c r="H1361">
        <v>0</v>
      </c>
    </row>
    <row r="1362" spans="1:8" x14ac:dyDescent="0.35">
      <c r="A1362">
        <v>10005</v>
      </c>
      <c r="B1362" t="s">
        <v>7</v>
      </c>
      <c r="C1362">
        <v>8</v>
      </c>
      <c r="D1362">
        <v>274</v>
      </c>
      <c r="E1362" t="s">
        <v>8</v>
      </c>
      <c r="F1362" t="s">
        <v>13</v>
      </c>
      <c r="G1362" t="s">
        <v>10</v>
      </c>
      <c r="H1362">
        <v>0</v>
      </c>
    </row>
    <row r="1363" spans="1:8" x14ac:dyDescent="0.35">
      <c r="A1363">
        <v>14082</v>
      </c>
      <c r="B1363" t="s">
        <v>11</v>
      </c>
      <c r="C1363">
        <v>1</v>
      </c>
      <c r="D1363">
        <v>371</v>
      </c>
      <c r="E1363" t="s">
        <v>8</v>
      </c>
      <c r="F1363" t="s">
        <v>13</v>
      </c>
      <c r="G1363" t="s">
        <v>14</v>
      </c>
      <c r="H1363">
        <v>0</v>
      </c>
    </row>
    <row r="1364" spans="1:8" x14ac:dyDescent="0.35">
      <c r="A1364">
        <v>11902</v>
      </c>
      <c r="B1364" t="s">
        <v>11</v>
      </c>
      <c r="C1364">
        <v>6</v>
      </c>
      <c r="D1364">
        <v>416</v>
      </c>
      <c r="E1364" t="s">
        <v>8</v>
      </c>
      <c r="F1364" t="s">
        <v>9</v>
      </c>
      <c r="G1364" t="s">
        <v>14</v>
      </c>
      <c r="H1364">
        <v>0</v>
      </c>
    </row>
    <row r="1365" spans="1:8" x14ac:dyDescent="0.35">
      <c r="A1365">
        <v>11088</v>
      </c>
      <c r="B1365" t="s">
        <v>7</v>
      </c>
      <c r="C1365">
        <v>6</v>
      </c>
      <c r="D1365">
        <v>119</v>
      </c>
      <c r="E1365" t="s">
        <v>15</v>
      </c>
      <c r="F1365" t="s">
        <v>13</v>
      </c>
      <c r="G1365" t="s">
        <v>14</v>
      </c>
      <c r="H1365">
        <v>1</v>
      </c>
    </row>
    <row r="1366" spans="1:8" x14ac:dyDescent="0.35">
      <c r="A1366">
        <v>14866</v>
      </c>
      <c r="B1366" t="s">
        <v>7</v>
      </c>
      <c r="C1366">
        <v>4</v>
      </c>
      <c r="D1366">
        <v>410</v>
      </c>
      <c r="E1366" t="s">
        <v>8</v>
      </c>
      <c r="F1366" t="s">
        <v>13</v>
      </c>
      <c r="G1366" t="s">
        <v>16</v>
      </c>
      <c r="H1366">
        <v>0</v>
      </c>
    </row>
    <row r="1367" spans="1:8" x14ac:dyDescent="0.35">
      <c r="A1367">
        <v>10228</v>
      </c>
      <c r="B1367" t="s">
        <v>7</v>
      </c>
      <c r="C1367">
        <v>1</v>
      </c>
      <c r="D1367">
        <v>428</v>
      </c>
      <c r="E1367" t="s">
        <v>8</v>
      </c>
      <c r="F1367" t="s">
        <v>13</v>
      </c>
      <c r="G1367" t="s">
        <v>10</v>
      </c>
      <c r="H1367">
        <v>0</v>
      </c>
    </row>
    <row r="1368" spans="1:8" x14ac:dyDescent="0.35">
      <c r="A1368">
        <v>10916</v>
      </c>
      <c r="B1368" t="s">
        <v>11</v>
      </c>
      <c r="C1368">
        <v>4</v>
      </c>
      <c r="D1368">
        <v>422</v>
      </c>
      <c r="E1368" t="s">
        <v>8</v>
      </c>
      <c r="F1368" t="s">
        <v>13</v>
      </c>
      <c r="G1368" t="s">
        <v>12</v>
      </c>
      <c r="H1368">
        <v>0</v>
      </c>
    </row>
    <row r="1369" spans="1:8" x14ac:dyDescent="0.35">
      <c r="A1369">
        <v>15223</v>
      </c>
      <c r="B1369" t="s">
        <v>7</v>
      </c>
      <c r="C1369">
        <v>8</v>
      </c>
      <c r="D1369">
        <v>417</v>
      </c>
      <c r="E1369" t="s">
        <v>8</v>
      </c>
      <c r="F1369" t="s">
        <v>13</v>
      </c>
      <c r="G1369" t="s">
        <v>16</v>
      </c>
      <c r="H1369">
        <v>0</v>
      </c>
    </row>
    <row r="1370" spans="1:8" x14ac:dyDescent="0.35">
      <c r="A1370">
        <v>13827</v>
      </c>
      <c r="B1370" t="s">
        <v>7</v>
      </c>
      <c r="C1370">
        <v>13</v>
      </c>
      <c r="D1370">
        <v>407</v>
      </c>
      <c r="E1370" t="s">
        <v>8</v>
      </c>
      <c r="F1370" t="s">
        <v>9</v>
      </c>
      <c r="G1370" t="s">
        <v>16</v>
      </c>
      <c r="H1370">
        <v>0</v>
      </c>
    </row>
    <row r="1371" spans="1:8" x14ac:dyDescent="0.35">
      <c r="A1371">
        <v>10343</v>
      </c>
      <c r="B1371" t="s">
        <v>11</v>
      </c>
      <c r="C1371">
        <v>12</v>
      </c>
      <c r="D1371">
        <v>417</v>
      </c>
      <c r="E1371" t="s">
        <v>8</v>
      </c>
      <c r="F1371" t="s">
        <v>13</v>
      </c>
      <c r="G1371" t="s">
        <v>14</v>
      </c>
      <c r="H1371">
        <v>0</v>
      </c>
    </row>
    <row r="1372" spans="1:8" x14ac:dyDescent="0.35">
      <c r="A1372">
        <v>13005</v>
      </c>
      <c r="B1372" t="s">
        <v>11</v>
      </c>
      <c r="C1372">
        <v>13</v>
      </c>
      <c r="D1372">
        <v>51</v>
      </c>
      <c r="E1372" t="s">
        <v>15</v>
      </c>
      <c r="F1372" t="s">
        <v>13</v>
      </c>
      <c r="G1372" t="s">
        <v>12</v>
      </c>
      <c r="H1372">
        <v>1</v>
      </c>
    </row>
    <row r="1373" spans="1:8" x14ac:dyDescent="0.35">
      <c r="A1373">
        <v>12016</v>
      </c>
      <c r="B1373" t="s">
        <v>11</v>
      </c>
      <c r="C1373">
        <v>12</v>
      </c>
      <c r="D1373">
        <v>397</v>
      </c>
      <c r="E1373" t="s">
        <v>8</v>
      </c>
      <c r="F1373" t="s">
        <v>9</v>
      </c>
      <c r="G1373" t="s">
        <v>16</v>
      </c>
      <c r="H1373">
        <v>0</v>
      </c>
    </row>
    <row r="1374" spans="1:8" x14ac:dyDescent="0.35">
      <c r="A1374">
        <v>13480</v>
      </c>
      <c r="B1374" t="s">
        <v>11</v>
      </c>
      <c r="C1374">
        <v>10</v>
      </c>
      <c r="D1374">
        <v>429</v>
      </c>
      <c r="E1374" t="s">
        <v>8</v>
      </c>
      <c r="F1374" t="s">
        <v>9</v>
      </c>
      <c r="G1374" t="s">
        <v>10</v>
      </c>
      <c r="H1374">
        <v>0</v>
      </c>
    </row>
    <row r="1375" spans="1:8" x14ac:dyDescent="0.35">
      <c r="A1375">
        <v>19694</v>
      </c>
      <c r="B1375" t="s">
        <v>11</v>
      </c>
      <c r="C1375">
        <v>4</v>
      </c>
      <c r="D1375">
        <v>282</v>
      </c>
      <c r="E1375" t="s">
        <v>8</v>
      </c>
      <c r="F1375" t="s">
        <v>9</v>
      </c>
      <c r="G1375" t="s">
        <v>10</v>
      </c>
      <c r="H1375">
        <v>0</v>
      </c>
    </row>
    <row r="1376" spans="1:8" x14ac:dyDescent="0.35">
      <c r="A1376">
        <v>15969</v>
      </c>
      <c r="B1376" t="s">
        <v>7</v>
      </c>
      <c r="C1376">
        <v>1</v>
      </c>
      <c r="D1376">
        <v>381</v>
      </c>
      <c r="E1376" t="s">
        <v>8</v>
      </c>
      <c r="F1376" t="s">
        <v>9</v>
      </c>
      <c r="G1376" t="s">
        <v>14</v>
      </c>
      <c r="H1376">
        <v>0</v>
      </c>
    </row>
    <row r="1377" spans="1:8" x14ac:dyDescent="0.35">
      <c r="A1377">
        <v>19177</v>
      </c>
      <c r="B1377" t="s">
        <v>7</v>
      </c>
      <c r="C1377">
        <v>7</v>
      </c>
      <c r="D1377">
        <v>245</v>
      </c>
      <c r="E1377" t="s">
        <v>8</v>
      </c>
      <c r="F1377" t="s">
        <v>9</v>
      </c>
      <c r="G1377" t="s">
        <v>10</v>
      </c>
      <c r="H1377">
        <v>0</v>
      </c>
    </row>
    <row r="1378" spans="1:8" x14ac:dyDescent="0.35">
      <c r="A1378">
        <v>14863</v>
      </c>
      <c r="B1378" t="s">
        <v>7</v>
      </c>
      <c r="C1378">
        <v>3</v>
      </c>
      <c r="D1378">
        <v>316</v>
      </c>
      <c r="E1378" t="s">
        <v>8</v>
      </c>
      <c r="F1378" t="s">
        <v>13</v>
      </c>
      <c r="G1378" t="s">
        <v>10</v>
      </c>
      <c r="H1378">
        <v>0</v>
      </c>
    </row>
    <row r="1379" spans="1:8" x14ac:dyDescent="0.35">
      <c r="A1379">
        <v>11542</v>
      </c>
      <c r="B1379" t="s">
        <v>11</v>
      </c>
      <c r="C1379">
        <v>6</v>
      </c>
      <c r="D1379">
        <v>229</v>
      </c>
      <c r="E1379" t="s">
        <v>8</v>
      </c>
      <c r="F1379" t="s">
        <v>9</v>
      </c>
      <c r="G1379" t="s">
        <v>16</v>
      </c>
      <c r="H1379">
        <v>0</v>
      </c>
    </row>
    <row r="1380" spans="1:8" x14ac:dyDescent="0.35">
      <c r="A1380">
        <v>13441</v>
      </c>
      <c r="B1380" t="s">
        <v>7</v>
      </c>
      <c r="C1380">
        <v>12</v>
      </c>
      <c r="D1380">
        <v>84</v>
      </c>
      <c r="E1380" t="s">
        <v>8</v>
      </c>
      <c r="F1380" t="s">
        <v>13</v>
      </c>
      <c r="G1380" t="s">
        <v>12</v>
      </c>
      <c r="H1380">
        <v>0</v>
      </c>
    </row>
    <row r="1381" spans="1:8" x14ac:dyDescent="0.35">
      <c r="A1381">
        <v>16399</v>
      </c>
      <c r="B1381" t="s">
        <v>11</v>
      </c>
      <c r="C1381">
        <v>5</v>
      </c>
      <c r="D1381">
        <v>202</v>
      </c>
      <c r="E1381" t="s">
        <v>8</v>
      </c>
      <c r="F1381" t="s">
        <v>9</v>
      </c>
      <c r="G1381" t="s">
        <v>12</v>
      </c>
      <c r="H1381">
        <v>0</v>
      </c>
    </row>
    <row r="1382" spans="1:8" x14ac:dyDescent="0.35">
      <c r="A1382">
        <v>15509</v>
      </c>
      <c r="B1382" t="s">
        <v>7</v>
      </c>
      <c r="C1382">
        <v>2</v>
      </c>
      <c r="D1382">
        <v>107</v>
      </c>
      <c r="E1382" t="s">
        <v>8</v>
      </c>
      <c r="F1382" t="s">
        <v>9</v>
      </c>
      <c r="G1382" t="s">
        <v>16</v>
      </c>
      <c r="H1382">
        <v>0</v>
      </c>
    </row>
    <row r="1383" spans="1:8" x14ac:dyDescent="0.35">
      <c r="A1383">
        <v>11186</v>
      </c>
      <c r="B1383" t="s">
        <v>11</v>
      </c>
      <c r="C1383">
        <v>3</v>
      </c>
      <c r="D1383">
        <v>364</v>
      </c>
      <c r="E1383" t="s">
        <v>8</v>
      </c>
      <c r="F1383" t="s">
        <v>13</v>
      </c>
      <c r="G1383" t="s">
        <v>14</v>
      </c>
      <c r="H1383">
        <v>0</v>
      </c>
    </row>
    <row r="1384" spans="1:8" x14ac:dyDescent="0.35">
      <c r="A1384">
        <v>14244</v>
      </c>
      <c r="B1384" t="s">
        <v>7</v>
      </c>
      <c r="C1384">
        <v>1</v>
      </c>
      <c r="D1384">
        <v>244</v>
      </c>
      <c r="E1384" t="s">
        <v>8</v>
      </c>
      <c r="F1384" t="s">
        <v>13</v>
      </c>
      <c r="G1384" t="s">
        <v>10</v>
      </c>
      <c r="H1384">
        <v>0</v>
      </c>
    </row>
    <row r="1385" spans="1:8" x14ac:dyDescent="0.35">
      <c r="A1385">
        <v>16718</v>
      </c>
      <c r="B1385" t="s">
        <v>7</v>
      </c>
      <c r="C1385">
        <v>5</v>
      </c>
      <c r="D1385">
        <v>387</v>
      </c>
      <c r="E1385" t="s">
        <v>15</v>
      </c>
      <c r="F1385" t="s">
        <v>13</v>
      </c>
      <c r="G1385" t="s">
        <v>14</v>
      </c>
      <c r="H1385">
        <v>1</v>
      </c>
    </row>
    <row r="1386" spans="1:8" x14ac:dyDescent="0.35">
      <c r="A1386">
        <v>15207</v>
      </c>
      <c r="B1386" t="s">
        <v>11</v>
      </c>
      <c r="C1386">
        <v>4</v>
      </c>
      <c r="D1386">
        <v>107</v>
      </c>
      <c r="E1386" t="s">
        <v>8</v>
      </c>
      <c r="F1386" t="s">
        <v>13</v>
      </c>
      <c r="G1386" t="s">
        <v>14</v>
      </c>
      <c r="H1386">
        <v>0</v>
      </c>
    </row>
    <row r="1387" spans="1:8" x14ac:dyDescent="0.35">
      <c r="A1387">
        <v>17502</v>
      </c>
      <c r="B1387" t="s">
        <v>11</v>
      </c>
      <c r="C1387">
        <v>5</v>
      </c>
      <c r="D1387">
        <v>232</v>
      </c>
      <c r="E1387" t="s">
        <v>8</v>
      </c>
      <c r="F1387" t="s">
        <v>9</v>
      </c>
      <c r="G1387" t="s">
        <v>12</v>
      </c>
      <c r="H1387">
        <v>0</v>
      </c>
    </row>
    <row r="1388" spans="1:8" x14ac:dyDescent="0.35">
      <c r="A1388">
        <v>12871</v>
      </c>
      <c r="B1388" t="s">
        <v>7</v>
      </c>
      <c r="C1388">
        <v>9</v>
      </c>
      <c r="D1388">
        <v>444</v>
      </c>
      <c r="E1388" t="s">
        <v>8</v>
      </c>
      <c r="F1388" t="s">
        <v>13</v>
      </c>
      <c r="G1388" t="s">
        <v>16</v>
      </c>
      <c r="H1388">
        <v>0</v>
      </c>
    </row>
    <row r="1389" spans="1:8" x14ac:dyDescent="0.35">
      <c r="A1389">
        <v>15495</v>
      </c>
      <c r="B1389" t="s">
        <v>7</v>
      </c>
      <c r="C1389">
        <v>12</v>
      </c>
      <c r="D1389">
        <v>352</v>
      </c>
      <c r="E1389" t="s">
        <v>15</v>
      </c>
      <c r="F1389" t="s">
        <v>13</v>
      </c>
      <c r="G1389" t="s">
        <v>12</v>
      </c>
      <c r="H1389">
        <v>1</v>
      </c>
    </row>
    <row r="1390" spans="1:8" x14ac:dyDescent="0.35">
      <c r="A1390">
        <v>11178</v>
      </c>
      <c r="B1390" t="s">
        <v>7</v>
      </c>
      <c r="C1390">
        <v>2</v>
      </c>
      <c r="D1390">
        <v>253</v>
      </c>
      <c r="E1390" t="s">
        <v>8</v>
      </c>
      <c r="F1390" t="s">
        <v>9</v>
      </c>
      <c r="G1390" t="s">
        <v>14</v>
      </c>
      <c r="H1390">
        <v>0</v>
      </c>
    </row>
    <row r="1391" spans="1:8" x14ac:dyDescent="0.35">
      <c r="A1391">
        <v>15951</v>
      </c>
      <c r="B1391" t="s">
        <v>11</v>
      </c>
      <c r="C1391">
        <v>7</v>
      </c>
      <c r="D1391">
        <v>87</v>
      </c>
      <c r="E1391" t="s">
        <v>8</v>
      </c>
      <c r="F1391" t="s">
        <v>9</v>
      </c>
      <c r="G1391" t="s">
        <v>16</v>
      </c>
      <c r="H1391">
        <v>0</v>
      </c>
    </row>
    <row r="1392" spans="1:8" x14ac:dyDescent="0.35">
      <c r="A1392">
        <v>12928</v>
      </c>
      <c r="B1392" t="s">
        <v>11</v>
      </c>
      <c r="C1392">
        <v>1</v>
      </c>
      <c r="D1392">
        <v>73</v>
      </c>
      <c r="E1392" t="s">
        <v>8</v>
      </c>
      <c r="F1392" t="s">
        <v>13</v>
      </c>
      <c r="G1392" t="s">
        <v>14</v>
      </c>
      <c r="H1392">
        <v>0</v>
      </c>
    </row>
    <row r="1393" spans="1:8" x14ac:dyDescent="0.35">
      <c r="A1393">
        <v>10859</v>
      </c>
      <c r="B1393" t="s">
        <v>11</v>
      </c>
      <c r="C1393">
        <v>14</v>
      </c>
      <c r="D1393">
        <v>324</v>
      </c>
      <c r="E1393" t="s">
        <v>8</v>
      </c>
      <c r="F1393" t="s">
        <v>9</v>
      </c>
      <c r="G1393" t="s">
        <v>14</v>
      </c>
      <c r="H1393">
        <v>0</v>
      </c>
    </row>
    <row r="1394" spans="1:8" x14ac:dyDescent="0.35">
      <c r="A1394">
        <v>13662</v>
      </c>
      <c r="B1394" t="s">
        <v>11</v>
      </c>
      <c r="C1394">
        <v>8</v>
      </c>
      <c r="D1394">
        <v>59</v>
      </c>
      <c r="E1394" t="s">
        <v>8</v>
      </c>
      <c r="F1394" t="s">
        <v>13</v>
      </c>
      <c r="G1394" t="s">
        <v>14</v>
      </c>
      <c r="H1394">
        <v>0</v>
      </c>
    </row>
    <row r="1395" spans="1:8" x14ac:dyDescent="0.35">
      <c r="A1395">
        <v>11796</v>
      </c>
      <c r="B1395" t="s">
        <v>11</v>
      </c>
      <c r="C1395">
        <v>4</v>
      </c>
      <c r="D1395">
        <v>95</v>
      </c>
      <c r="E1395" t="s">
        <v>8</v>
      </c>
      <c r="F1395" t="s">
        <v>13</v>
      </c>
      <c r="G1395" t="s">
        <v>16</v>
      </c>
      <c r="H1395">
        <v>0</v>
      </c>
    </row>
    <row r="1396" spans="1:8" x14ac:dyDescent="0.35">
      <c r="A1396">
        <v>17924</v>
      </c>
      <c r="B1396" t="s">
        <v>11</v>
      </c>
      <c r="C1396">
        <v>12</v>
      </c>
      <c r="D1396">
        <v>310</v>
      </c>
      <c r="E1396" t="s">
        <v>8</v>
      </c>
      <c r="F1396" t="s">
        <v>13</v>
      </c>
      <c r="G1396" t="s">
        <v>16</v>
      </c>
      <c r="H1396">
        <v>0</v>
      </c>
    </row>
    <row r="1397" spans="1:8" x14ac:dyDescent="0.35">
      <c r="A1397">
        <v>13655</v>
      </c>
      <c r="B1397" t="s">
        <v>11</v>
      </c>
      <c r="C1397">
        <v>7</v>
      </c>
      <c r="D1397">
        <v>415</v>
      </c>
      <c r="E1397" t="s">
        <v>8</v>
      </c>
      <c r="F1397" t="s">
        <v>13</v>
      </c>
      <c r="G1397" t="s">
        <v>10</v>
      </c>
      <c r="H1397">
        <v>0</v>
      </c>
    </row>
    <row r="1398" spans="1:8" x14ac:dyDescent="0.35">
      <c r="A1398">
        <v>15970</v>
      </c>
      <c r="B1398" t="s">
        <v>11</v>
      </c>
      <c r="C1398">
        <v>1</v>
      </c>
      <c r="D1398">
        <v>387</v>
      </c>
      <c r="E1398" t="s">
        <v>8</v>
      </c>
      <c r="F1398" t="s">
        <v>13</v>
      </c>
      <c r="G1398" t="s">
        <v>14</v>
      </c>
      <c r="H1398">
        <v>0</v>
      </c>
    </row>
    <row r="1399" spans="1:8" x14ac:dyDescent="0.35">
      <c r="A1399">
        <v>17705</v>
      </c>
      <c r="B1399" t="s">
        <v>7</v>
      </c>
      <c r="C1399">
        <v>6</v>
      </c>
      <c r="D1399">
        <v>186</v>
      </c>
      <c r="E1399" t="s">
        <v>8</v>
      </c>
      <c r="F1399" t="s">
        <v>9</v>
      </c>
      <c r="G1399" t="s">
        <v>12</v>
      </c>
      <c r="H1399">
        <v>0</v>
      </c>
    </row>
    <row r="1400" spans="1:8" x14ac:dyDescent="0.35">
      <c r="A1400">
        <v>11612</v>
      </c>
      <c r="B1400" t="s">
        <v>11</v>
      </c>
      <c r="C1400">
        <v>9</v>
      </c>
      <c r="D1400">
        <v>345</v>
      </c>
      <c r="E1400" t="s">
        <v>8</v>
      </c>
      <c r="F1400" t="s">
        <v>9</v>
      </c>
      <c r="G1400" t="s">
        <v>16</v>
      </c>
      <c r="H1400">
        <v>0</v>
      </c>
    </row>
    <row r="1401" spans="1:8" x14ac:dyDescent="0.35">
      <c r="A1401">
        <v>17937</v>
      </c>
      <c r="B1401" t="s">
        <v>11</v>
      </c>
      <c r="C1401">
        <v>7</v>
      </c>
      <c r="D1401">
        <v>328</v>
      </c>
      <c r="E1401" t="s">
        <v>8</v>
      </c>
      <c r="F1401" t="s">
        <v>9</v>
      </c>
      <c r="G1401" t="s">
        <v>14</v>
      </c>
      <c r="H1401">
        <v>0</v>
      </c>
    </row>
    <row r="1402" spans="1:8" x14ac:dyDescent="0.35">
      <c r="A1402">
        <v>16853</v>
      </c>
      <c r="B1402" t="s">
        <v>7</v>
      </c>
      <c r="C1402">
        <v>8</v>
      </c>
      <c r="D1402">
        <v>362</v>
      </c>
      <c r="E1402" t="s">
        <v>8</v>
      </c>
      <c r="F1402" t="s">
        <v>9</v>
      </c>
      <c r="G1402" t="s">
        <v>16</v>
      </c>
      <c r="H1402">
        <v>0</v>
      </c>
    </row>
    <row r="1403" spans="1:8" x14ac:dyDescent="0.35">
      <c r="A1403">
        <v>13781</v>
      </c>
      <c r="B1403" t="s">
        <v>11</v>
      </c>
      <c r="C1403">
        <v>11</v>
      </c>
      <c r="D1403">
        <v>95</v>
      </c>
      <c r="E1403" t="s">
        <v>8</v>
      </c>
      <c r="F1403" t="s">
        <v>9</v>
      </c>
      <c r="G1403" t="s">
        <v>10</v>
      </c>
      <c r="H1403">
        <v>0</v>
      </c>
    </row>
    <row r="1404" spans="1:8" x14ac:dyDescent="0.35">
      <c r="A1404">
        <v>19380</v>
      </c>
      <c r="B1404" t="s">
        <v>7</v>
      </c>
      <c r="C1404">
        <v>6</v>
      </c>
      <c r="D1404">
        <v>294</v>
      </c>
      <c r="E1404" t="s">
        <v>8</v>
      </c>
      <c r="F1404" t="s">
        <v>9</v>
      </c>
      <c r="G1404" t="s">
        <v>16</v>
      </c>
      <c r="H1404">
        <v>0</v>
      </c>
    </row>
    <row r="1405" spans="1:8" x14ac:dyDescent="0.35">
      <c r="A1405">
        <v>15561</v>
      </c>
      <c r="B1405" t="s">
        <v>7</v>
      </c>
      <c r="C1405">
        <v>4</v>
      </c>
      <c r="D1405">
        <v>98</v>
      </c>
      <c r="E1405" t="s">
        <v>8</v>
      </c>
      <c r="F1405" t="s">
        <v>9</v>
      </c>
      <c r="G1405" t="s">
        <v>10</v>
      </c>
      <c r="H1405">
        <v>0</v>
      </c>
    </row>
    <row r="1406" spans="1:8" x14ac:dyDescent="0.35">
      <c r="A1406">
        <v>10518</v>
      </c>
      <c r="B1406" t="s">
        <v>7</v>
      </c>
      <c r="C1406">
        <v>10</v>
      </c>
      <c r="D1406">
        <v>74</v>
      </c>
      <c r="E1406" t="s">
        <v>8</v>
      </c>
      <c r="F1406" t="s">
        <v>9</v>
      </c>
      <c r="G1406" t="s">
        <v>12</v>
      </c>
      <c r="H1406">
        <v>0</v>
      </c>
    </row>
    <row r="1407" spans="1:8" x14ac:dyDescent="0.35">
      <c r="A1407">
        <v>16926</v>
      </c>
      <c r="B1407" t="s">
        <v>11</v>
      </c>
      <c r="C1407">
        <v>13</v>
      </c>
      <c r="D1407">
        <v>200</v>
      </c>
      <c r="E1407" t="s">
        <v>8</v>
      </c>
      <c r="F1407" t="s">
        <v>13</v>
      </c>
      <c r="G1407" t="s">
        <v>16</v>
      </c>
      <c r="H1407">
        <v>0</v>
      </c>
    </row>
    <row r="1408" spans="1:8" x14ac:dyDescent="0.35">
      <c r="A1408">
        <v>18044</v>
      </c>
      <c r="B1408" t="s">
        <v>7</v>
      </c>
      <c r="C1408">
        <v>1</v>
      </c>
      <c r="D1408">
        <v>284</v>
      </c>
      <c r="E1408" t="s">
        <v>8</v>
      </c>
      <c r="F1408" t="s">
        <v>9</v>
      </c>
      <c r="G1408" t="s">
        <v>10</v>
      </c>
      <c r="H1408">
        <v>0</v>
      </c>
    </row>
    <row r="1409" spans="1:8" x14ac:dyDescent="0.35">
      <c r="A1409">
        <v>19357</v>
      </c>
      <c r="B1409" t="s">
        <v>11</v>
      </c>
      <c r="C1409">
        <v>14</v>
      </c>
      <c r="D1409">
        <v>93</v>
      </c>
      <c r="E1409" t="s">
        <v>8</v>
      </c>
      <c r="F1409" t="s">
        <v>9</v>
      </c>
      <c r="G1409" t="s">
        <v>10</v>
      </c>
      <c r="H1409">
        <v>0</v>
      </c>
    </row>
    <row r="1410" spans="1:8" x14ac:dyDescent="0.35">
      <c r="A1410">
        <v>16198</v>
      </c>
      <c r="B1410" t="s">
        <v>11</v>
      </c>
      <c r="C1410">
        <v>7</v>
      </c>
      <c r="D1410">
        <v>102</v>
      </c>
      <c r="E1410" t="s">
        <v>8</v>
      </c>
      <c r="F1410" t="s">
        <v>9</v>
      </c>
      <c r="G1410" t="s">
        <v>16</v>
      </c>
      <c r="H1410">
        <v>0</v>
      </c>
    </row>
    <row r="1411" spans="1:8" x14ac:dyDescent="0.35">
      <c r="A1411">
        <v>16443</v>
      </c>
      <c r="B1411" t="s">
        <v>7</v>
      </c>
      <c r="C1411">
        <v>1</v>
      </c>
      <c r="D1411">
        <v>93</v>
      </c>
      <c r="E1411" t="s">
        <v>8</v>
      </c>
      <c r="F1411" t="s">
        <v>13</v>
      </c>
      <c r="G1411" t="s">
        <v>14</v>
      </c>
      <c r="H1411">
        <v>0</v>
      </c>
    </row>
    <row r="1412" spans="1:8" x14ac:dyDescent="0.35">
      <c r="A1412">
        <v>17834</v>
      </c>
      <c r="B1412" t="s">
        <v>11</v>
      </c>
      <c r="C1412">
        <v>1</v>
      </c>
      <c r="D1412">
        <v>148</v>
      </c>
      <c r="E1412" t="s">
        <v>8</v>
      </c>
      <c r="F1412" t="s">
        <v>13</v>
      </c>
      <c r="G1412" t="s">
        <v>16</v>
      </c>
      <c r="H1412">
        <v>0</v>
      </c>
    </row>
    <row r="1413" spans="1:8" x14ac:dyDescent="0.35">
      <c r="A1413">
        <v>12522</v>
      </c>
      <c r="B1413" t="s">
        <v>7</v>
      </c>
      <c r="C1413">
        <v>4</v>
      </c>
      <c r="D1413">
        <v>308</v>
      </c>
      <c r="E1413" t="s">
        <v>8</v>
      </c>
      <c r="F1413" t="s">
        <v>13</v>
      </c>
      <c r="G1413" t="s">
        <v>14</v>
      </c>
      <c r="H1413">
        <v>0</v>
      </c>
    </row>
    <row r="1414" spans="1:8" x14ac:dyDescent="0.35">
      <c r="A1414">
        <v>16422</v>
      </c>
      <c r="B1414" t="s">
        <v>7</v>
      </c>
      <c r="C1414">
        <v>12</v>
      </c>
      <c r="D1414">
        <v>296</v>
      </c>
      <c r="E1414" t="s">
        <v>8</v>
      </c>
      <c r="F1414" t="s">
        <v>13</v>
      </c>
      <c r="G1414" t="s">
        <v>16</v>
      </c>
      <c r="H1414">
        <v>0</v>
      </c>
    </row>
    <row r="1415" spans="1:8" x14ac:dyDescent="0.35">
      <c r="A1415">
        <v>13215</v>
      </c>
      <c r="B1415" t="s">
        <v>7</v>
      </c>
      <c r="C1415">
        <v>7</v>
      </c>
      <c r="D1415">
        <v>41</v>
      </c>
      <c r="E1415" t="s">
        <v>15</v>
      </c>
      <c r="F1415" t="s">
        <v>9</v>
      </c>
      <c r="G1415" t="s">
        <v>14</v>
      </c>
      <c r="H1415">
        <v>1</v>
      </c>
    </row>
    <row r="1416" spans="1:8" x14ac:dyDescent="0.35">
      <c r="A1416">
        <v>18129</v>
      </c>
      <c r="B1416" t="s">
        <v>7</v>
      </c>
      <c r="C1416">
        <v>10</v>
      </c>
      <c r="D1416">
        <v>136</v>
      </c>
      <c r="E1416" t="s">
        <v>8</v>
      </c>
      <c r="F1416" t="s">
        <v>9</v>
      </c>
      <c r="G1416" t="s">
        <v>14</v>
      </c>
      <c r="H1416">
        <v>0</v>
      </c>
    </row>
    <row r="1417" spans="1:8" x14ac:dyDescent="0.35">
      <c r="A1417">
        <v>15763</v>
      </c>
      <c r="B1417" t="s">
        <v>11</v>
      </c>
      <c r="C1417">
        <v>8</v>
      </c>
      <c r="D1417">
        <v>161</v>
      </c>
      <c r="E1417" t="s">
        <v>15</v>
      </c>
      <c r="F1417" t="s">
        <v>9</v>
      </c>
      <c r="G1417" t="s">
        <v>10</v>
      </c>
      <c r="H1417">
        <v>1</v>
      </c>
    </row>
    <row r="1418" spans="1:8" x14ac:dyDescent="0.35">
      <c r="A1418">
        <v>11387</v>
      </c>
      <c r="B1418" t="s">
        <v>7</v>
      </c>
      <c r="C1418">
        <v>3</v>
      </c>
      <c r="D1418">
        <v>168</v>
      </c>
      <c r="E1418" t="s">
        <v>8</v>
      </c>
      <c r="F1418" t="s">
        <v>9</v>
      </c>
      <c r="G1418" t="s">
        <v>12</v>
      </c>
      <c r="H1418">
        <v>0</v>
      </c>
    </row>
    <row r="1419" spans="1:8" x14ac:dyDescent="0.35">
      <c r="A1419">
        <v>11146</v>
      </c>
      <c r="B1419" t="s">
        <v>11</v>
      </c>
      <c r="C1419">
        <v>3</v>
      </c>
      <c r="D1419">
        <v>62</v>
      </c>
      <c r="E1419" t="s">
        <v>8</v>
      </c>
      <c r="F1419" t="s">
        <v>9</v>
      </c>
      <c r="G1419" t="s">
        <v>10</v>
      </c>
      <c r="H1419">
        <v>0</v>
      </c>
    </row>
    <row r="1420" spans="1:8" x14ac:dyDescent="0.35">
      <c r="A1420">
        <v>18865</v>
      </c>
      <c r="B1420" t="s">
        <v>11</v>
      </c>
      <c r="C1420">
        <v>11</v>
      </c>
      <c r="D1420">
        <v>256</v>
      </c>
      <c r="E1420" t="s">
        <v>8</v>
      </c>
      <c r="F1420" t="s">
        <v>9</v>
      </c>
      <c r="G1420" t="s">
        <v>16</v>
      </c>
      <c r="H1420">
        <v>0</v>
      </c>
    </row>
    <row r="1421" spans="1:8" x14ac:dyDescent="0.35">
      <c r="A1421">
        <v>10573</v>
      </c>
      <c r="B1421" t="s">
        <v>11</v>
      </c>
      <c r="C1421">
        <v>12</v>
      </c>
      <c r="D1421">
        <v>128</v>
      </c>
      <c r="E1421" t="s">
        <v>8</v>
      </c>
      <c r="F1421" t="s">
        <v>13</v>
      </c>
      <c r="G1421" t="s">
        <v>14</v>
      </c>
      <c r="H1421">
        <v>0</v>
      </c>
    </row>
    <row r="1422" spans="1:8" x14ac:dyDescent="0.35">
      <c r="A1422">
        <v>13058</v>
      </c>
      <c r="B1422" t="s">
        <v>11</v>
      </c>
      <c r="C1422">
        <v>11</v>
      </c>
      <c r="D1422">
        <v>208</v>
      </c>
      <c r="E1422" t="s">
        <v>8</v>
      </c>
      <c r="F1422" t="s">
        <v>9</v>
      </c>
      <c r="G1422" t="s">
        <v>10</v>
      </c>
      <c r="H1422">
        <v>0</v>
      </c>
    </row>
    <row r="1423" spans="1:8" x14ac:dyDescent="0.35">
      <c r="A1423">
        <v>12932</v>
      </c>
      <c r="B1423" t="s">
        <v>11</v>
      </c>
      <c r="C1423">
        <v>9</v>
      </c>
      <c r="D1423">
        <v>318</v>
      </c>
      <c r="E1423" t="s">
        <v>8</v>
      </c>
      <c r="F1423" t="s">
        <v>13</v>
      </c>
      <c r="G1423" t="s">
        <v>14</v>
      </c>
      <c r="H1423">
        <v>0</v>
      </c>
    </row>
    <row r="1424" spans="1:8" x14ac:dyDescent="0.35">
      <c r="A1424">
        <v>11383</v>
      </c>
      <c r="B1424" t="s">
        <v>11</v>
      </c>
      <c r="C1424">
        <v>3</v>
      </c>
      <c r="D1424">
        <v>97</v>
      </c>
      <c r="E1424" t="s">
        <v>8</v>
      </c>
      <c r="F1424" t="s">
        <v>13</v>
      </c>
      <c r="G1424" t="s">
        <v>10</v>
      </c>
      <c r="H1424">
        <v>0</v>
      </c>
    </row>
    <row r="1425" spans="1:8" x14ac:dyDescent="0.35">
      <c r="A1425">
        <v>18289</v>
      </c>
      <c r="B1425" t="s">
        <v>11</v>
      </c>
      <c r="C1425">
        <v>13</v>
      </c>
      <c r="D1425">
        <v>203</v>
      </c>
      <c r="E1425" t="s">
        <v>8</v>
      </c>
      <c r="F1425" t="s">
        <v>9</v>
      </c>
      <c r="G1425" t="s">
        <v>12</v>
      </c>
      <c r="H1425">
        <v>0</v>
      </c>
    </row>
    <row r="1426" spans="1:8" x14ac:dyDescent="0.35">
      <c r="A1426">
        <v>12431</v>
      </c>
      <c r="B1426" t="s">
        <v>11</v>
      </c>
      <c r="C1426">
        <v>13</v>
      </c>
      <c r="D1426">
        <v>416</v>
      </c>
      <c r="E1426" t="s">
        <v>8</v>
      </c>
      <c r="F1426" t="s">
        <v>13</v>
      </c>
      <c r="G1426" t="s">
        <v>14</v>
      </c>
      <c r="H1426">
        <v>0</v>
      </c>
    </row>
    <row r="1427" spans="1:8" x14ac:dyDescent="0.35">
      <c r="A1427">
        <v>17246</v>
      </c>
      <c r="B1427" t="s">
        <v>11</v>
      </c>
      <c r="C1427">
        <v>6</v>
      </c>
      <c r="D1427">
        <v>281</v>
      </c>
      <c r="E1427" t="s">
        <v>8</v>
      </c>
      <c r="F1427" t="s">
        <v>9</v>
      </c>
      <c r="G1427" t="s">
        <v>16</v>
      </c>
      <c r="H1427">
        <v>0</v>
      </c>
    </row>
    <row r="1428" spans="1:8" x14ac:dyDescent="0.35">
      <c r="A1428">
        <v>11385</v>
      </c>
      <c r="B1428" t="s">
        <v>7</v>
      </c>
      <c r="C1428">
        <v>12</v>
      </c>
      <c r="D1428">
        <v>372</v>
      </c>
      <c r="E1428" t="s">
        <v>8</v>
      </c>
      <c r="F1428" t="s">
        <v>9</v>
      </c>
      <c r="G1428" t="s">
        <v>14</v>
      </c>
      <c r="H1428">
        <v>0</v>
      </c>
    </row>
    <row r="1429" spans="1:8" x14ac:dyDescent="0.35">
      <c r="A1429">
        <v>15199</v>
      </c>
      <c r="B1429" t="s">
        <v>7</v>
      </c>
      <c r="C1429">
        <v>12</v>
      </c>
      <c r="D1429">
        <v>271</v>
      </c>
      <c r="E1429" t="s">
        <v>8</v>
      </c>
      <c r="F1429" t="s">
        <v>13</v>
      </c>
      <c r="G1429" t="s">
        <v>10</v>
      </c>
      <c r="H1429">
        <v>0</v>
      </c>
    </row>
    <row r="1430" spans="1:8" x14ac:dyDescent="0.35">
      <c r="A1430">
        <v>13029</v>
      </c>
      <c r="B1430" t="s">
        <v>7</v>
      </c>
      <c r="C1430">
        <v>7</v>
      </c>
      <c r="D1430">
        <v>284</v>
      </c>
      <c r="E1430" t="s">
        <v>8</v>
      </c>
      <c r="F1430" t="s">
        <v>9</v>
      </c>
      <c r="G1430" t="s">
        <v>16</v>
      </c>
      <c r="H1430">
        <v>0</v>
      </c>
    </row>
    <row r="1431" spans="1:8" x14ac:dyDescent="0.35">
      <c r="A1431">
        <v>10994</v>
      </c>
      <c r="B1431" t="s">
        <v>11</v>
      </c>
      <c r="C1431">
        <v>9</v>
      </c>
      <c r="D1431">
        <v>349</v>
      </c>
      <c r="E1431" t="s">
        <v>8</v>
      </c>
      <c r="F1431" t="s">
        <v>13</v>
      </c>
      <c r="G1431" t="s">
        <v>12</v>
      </c>
      <c r="H1431">
        <v>0</v>
      </c>
    </row>
    <row r="1432" spans="1:8" x14ac:dyDescent="0.35">
      <c r="A1432">
        <v>12004</v>
      </c>
      <c r="B1432" t="s">
        <v>11</v>
      </c>
      <c r="C1432">
        <v>4</v>
      </c>
      <c r="D1432">
        <v>223</v>
      </c>
      <c r="E1432" t="s">
        <v>8</v>
      </c>
      <c r="F1432" t="s">
        <v>9</v>
      </c>
      <c r="G1432" t="s">
        <v>10</v>
      </c>
      <c r="H1432">
        <v>0</v>
      </c>
    </row>
    <row r="1433" spans="1:8" x14ac:dyDescent="0.35">
      <c r="A1433">
        <v>17851</v>
      </c>
      <c r="B1433" t="s">
        <v>7</v>
      </c>
      <c r="C1433">
        <v>7</v>
      </c>
      <c r="D1433">
        <v>419</v>
      </c>
      <c r="E1433" t="s">
        <v>8</v>
      </c>
      <c r="F1433" t="s">
        <v>13</v>
      </c>
      <c r="G1433" t="s">
        <v>10</v>
      </c>
      <c r="H1433">
        <v>0</v>
      </c>
    </row>
    <row r="1434" spans="1:8" x14ac:dyDescent="0.35">
      <c r="A1434">
        <v>14051</v>
      </c>
      <c r="B1434" t="s">
        <v>7</v>
      </c>
      <c r="C1434">
        <v>3</v>
      </c>
      <c r="D1434">
        <v>91</v>
      </c>
      <c r="E1434" t="s">
        <v>8</v>
      </c>
      <c r="F1434" t="s">
        <v>9</v>
      </c>
      <c r="G1434" t="s">
        <v>10</v>
      </c>
      <c r="H1434">
        <v>0</v>
      </c>
    </row>
    <row r="1435" spans="1:8" x14ac:dyDescent="0.35">
      <c r="A1435">
        <v>11711</v>
      </c>
      <c r="B1435" t="s">
        <v>11</v>
      </c>
      <c r="C1435">
        <v>9</v>
      </c>
      <c r="D1435">
        <v>291</v>
      </c>
      <c r="E1435" t="s">
        <v>8</v>
      </c>
      <c r="F1435" t="s">
        <v>9</v>
      </c>
      <c r="G1435" t="s">
        <v>16</v>
      </c>
      <c r="H1435">
        <v>0</v>
      </c>
    </row>
    <row r="1436" spans="1:8" x14ac:dyDescent="0.35">
      <c r="A1436">
        <v>15570</v>
      </c>
      <c r="B1436" t="s">
        <v>7</v>
      </c>
      <c r="C1436">
        <v>14</v>
      </c>
      <c r="D1436">
        <v>176</v>
      </c>
      <c r="E1436" t="s">
        <v>8</v>
      </c>
      <c r="F1436" t="s">
        <v>9</v>
      </c>
      <c r="G1436" t="s">
        <v>12</v>
      </c>
      <c r="H1436">
        <v>0</v>
      </c>
    </row>
    <row r="1437" spans="1:8" x14ac:dyDescent="0.35">
      <c r="A1437">
        <v>19418</v>
      </c>
      <c r="B1437" t="s">
        <v>11</v>
      </c>
      <c r="C1437">
        <v>5</v>
      </c>
      <c r="D1437">
        <v>397</v>
      </c>
      <c r="E1437" t="s">
        <v>8</v>
      </c>
      <c r="F1437" t="s">
        <v>13</v>
      </c>
      <c r="G1437" t="s">
        <v>14</v>
      </c>
      <c r="H1437">
        <v>0</v>
      </c>
    </row>
    <row r="1438" spans="1:8" x14ac:dyDescent="0.35">
      <c r="A1438">
        <v>15274</v>
      </c>
      <c r="B1438" t="s">
        <v>11</v>
      </c>
      <c r="C1438">
        <v>7</v>
      </c>
      <c r="D1438">
        <v>365</v>
      </c>
      <c r="E1438" t="s">
        <v>8</v>
      </c>
      <c r="F1438" t="s">
        <v>9</v>
      </c>
      <c r="G1438" t="s">
        <v>16</v>
      </c>
      <c r="H1438">
        <v>0</v>
      </c>
    </row>
    <row r="1439" spans="1:8" x14ac:dyDescent="0.35">
      <c r="A1439">
        <v>10953</v>
      </c>
      <c r="B1439" t="s">
        <v>7</v>
      </c>
      <c r="C1439">
        <v>12</v>
      </c>
      <c r="D1439">
        <v>201</v>
      </c>
      <c r="E1439" t="s">
        <v>8</v>
      </c>
      <c r="F1439" t="s">
        <v>13</v>
      </c>
      <c r="G1439" t="s">
        <v>12</v>
      </c>
      <c r="H1439">
        <v>0</v>
      </c>
    </row>
    <row r="1440" spans="1:8" x14ac:dyDescent="0.35">
      <c r="A1440">
        <v>18962</v>
      </c>
      <c r="B1440" t="s">
        <v>11</v>
      </c>
      <c r="C1440">
        <v>7</v>
      </c>
      <c r="D1440">
        <v>131</v>
      </c>
      <c r="E1440" t="s">
        <v>8</v>
      </c>
      <c r="F1440" t="s">
        <v>9</v>
      </c>
      <c r="G1440" t="s">
        <v>12</v>
      </c>
      <c r="H1440">
        <v>0</v>
      </c>
    </row>
    <row r="1441" spans="1:8" x14ac:dyDescent="0.35">
      <c r="A1441">
        <v>11674</v>
      </c>
      <c r="B1441" t="s">
        <v>11</v>
      </c>
      <c r="C1441">
        <v>3</v>
      </c>
      <c r="D1441">
        <v>221</v>
      </c>
      <c r="E1441" t="s">
        <v>8</v>
      </c>
      <c r="F1441" t="s">
        <v>13</v>
      </c>
      <c r="G1441" t="s">
        <v>12</v>
      </c>
      <c r="H1441">
        <v>0</v>
      </c>
    </row>
    <row r="1442" spans="1:8" x14ac:dyDescent="0.35">
      <c r="A1442">
        <v>16615</v>
      </c>
      <c r="B1442" t="s">
        <v>7</v>
      </c>
      <c r="C1442">
        <v>4</v>
      </c>
      <c r="D1442">
        <v>132</v>
      </c>
      <c r="E1442" t="s">
        <v>8</v>
      </c>
      <c r="F1442" t="s">
        <v>9</v>
      </c>
      <c r="G1442" t="s">
        <v>10</v>
      </c>
      <c r="H1442">
        <v>0</v>
      </c>
    </row>
    <row r="1443" spans="1:8" x14ac:dyDescent="0.35">
      <c r="A1443">
        <v>16126</v>
      </c>
      <c r="B1443" t="s">
        <v>11</v>
      </c>
      <c r="C1443">
        <v>2</v>
      </c>
      <c r="D1443">
        <v>153</v>
      </c>
      <c r="E1443" t="s">
        <v>8</v>
      </c>
      <c r="F1443" t="s">
        <v>13</v>
      </c>
      <c r="G1443" t="s">
        <v>12</v>
      </c>
      <c r="H1443">
        <v>0</v>
      </c>
    </row>
    <row r="1444" spans="1:8" x14ac:dyDescent="0.35">
      <c r="A1444">
        <v>14714</v>
      </c>
      <c r="B1444" t="s">
        <v>7</v>
      </c>
      <c r="C1444">
        <v>8</v>
      </c>
      <c r="D1444">
        <v>411</v>
      </c>
      <c r="E1444" t="s">
        <v>8</v>
      </c>
      <c r="F1444" t="s">
        <v>13</v>
      </c>
      <c r="G1444" t="s">
        <v>14</v>
      </c>
      <c r="H1444">
        <v>0</v>
      </c>
    </row>
    <row r="1445" spans="1:8" x14ac:dyDescent="0.35">
      <c r="A1445">
        <v>19502</v>
      </c>
      <c r="B1445" t="s">
        <v>11</v>
      </c>
      <c r="C1445">
        <v>9</v>
      </c>
      <c r="D1445">
        <v>333</v>
      </c>
      <c r="E1445" t="s">
        <v>8</v>
      </c>
      <c r="F1445" t="s">
        <v>9</v>
      </c>
      <c r="G1445" t="s">
        <v>14</v>
      </c>
      <c r="H1445">
        <v>0</v>
      </c>
    </row>
    <row r="1446" spans="1:8" x14ac:dyDescent="0.35">
      <c r="A1446">
        <v>11194</v>
      </c>
      <c r="B1446" t="s">
        <v>7</v>
      </c>
      <c r="C1446">
        <v>11</v>
      </c>
      <c r="D1446">
        <v>46</v>
      </c>
      <c r="E1446" t="s">
        <v>15</v>
      </c>
      <c r="F1446" t="s">
        <v>9</v>
      </c>
      <c r="G1446" t="s">
        <v>14</v>
      </c>
      <c r="H1446">
        <v>1</v>
      </c>
    </row>
    <row r="1447" spans="1:8" x14ac:dyDescent="0.35">
      <c r="A1447">
        <v>17212</v>
      </c>
      <c r="B1447" t="s">
        <v>7</v>
      </c>
      <c r="C1447">
        <v>3</v>
      </c>
      <c r="D1447">
        <v>437</v>
      </c>
      <c r="E1447" t="s">
        <v>8</v>
      </c>
      <c r="F1447" t="s">
        <v>13</v>
      </c>
      <c r="G1447" t="s">
        <v>10</v>
      </c>
      <c r="H1447">
        <v>0</v>
      </c>
    </row>
    <row r="1448" spans="1:8" x14ac:dyDescent="0.35">
      <c r="A1448">
        <v>10873</v>
      </c>
      <c r="B1448" t="s">
        <v>11</v>
      </c>
      <c r="C1448">
        <v>14</v>
      </c>
      <c r="D1448">
        <v>374</v>
      </c>
      <c r="E1448" t="s">
        <v>8</v>
      </c>
      <c r="F1448" t="s">
        <v>9</v>
      </c>
      <c r="G1448" t="s">
        <v>16</v>
      </c>
      <c r="H1448">
        <v>0</v>
      </c>
    </row>
    <row r="1449" spans="1:8" x14ac:dyDescent="0.35">
      <c r="A1449">
        <v>16063</v>
      </c>
      <c r="B1449" t="s">
        <v>7</v>
      </c>
      <c r="C1449">
        <v>6</v>
      </c>
      <c r="D1449">
        <v>445</v>
      </c>
      <c r="E1449" t="s">
        <v>8</v>
      </c>
      <c r="F1449" t="s">
        <v>9</v>
      </c>
      <c r="G1449" t="s">
        <v>16</v>
      </c>
      <c r="H1449">
        <v>0</v>
      </c>
    </row>
    <row r="1450" spans="1:8" x14ac:dyDescent="0.35">
      <c r="A1450">
        <v>12354</v>
      </c>
      <c r="B1450" t="s">
        <v>11</v>
      </c>
      <c r="C1450">
        <v>14</v>
      </c>
      <c r="D1450">
        <v>182</v>
      </c>
      <c r="E1450" t="s">
        <v>8</v>
      </c>
      <c r="F1450" t="s">
        <v>9</v>
      </c>
      <c r="G1450" t="s">
        <v>16</v>
      </c>
      <c r="H1450">
        <v>0</v>
      </c>
    </row>
    <row r="1451" spans="1:8" x14ac:dyDescent="0.35">
      <c r="A1451">
        <v>18159</v>
      </c>
      <c r="B1451" t="s">
        <v>11</v>
      </c>
      <c r="C1451">
        <v>9</v>
      </c>
      <c r="D1451">
        <v>313</v>
      </c>
      <c r="E1451" t="s">
        <v>8</v>
      </c>
      <c r="F1451" t="s">
        <v>13</v>
      </c>
      <c r="G1451" t="s">
        <v>16</v>
      </c>
      <c r="H1451">
        <v>0</v>
      </c>
    </row>
    <row r="1452" spans="1:8" x14ac:dyDescent="0.35">
      <c r="A1452">
        <v>10267</v>
      </c>
      <c r="B1452" t="s">
        <v>7</v>
      </c>
      <c r="C1452">
        <v>4</v>
      </c>
      <c r="D1452">
        <v>89</v>
      </c>
      <c r="E1452" t="s">
        <v>8</v>
      </c>
      <c r="F1452" t="s">
        <v>13</v>
      </c>
      <c r="G1452" t="s">
        <v>14</v>
      </c>
      <c r="H1452">
        <v>0</v>
      </c>
    </row>
    <row r="1453" spans="1:8" x14ac:dyDescent="0.35">
      <c r="A1453">
        <v>18094</v>
      </c>
      <c r="B1453" t="s">
        <v>7</v>
      </c>
      <c r="C1453">
        <v>12</v>
      </c>
      <c r="D1453">
        <v>135</v>
      </c>
      <c r="E1453" t="s">
        <v>8</v>
      </c>
      <c r="F1453" t="s">
        <v>13</v>
      </c>
      <c r="G1453" t="s">
        <v>10</v>
      </c>
      <c r="H1453">
        <v>0</v>
      </c>
    </row>
    <row r="1454" spans="1:8" x14ac:dyDescent="0.35">
      <c r="A1454">
        <v>17155</v>
      </c>
      <c r="B1454" t="s">
        <v>7</v>
      </c>
      <c r="C1454">
        <v>9</v>
      </c>
      <c r="D1454">
        <v>64</v>
      </c>
      <c r="E1454" t="s">
        <v>8</v>
      </c>
      <c r="F1454" t="s">
        <v>13</v>
      </c>
      <c r="G1454" t="s">
        <v>12</v>
      </c>
      <c r="H1454">
        <v>0</v>
      </c>
    </row>
    <row r="1455" spans="1:8" x14ac:dyDescent="0.35">
      <c r="A1455">
        <v>14012</v>
      </c>
      <c r="B1455" t="s">
        <v>7</v>
      </c>
      <c r="C1455">
        <v>9</v>
      </c>
      <c r="D1455">
        <v>155</v>
      </c>
      <c r="E1455" t="s">
        <v>8</v>
      </c>
      <c r="F1455" t="s">
        <v>9</v>
      </c>
      <c r="G1455" t="s">
        <v>12</v>
      </c>
      <c r="H1455">
        <v>0</v>
      </c>
    </row>
    <row r="1456" spans="1:8" x14ac:dyDescent="0.35">
      <c r="A1456">
        <v>19068</v>
      </c>
      <c r="B1456" t="s">
        <v>7</v>
      </c>
      <c r="C1456">
        <v>14</v>
      </c>
      <c r="D1456">
        <v>67</v>
      </c>
      <c r="E1456" t="s">
        <v>8</v>
      </c>
      <c r="F1456" t="s">
        <v>13</v>
      </c>
      <c r="G1456" t="s">
        <v>14</v>
      </c>
      <c r="H1456">
        <v>0</v>
      </c>
    </row>
    <row r="1457" spans="1:8" x14ac:dyDescent="0.35">
      <c r="A1457">
        <v>13981</v>
      </c>
      <c r="B1457" t="s">
        <v>11</v>
      </c>
      <c r="C1457">
        <v>1</v>
      </c>
      <c r="D1457">
        <v>393</v>
      </c>
      <c r="E1457" t="s">
        <v>8</v>
      </c>
      <c r="F1457" t="s">
        <v>13</v>
      </c>
      <c r="G1457" t="s">
        <v>14</v>
      </c>
      <c r="H1457">
        <v>0</v>
      </c>
    </row>
    <row r="1458" spans="1:8" x14ac:dyDescent="0.35">
      <c r="A1458">
        <v>17474</v>
      </c>
      <c r="B1458" t="s">
        <v>11</v>
      </c>
      <c r="C1458">
        <v>6</v>
      </c>
      <c r="D1458">
        <v>284</v>
      </c>
      <c r="E1458" t="s">
        <v>8</v>
      </c>
      <c r="F1458" t="s">
        <v>13</v>
      </c>
      <c r="G1458" t="s">
        <v>16</v>
      </c>
      <c r="H1458">
        <v>0</v>
      </c>
    </row>
    <row r="1459" spans="1:8" x14ac:dyDescent="0.35">
      <c r="A1459">
        <v>16301</v>
      </c>
      <c r="B1459" t="s">
        <v>7</v>
      </c>
      <c r="C1459">
        <v>11</v>
      </c>
      <c r="D1459">
        <v>374</v>
      </c>
      <c r="E1459" t="s">
        <v>8</v>
      </c>
      <c r="F1459" t="s">
        <v>9</v>
      </c>
      <c r="G1459" t="s">
        <v>14</v>
      </c>
      <c r="H1459">
        <v>0</v>
      </c>
    </row>
    <row r="1460" spans="1:8" x14ac:dyDescent="0.35">
      <c r="A1460">
        <v>17611</v>
      </c>
      <c r="B1460" t="s">
        <v>7</v>
      </c>
      <c r="C1460">
        <v>14</v>
      </c>
      <c r="D1460">
        <v>251</v>
      </c>
      <c r="E1460" t="s">
        <v>8</v>
      </c>
      <c r="F1460" t="s">
        <v>9</v>
      </c>
      <c r="G1460" t="s">
        <v>12</v>
      </c>
      <c r="H1460">
        <v>0</v>
      </c>
    </row>
    <row r="1461" spans="1:8" x14ac:dyDescent="0.35">
      <c r="A1461">
        <v>13039</v>
      </c>
      <c r="B1461" t="s">
        <v>11</v>
      </c>
      <c r="C1461">
        <v>7</v>
      </c>
      <c r="D1461">
        <v>119</v>
      </c>
      <c r="E1461" t="s">
        <v>8</v>
      </c>
      <c r="F1461" t="s">
        <v>13</v>
      </c>
      <c r="G1461" t="s">
        <v>14</v>
      </c>
      <c r="H1461">
        <v>0</v>
      </c>
    </row>
    <row r="1462" spans="1:8" x14ac:dyDescent="0.35">
      <c r="A1462">
        <v>17248</v>
      </c>
      <c r="B1462" t="s">
        <v>11</v>
      </c>
      <c r="C1462">
        <v>3</v>
      </c>
      <c r="D1462">
        <v>125</v>
      </c>
      <c r="E1462" t="s">
        <v>8</v>
      </c>
      <c r="F1462" t="s">
        <v>9</v>
      </c>
      <c r="G1462" t="s">
        <v>14</v>
      </c>
      <c r="H1462">
        <v>0</v>
      </c>
    </row>
    <row r="1463" spans="1:8" x14ac:dyDescent="0.35">
      <c r="A1463">
        <v>14092</v>
      </c>
      <c r="B1463" t="s">
        <v>7</v>
      </c>
      <c r="C1463">
        <v>5</v>
      </c>
      <c r="D1463">
        <v>292</v>
      </c>
      <c r="E1463" t="s">
        <v>8</v>
      </c>
      <c r="F1463" t="s">
        <v>13</v>
      </c>
      <c r="G1463" t="s">
        <v>12</v>
      </c>
      <c r="H1463">
        <v>0</v>
      </c>
    </row>
    <row r="1464" spans="1:8" x14ac:dyDescent="0.35">
      <c r="A1464">
        <v>17836</v>
      </c>
      <c r="B1464" t="s">
        <v>7</v>
      </c>
      <c r="C1464">
        <v>8</v>
      </c>
      <c r="D1464">
        <v>199</v>
      </c>
      <c r="E1464" t="s">
        <v>8</v>
      </c>
      <c r="F1464" t="s">
        <v>9</v>
      </c>
      <c r="G1464" t="s">
        <v>10</v>
      </c>
      <c r="H1464">
        <v>0</v>
      </c>
    </row>
    <row r="1465" spans="1:8" x14ac:dyDescent="0.35">
      <c r="A1465">
        <v>15318</v>
      </c>
      <c r="B1465" t="s">
        <v>7</v>
      </c>
      <c r="C1465">
        <v>5</v>
      </c>
      <c r="D1465">
        <v>324</v>
      </c>
      <c r="E1465" t="s">
        <v>8</v>
      </c>
      <c r="F1465" t="s">
        <v>9</v>
      </c>
      <c r="G1465" t="s">
        <v>10</v>
      </c>
      <c r="H1465">
        <v>0</v>
      </c>
    </row>
    <row r="1466" spans="1:8" x14ac:dyDescent="0.35">
      <c r="A1466">
        <v>13573</v>
      </c>
      <c r="B1466" t="s">
        <v>11</v>
      </c>
      <c r="C1466">
        <v>11</v>
      </c>
      <c r="D1466">
        <v>316</v>
      </c>
      <c r="E1466" t="s">
        <v>8</v>
      </c>
      <c r="F1466" t="s">
        <v>9</v>
      </c>
      <c r="G1466" t="s">
        <v>14</v>
      </c>
      <c r="H1466">
        <v>0</v>
      </c>
    </row>
    <row r="1467" spans="1:8" x14ac:dyDescent="0.35">
      <c r="A1467">
        <v>16157</v>
      </c>
      <c r="B1467" t="s">
        <v>7</v>
      </c>
      <c r="C1467">
        <v>12</v>
      </c>
      <c r="D1467">
        <v>264</v>
      </c>
      <c r="E1467" t="s">
        <v>8</v>
      </c>
      <c r="F1467" t="s">
        <v>13</v>
      </c>
      <c r="G1467" t="s">
        <v>10</v>
      </c>
      <c r="H1467">
        <v>0</v>
      </c>
    </row>
    <row r="1468" spans="1:8" x14ac:dyDescent="0.35">
      <c r="A1468">
        <v>18475</v>
      </c>
      <c r="B1468" t="s">
        <v>7</v>
      </c>
      <c r="C1468">
        <v>3</v>
      </c>
      <c r="D1468">
        <v>292</v>
      </c>
      <c r="E1468" t="s">
        <v>8</v>
      </c>
      <c r="F1468" t="s">
        <v>13</v>
      </c>
      <c r="G1468" t="s">
        <v>16</v>
      </c>
      <c r="H1468">
        <v>0</v>
      </c>
    </row>
    <row r="1469" spans="1:8" x14ac:dyDescent="0.35">
      <c r="A1469">
        <v>18912</v>
      </c>
      <c r="B1469" t="s">
        <v>11</v>
      </c>
      <c r="C1469">
        <v>2</v>
      </c>
      <c r="D1469">
        <v>448</v>
      </c>
      <c r="E1469" t="s">
        <v>8</v>
      </c>
      <c r="F1469" t="s">
        <v>9</v>
      </c>
      <c r="G1469" t="s">
        <v>12</v>
      </c>
      <c r="H1469">
        <v>0</v>
      </c>
    </row>
    <row r="1470" spans="1:8" x14ac:dyDescent="0.35">
      <c r="A1470">
        <v>15028</v>
      </c>
      <c r="B1470" t="s">
        <v>7</v>
      </c>
      <c r="C1470">
        <v>1</v>
      </c>
      <c r="D1470">
        <v>380</v>
      </c>
      <c r="E1470" t="s">
        <v>8</v>
      </c>
      <c r="F1470" t="s">
        <v>9</v>
      </c>
      <c r="G1470" t="s">
        <v>12</v>
      </c>
      <c r="H1470">
        <v>0</v>
      </c>
    </row>
    <row r="1471" spans="1:8" x14ac:dyDescent="0.35">
      <c r="A1471">
        <v>10729</v>
      </c>
      <c r="B1471" t="s">
        <v>11</v>
      </c>
      <c r="C1471">
        <v>9</v>
      </c>
      <c r="D1471">
        <v>104</v>
      </c>
      <c r="E1471" t="s">
        <v>8</v>
      </c>
      <c r="F1471" t="s">
        <v>9</v>
      </c>
      <c r="G1471" t="s">
        <v>12</v>
      </c>
      <c r="H1471">
        <v>0</v>
      </c>
    </row>
    <row r="1472" spans="1:8" x14ac:dyDescent="0.35">
      <c r="A1472">
        <v>13880</v>
      </c>
      <c r="B1472" t="s">
        <v>7</v>
      </c>
      <c r="C1472">
        <v>12</v>
      </c>
      <c r="D1472">
        <v>404</v>
      </c>
      <c r="E1472" t="s">
        <v>8</v>
      </c>
      <c r="F1472" t="s">
        <v>13</v>
      </c>
      <c r="G1472" t="s">
        <v>14</v>
      </c>
      <c r="H1472">
        <v>0</v>
      </c>
    </row>
    <row r="1473" spans="1:8" x14ac:dyDescent="0.35">
      <c r="A1473">
        <v>18917</v>
      </c>
      <c r="B1473" t="s">
        <v>7</v>
      </c>
      <c r="C1473">
        <v>2</v>
      </c>
      <c r="D1473">
        <v>441</v>
      </c>
      <c r="E1473" t="s">
        <v>15</v>
      </c>
      <c r="F1473" t="s">
        <v>9</v>
      </c>
      <c r="G1473" t="s">
        <v>16</v>
      </c>
      <c r="H1473">
        <v>1</v>
      </c>
    </row>
    <row r="1474" spans="1:8" x14ac:dyDescent="0.35">
      <c r="A1474">
        <v>10730</v>
      </c>
      <c r="B1474" t="s">
        <v>11</v>
      </c>
      <c r="C1474">
        <v>5</v>
      </c>
      <c r="D1474">
        <v>156</v>
      </c>
      <c r="E1474" t="s">
        <v>8</v>
      </c>
      <c r="F1474" t="s">
        <v>13</v>
      </c>
      <c r="G1474" t="s">
        <v>16</v>
      </c>
      <c r="H1474">
        <v>0</v>
      </c>
    </row>
    <row r="1475" spans="1:8" x14ac:dyDescent="0.35">
      <c r="A1475">
        <v>16444</v>
      </c>
      <c r="B1475" t="s">
        <v>11</v>
      </c>
      <c r="C1475">
        <v>7</v>
      </c>
      <c r="D1475">
        <v>345</v>
      </c>
      <c r="E1475" t="s">
        <v>8</v>
      </c>
      <c r="F1475" t="s">
        <v>13</v>
      </c>
      <c r="G1475" t="s">
        <v>14</v>
      </c>
      <c r="H1475">
        <v>0</v>
      </c>
    </row>
    <row r="1476" spans="1:8" x14ac:dyDescent="0.35">
      <c r="A1476">
        <v>16186</v>
      </c>
      <c r="B1476" t="s">
        <v>11</v>
      </c>
      <c r="C1476">
        <v>11</v>
      </c>
      <c r="D1476">
        <v>179</v>
      </c>
      <c r="E1476" t="s">
        <v>15</v>
      </c>
      <c r="F1476" t="s">
        <v>9</v>
      </c>
      <c r="G1476" t="s">
        <v>16</v>
      </c>
      <c r="H1476">
        <v>1</v>
      </c>
    </row>
    <row r="1477" spans="1:8" x14ac:dyDescent="0.35">
      <c r="A1477">
        <v>15241</v>
      </c>
      <c r="B1477" t="s">
        <v>7</v>
      </c>
      <c r="C1477">
        <v>13</v>
      </c>
      <c r="D1477">
        <v>400</v>
      </c>
      <c r="E1477" t="s">
        <v>8</v>
      </c>
      <c r="F1477" t="s">
        <v>9</v>
      </c>
      <c r="G1477" t="s">
        <v>10</v>
      </c>
      <c r="H1477">
        <v>0</v>
      </c>
    </row>
    <row r="1478" spans="1:8" x14ac:dyDescent="0.35">
      <c r="A1478">
        <v>16894</v>
      </c>
      <c r="B1478" t="s">
        <v>11</v>
      </c>
      <c r="C1478">
        <v>9</v>
      </c>
      <c r="D1478">
        <v>367</v>
      </c>
      <c r="E1478" t="s">
        <v>8</v>
      </c>
      <c r="F1478" t="s">
        <v>9</v>
      </c>
      <c r="G1478" t="s">
        <v>10</v>
      </c>
      <c r="H1478">
        <v>0</v>
      </c>
    </row>
    <row r="1479" spans="1:8" x14ac:dyDescent="0.35">
      <c r="A1479">
        <v>13374</v>
      </c>
      <c r="B1479" t="s">
        <v>7</v>
      </c>
      <c r="C1479">
        <v>6</v>
      </c>
      <c r="D1479">
        <v>257</v>
      </c>
      <c r="E1479" t="s">
        <v>8</v>
      </c>
      <c r="F1479" t="s">
        <v>9</v>
      </c>
      <c r="G1479" t="s">
        <v>10</v>
      </c>
      <c r="H1479">
        <v>0</v>
      </c>
    </row>
    <row r="1480" spans="1:8" x14ac:dyDescent="0.35">
      <c r="A1480">
        <v>14886</v>
      </c>
      <c r="B1480" t="s">
        <v>11</v>
      </c>
      <c r="C1480">
        <v>13</v>
      </c>
      <c r="D1480">
        <v>52</v>
      </c>
      <c r="E1480" t="s">
        <v>8</v>
      </c>
      <c r="F1480" t="s">
        <v>9</v>
      </c>
      <c r="G1480" t="s">
        <v>12</v>
      </c>
      <c r="H1480">
        <v>0</v>
      </c>
    </row>
    <row r="1481" spans="1:8" x14ac:dyDescent="0.35">
      <c r="A1481">
        <v>13358</v>
      </c>
      <c r="B1481" t="s">
        <v>7</v>
      </c>
      <c r="C1481">
        <v>3</v>
      </c>
      <c r="D1481">
        <v>400</v>
      </c>
      <c r="E1481" t="s">
        <v>8</v>
      </c>
      <c r="F1481" t="s">
        <v>9</v>
      </c>
      <c r="G1481" t="s">
        <v>14</v>
      </c>
      <c r="H1481">
        <v>0</v>
      </c>
    </row>
    <row r="1482" spans="1:8" x14ac:dyDescent="0.35">
      <c r="A1482">
        <v>17721</v>
      </c>
      <c r="B1482" t="s">
        <v>11</v>
      </c>
      <c r="C1482">
        <v>14</v>
      </c>
      <c r="D1482">
        <v>382</v>
      </c>
      <c r="E1482" t="s">
        <v>8</v>
      </c>
      <c r="F1482" t="s">
        <v>9</v>
      </c>
      <c r="G1482" t="s">
        <v>10</v>
      </c>
      <c r="H1482">
        <v>0</v>
      </c>
    </row>
    <row r="1483" spans="1:8" x14ac:dyDescent="0.35">
      <c r="A1483">
        <v>15988</v>
      </c>
      <c r="B1483" t="s">
        <v>11</v>
      </c>
      <c r="C1483">
        <v>1</v>
      </c>
      <c r="D1483">
        <v>294</v>
      </c>
      <c r="E1483" t="s">
        <v>8</v>
      </c>
      <c r="F1483" t="s">
        <v>13</v>
      </c>
      <c r="G1483" t="s">
        <v>14</v>
      </c>
      <c r="H1483">
        <v>0</v>
      </c>
    </row>
    <row r="1484" spans="1:8" x14ac:dyDescent="0.35">
      <c r="A1484">
        <v>16178</v>
      </c>
      <c r="B1484" t="s">
        <v>11</v>
      </c>
      <c r="C1484">
        <v>2</v>
      </c>
      <c r="D1484">
        <v>131</v>
      </c>
      <c r="E1484" t="s">
        <v>8</v>
      </c>
      <c r="F1484" t="s">
        <v>9</v>
      </c>
      <c r="G1484" t="s">
        <v>10</v>
      </c>
      <c r="H1484">
        <v>0</v>
      </c>
    </row>
    <row r="1485" spans="1:8" x14ac:dyDescent="0.35">
      <c r="A1485">
        <v>16187</v>
      </c>
      <c r="B1485" t="s">
        <v>11</v>
      </c>
      <c r="C1485">
        <v>7</v>
      </c>
      <c r="D1485">
        <v>264</v>
      </c>
      <c r="E1485" t="s">
        <v>8</v>
      </c>
      <c r="F1485" t="s">
        <v>9</v>
      </c>
      <c r="G1485" t="s">
        <v>12</v>
      </c>
      <c r="H1485">
        <v>0</v>
      </c>
    </row>
    <row r="1486" spans="1:8" x14ac:dyDescent="0.35">
      <c r="A1486">
        <v>19904</v>
      </c>
      <c r="B1486" t="s">
        <v>7</v>
      </c>
      <c r="C1486">
        <v>14</v>
      </c>
      <c r="D1486">
        <v>161</v>
      </c>
      <c r="E1486" t="s">
        <v>8</v>
      </c>
      <c r="F1486" t="s">
        <v>13</v>
      </c>
      <c r="G1486" t="s">
        <v>16</v>
      </c>
      <c r="H1486">
        <v>0</v>
      </c>
    </row>
    <row r="1487" spans="1:8" x14ac:dyDescent="0.35">
      <c r="A1487">
        <v>15550</v>
      </c>
      <c r="B1487" t="s">
        <v>7</v>
      </c>
      <c r="C1487">
        <v>7</v>
      </c>
      <c r="D1487">
        <v>172</v>
      </c>
      <c r="E1487" t="s">
        <v>8</v>
      </c>
      <c r="F1487" t="s">
        <v>13</v>
      </c>
      <c r="G1487" t="s">
        <v>12</v>
      </c>
      <c r="H1487">
        <v>0</v>
      </c>
    </row>
    <row r="1488" spans="1:8" x14ac:dyDescent="0.35">
      <c r="A1488">
        <v>16963</v>
      </c>
      <c r="B1488" t="s">
        <v>11</v>
      </c>
      <c r="C1488">
        <v>2</v>
      </c>
      <c r="D1488">
        <v>208</v>
      </c>
      <c r="E1488" t="s">
        <v>8</v>
      </c>
      <c r="F1488" t="s">
        <v>9</v>
      </c>
      <c r="G1488" t="s">
        <v>14</v>
      </c>
      <c r="H1488">
        <v>0</v>
      </c>
    </row>
    <row r="1489" spans="1:8" x14ac:dyDescent="0.35">
      <c r="A1489">
        <v>19185</v>
      </c>
      <c r="B1489" t="s">
        <v>11</v>
      </c>
      <c r="C1489">
        <v>10</v>
      </c>
      <c r="D1489">
        <v>45</v>
      </c>
      <c r="E1489" t="s">
        <v>8</v>
      </c>
      <c r="F1489" t="s">
        <v>13</v>
      </c>
      <c r="G1489" t="s">
        <v>16</v>
      </c>
      <c r="H1489">
        <v>0</v>
      </c>
    </row>
    <row r="1490" spans="1:8" x14ac:dyDescent="0.35">
      <c r="A1490">
        <v>15176</v>
      </c>
      <c r="B1490" t="s">
        <v>7</v>
      </c>
      <c r="C1490">
        <v>7</v>
      </c>
      <c r="D1490">
        <v>420</v>
      </c>
      <c r="E1490" t="s">
        <v>8</v>
      </c>
      <c r="F1490" t="s">
        <v>9</v>
      </c>
      <c r="G1490" t="s">
        <v>12</v>
      </c>
      <c r="H1490">
        <v>0</v>
      </c>
    </row>
    <row r="1491" spans="1:8" x14ac:dyDescent="0.35">
      <c r="A1491">
        <v>15203</v>
      </c>
      <c r="B1491" t="s">
        <v>7</v>
      </c>
      <c r="C1491">
        <v>11</v>
      </c>
      <c r="D1491">
        <v>274</v>
      </c>
      <c r="E1491" t="s">
        <v>15</v>
      </c>
      <c r="F1491" t="s">
        <v>9</v>
      </c>
      <c r="G1491" t="s">
        <v>12</v>
      </c>
      <c r="H1491">
        <v>1</v>
      </c>
    </row>
    <row r="1492" spans="1:8" x14ac:dyDescent="0.35">
      <c r="A1492">
        <v>14732</v>
      </c>
      <c r="B1492" t="s">
        <v>11</v>
      </c>
      <c r="C1492">
        <v>14</v>
      </c>
      <c r="D1492">
        <v>225</v>
      </c>
      <c r="E1492" t="s">
        <v>8</v>
      </c>
      <c r="F1492" t="s">
        <v>13</v>
      </c>
      <c r="G1492" t="s">
        <v>12</v>
      </c>
      <c r="H1492">
        <v>0</v>
      </c>
    </row>
    <row r="1493" spans="1:8" x14ac:dyDescent="0.35">
      <c r="A1493">
        <v>17119</v>
      </c>
      <c r="B1493" t="s">
        <v>7</v>
      </c>
      <c r="C1493">
        <v>8</v>
      </c>
      <c r="D1493">
        <v>131</v>
      </c>
      <c r="E1493" t="s">
        <v>8</v>
      </c>
      <c r="F1493" t="s">
        <v>13</v>
      </c>
      <c r="G1493" t="s">
        <v>10</v>
      </c>
      <c r="H1493">
        <v>0</v>
      </c>
    </row>
    <row r="1494" spans="1:8" x14ac:dyDescent="0.35">
      <c r="A1494">
        <v>15978</v>
      </c>
      <c r="B1494" t="s">
        <v>7</v>
      </c>
      <c r="C1494">
        <v>3</v>
      </c>
      <c r="D1494">
        <v>271</v>
      </c>
      <c r="E1494" t="s">
        <v>8</v>
      </c>
      <c r="F1494" t="s">
        <v>9</v>
      </c>
      <c r="G1494" t="s">
        <v>10</v>
      </c>
      <c r="H1494">
        <v>0</v>
      </c>
    </row>
    <row r="1495" spans="1:8" x14ac:dyDescent="0.35">
      <c r="A1495">
        <v>12625</v>
      </c>
      <c r="B1495" t="s">
        <v>11</v>
      </c>
      <c r="C1495">
        <v>11</v>
      </c>
      <c r="D1495">
        <v>253</v>
      </c>
      <c r="E1495" t="s">
        <v>8</v>
      </c>
      <c r="F1495" t="s">
        <v>9</v>
      </c>
      <c r="G1495" t="s">
        <v>14</v>
      </c>
      <c r="H1495">
        <v>0</v>
      </c>
    </row>
    <row r="1496" spans="1:8" x14ac:dyDescent="0.35">
      <c r="A1496">
        <v>14690</v>
      </c>
      <c r="B1496" t="s">
        <v>7</v>
      </c>
      <c r="C1496">
        <v>10</v>
      </c>
      <c r="D1496">
        <v>144</v>
      </c>
      <c r="E1496" t="s">
        <v>8</v>
      </c>
      <c r="F1496" t="s">
        <v>13</v>
      </c>
      <c r="G1496" t="s">
        <v>14</v>
      </c>
      <c r="H1496">
        <v>0</v>
      </c>
    </row>
    <row r="1497" spans="1:8" x14ac:dyDescent="0.35">
      <c r="A1497">
        <v>15013</v>
      </c>
      <c r="B1497" t="s">
        <v>11</v>
      </c>
      <c r="C1497">
        <v>14</v>
      </c>
      <c r="D1497">
        <v>128</v>
      </c>
      <c r="E1497" t="s">
        <v>8</v>
      </c>
      <c r="F1497" t="s">
        <v>13</v>
      </c>
      <c r="G1497" t="s">
        <v>16</v>
      </c>
      <c r="H1497">
        <v>0</v>
      </c>
    </row>
    <row r="1498" spans="1:8" x14ac:dyDescent="0.35">
      <c r="A1498">
        <v>19182</v>
      </c>
      <c r="B1498" t="s">
        <v>7</v>
      </c>
      <c r="C1498">
        <v>11</v>
      </c>
      <c r="D1498">
        <v>81</v>
      </c>
      <c r="E1498" t="s">
        <v>8</v>
      </c>
      <c r="F1498" t="s">
        <v>9</v>
      </c>
      <c r="G1498" t="s">
        <v>12</v>
      </c>
      <c r="H1498">
        <v>0</v>
      </c>
    </row>
    <row r="1499" spans="1:8" x14ac:dyDescent="0.35">
      <c r="A1499">
        <v>10813</v>
      </c>
      <c r="B1499" t="s">
        <v>7</v>
      </c>
      <c r="C1499">
        <v>14</v>
      </c>
      <c r="D1499">
        <v>133</v>
      </c>
      <c r="E1499" t="s">
        <v>8</v>
      </c>
      <c r="F1499" t="s">
        <v>13</v>
      </c>
      <c r="G1499" t="s">
        <v>14</v>
      </c>
      <c r="H1499">
        <v>0</v>
      </c>
    </row>
    <row r="1500" spans="1:8" x14ac:dyDescent="0.35">
      <c r="A1500">
        <v>17089</v>
      </c>
      <c r="B1500" t="s">
        <v>7</v>
      </c>
      <c r="C1500">
        <v>9</v>
      </c>
      <c r="D1500">
        <v>111</v>
      </c>
      <c r="E1500" t="s">
        <v>8</v>
      </c>
      <c r="F1500" t="s">
        <v>13</v>
      </c>
      <c r="G1500" t="s">
        <v>12</v>
      </c>
      <c r="H1500">
        <v>0</v>
      </c>
    </row>
    <row r="1501" spans="1:8" x14ac:dyDescent="0.35">
      <c r="A1501">
        <v>16900</v>
      </c>
      <c r="B1501" t="s">
        <v>7</v>
      </c>
      <c r="C1501">
        <v>9</v>
      </c>
      <c r="D1501">
        <v>55</v>
      </c>
      <c r="E1501" t="s">
        <v>8</v>
      </c>
      <c r="F1501" t="s">
        <v>13</v>
      </c>
      <c r="G1501" t="s">
        <v>12</v>
      </c>
      <c r="H1501">
        <v>0</v>
      </c>
    </row>
    <row r="1502" spans="1:8" x14ac:dyDescent="0.35">
      <c r="A1502">
        <v>11289</v>
      </c>
      <c r="B1502" t="s">
        <v>11</v>
      </c>
      <c r="C1502">
        <v>3</v>
      </c>
      <c r="D1502">
        <v>384</v>
      </c>
      <c r="E1502" t="s">
        <v>8</v>
      </c>
      <c r="F1502" t="s">
        <v>9</v>
      </c>
      <c r="G1502" t="s">
        <v>14</v>
      </c>
      <c r="H1502">
        <v>0</v>
      </c>
    </row>
    <row r="1503" spans="1:8" x14ac:dyDescent="0.35">
      <c r="A1503">
        <v>13051</v>
      </c>
      <c r="B1503" t="s">
        <v>11</v>
      </c>
      <c r="C1503">
        <v>1</v>
      </c>
      <c r="D1503">
        <v>368</v>
      </c>
      <c r="E1503" t="s">
        <v>8</v>
      </c>
      <c r="F1503" t="s">
        <v>9</v>
      </c>
      <c r="G1503" t="s">
        <v>12</v>
      </c>
      <c r="H1503">
        <v>0</v>
      </c>
    </row>
    <row r="1504" spans="1:8" x14ac:dyDescent="0.35">
      <c r="A1504">
        <v>19964</v>
      </c>
      <c r="B1504" t="s">
        <v>7</v>
      </c>
      <c r="C1504">
        <v>1</v>
      </c>
      <c r="D1504">
        <v>118</v>
      </c>
      <c r="E1504" t="s">
        <v>15</v>
      </c>
      <c r="F1504" t="s">
        <v>9</v>
      </c>
      <c r="G1504" t="s">
        <v>16</v>
      </c>
      <c r="H1504">
        <v>1</v>
      </c>
    </row>
    <row r="1505" spans="1:8" x14ac:dyDescent="0.35">
      <c r="A1505">
        <v>12594</v>
      </c>
      <c r="B1505" t="s">
        <v>11</v>
      </c>
      <c r="C1505">
        <v>4</v>
      </c>
      <c r="D1505">
        <v>135</v>
      </c>
      <c r="E1505" t="s">
        <v>8</v>
      </c>
      <c r="F1505" t="s">
        <v>9</v>
      </c>
      <c r="G1505" t="s">
        <v>10</v>
      </c>
      <c r="H1505">
        <v>0</v>
      </c>
    </row>
    <row r="1506" spans="1:8" x14ac:dyDescent="0.35">
      <c r="A1506">
        <v>19450</v>
      </c>
      <c r="B1506" t="s">
        <v>7</v>
      </c>
      <c r="C1506">
        <v>6</v>
      </c>
      <c r="D1506">
        <v>197</v>
      </c>
      <c r="E1506" t="s">
        <v>8</v>
      </c>
      <c r="F1506" t="s">
        <v>9</v>
      </c>
      <c r="G1506" t="s">
        <v>16</v>
      </c>
      <c r="H1506">
        <v>0</v>
      </c>
    </row>
    <row r="1507" spans="1:8" x14ac:dyDescent="0.35">
      <c r="A1507">
        <v>10251</v>
      </c>
      <c r="B1507" t="s">
        <v>7</v>
      </c>
      <c r="C1507">
        <v>9</v>
      </c>
      <c r="D1507">
        <v>368</v>
      </c>
      <c r="E1507" t="s">
        <v>8</v>
      </c>
      <c r="F1507" t="s">
        <v>13</v>
      </c>
      <c r="G1507" t="s">
        <v>10</v>
      </c>
      <c r="H1507">
        <v>0</v>
      </c>
    </row>
    <row r="1508" spans="1:8" x14ac:dyDescent="0.35">
      <c r="A1508">
        <v>19383</v>
      </c>
      <c r="B1508" t="s">
        <v>7</v>
      </c>
      <c r="C1508">
        <v>13</v>
      </c>
      <c r="D1508">
        <v>360</v>
      </c>
      <c r="E1508" t="s">
        <v>15</v>
      </c>
      <c r="F1508" t="s">
        <v>9</v>
      </c>
      <c r="G1508" t="s">
        <v>10</v>
      </c>
      <c r="H1508">
        <v>1</v>
      </c>
    </row>
    <row r="1509" spans="1:8" x14ac:dyDescent="0.35">
      <c r="A1509">
        <v>10906</v>
      </c>
      <c r="B1509" t="s">
        <v>7</v>
      </c>
      <c r="C1509">
        <v>13</v>
      </c>
      <c r="D1509">
        <v>318</v>
      </c>
      <c r="E1509" t="s">
        <v>8</v>
      </c>
      <c r="F1509" t="s">
        <v>9</v>
      </c>
      <c r="G1509" t="s">
        <v>14</v>
      </c>
      <c r="H1509">
        <v>0</v>
      </c>
    </row>
    <row r="1510" spans="1:8" x14ac:dyDescent="0.35">
      <c r="A1510">
        <v>11708</v>
      </c>
      <c r="B1510" t="s">
        <v>11</v>
      </c>
      <c r="C1510">
        <v>8</v>
      </c>
      <c r="D1510">
        <v>216</v>
      </c>
      <c r="E1510" t="s">
        <v>8</v>
      </c>
      <c r="F1510" t="s">
        <v>13</v>
      </c>
      <c r="G1510" t="s">
        <v>10</v>
      </c>
      <c r="H1510">
        <v>0</v>
      </c>
    </row>
    <row r="1511" spans="1:8" x14ac:dyDescent="0.35">
      <c r="A1511">
        <v>14761</v>
      </c>
      <c r="B1511" t="s">
        <v>11</v>
      </c>
      <c r="C1511">
        <v>14</v>
      </c>
      <c r="D1511">
        <v>149</v>
      </c>
      <c r="E1511" t="s">
        <v>8</v>
      </c>
      <c r="F1511" t="s">
        <v>9</v>
      </c>
      <c r="G1511" t="s">
        <v>12</v>
      </c>
      <c r="H1511">
        <v>0</v>
      </c>
    </row>
    <row r="1512" spans="1:8" x14ac:dyDescent="0.35">
      <c r="A1512">
        <v>19290</v>
      </c>
      <c r="B1512" t="s">
        <v>7</v>
      </c>
      <c r="C1512">
        <v>13</v>
      </c>
      <c r="D1512">
        <v>381</v>
      </c>
      <c r="E1512" t="s">
        <v>8</v>
      </c>
      <c r="F1512" t="s">
        <v>13</v>
      </c>
      <c r="G1512" t="s">
        <v>16</v>
      </c>
      <c r="H1512">
        <v>0</v>
      </c>
    </row>
    <row r="1513" spans="1:8" x14ac:dyDescent="0.35">
      <c r="A1513">
        <v>12531</v>
      </c>
      <c r="B1513" t="s">
        <v>11</v>
      </c>
      <c r="C1513">
        <v>8</v>
      </c>
      <c r="D1513">
        <v>113</v>
      </c>
      <c r="E1513" t="s">
        <v>15</v>
      </c>
      <c r="F1513" t="s">
        <v>9</v>
      </c>
      <c r="G1513" t="s">
        <v>12</v>
      </c>
      <c r="H1513">
        <v>1</v>
      </c>
    </row>
    <row r="1514" spans="1:8" x14ac:dyDescent="0.35">
      <c r="A1514">
        <v>11107</v>
      </c>
      <c r="B1514" t="s">
        <v>11</v>
      </c>
      <c r="C1514">
        <v>2</v>
      </c>
      <c r="D1514">
        <v>345</v>
      </c>
      <c r="E1514" t="s">
        <v>8</v>
      </c>
      <c r="F1514" t="s">
        <v>9</v>
      </c>
      <c r="G1514" t="s">
        <v>16</v>
      </c>
      <c r="H1514">
        <v>0</v>
      </c>
    </row>
    <row r="1515" spans="1:8" x14ac:dyDescent="0.35">
      <c r="A1515">
        <v>11968</v>
      </c>
      <c r="B1515" t="s">
        <v>11</v>
      </c>
      <c r="C1515">
        <v>13</v>
      </c>
      <c r="D1515">
        <v>417</v>
      </c>
      <c r="E1515" t="s">
        <v>8</v>
      </c>
      <c r="F1515" t="s">
        <v>9</v>
      </c>
      <c r="G1515" t="s">
        <v>10</v>
      </c>
      <c r="H1515">
        <v>0</v>
      </c>
    </row>
    <row r="1516" spans="1:8" x14ac:dyDescent="0.35">
      <c r="A1516">
        <v>11607</v>
      </c>
      <c r="B1516" t="s">
        <v>7</v>
      </c>
      <c r="C1516">
        <v>10</v>
      </c>
      <c r="D1516">
        <v>268</v>
      </c>
      <c r="E1516" t="s">
        <v>8</v>
      </c>
      <c r="F1516" t="s">
        <v>9</v>
      </c>
      <c r="G1516" t="s">
        <v>16</v>
      </c>
      <c r="H1516">
        <v>0</v>
      </c>
    </row>
    <row r="1517" spans="1:8" x14ac:dyDescent="0.35">
      <c r="A1517">
        <v>10636</v>
      </c>
      <c r="B1517" t="s">
        <v>11</v>
      </c>
      <c r="C1517">
        <v>6</v>
      </c>
      <c r="D1517">
        <v>198</v>
      </c>
      <c r="E1517" t="s">
        <v>8</v>
      </c>
      <c r="F1517" t="s">
        <v>9</v>
      </c>
      <c r="G1517" t="s">
        <v>10</v>
      </c>
      <c r="H1517">
        <v>0</v>
      </c>
    </row>
    <row r="1518" spans="1:8" x14ac:dyDescent="0.35">
      <c r="A1518">
        <v>17598</v>
      </c>
      <c r="B1518" t="s">
        <v>11</v>
      </c>
      <c r="C1518">
        <v>3</v>
      </c>
      <c r="D1518">
        <v>433</v>
      </c>
      <c r="E1518" t="s">
        <v>8</v>
      </c>
      <c r="F1518" t="s">
        <v>13</v>
      </c>
      <c r="G1518" t="s">
        <v>10</v>
      </c>
      <c r="H1518">
        <v>0</v>
      </c>
    </row>
    <row r="1519" spans="1:8" x14ac:dyDescent="0.35">
      <c r="A1519">
        <v>17916</v>
      </c>
      <c r="B1519" t="s">
        <v>11</v>
      </c>
      <c r="C1519">
        <v>5</v>
      </c>
      <c r="D1519">
        <v>404</v>
      </c>
      <c r="E1519" t="s">
        <v>8</v>
      </c>
      <c r="F1519" t="s">
        <v>13</v>
      </c>
      <c r="G1519" t="s">
        <v>16</v>
      </c>
      <c r="H1519">
        <v>0</v>
      </c>
    </row>
    <row r="1520" spans="1:8" x14ac:dyDescent="0.35">
      <c r="A1520">
        <v>12904</v>
      </c>
      <c r="B1520" t="s">
        <v>11</v>
      </c>
      <c r="C1520">
        <v>2</v>
      </c>
      <c r="D1520">
        <v>249</v>
      </c>
      <c r="E1520" t="s">
        <v>8</v>
      </c>
      <c r="F1520" t="s">
        <v>9</v>
      </c>
      <c r="G1520" t="s">
        <v>10</v>
      </c>
      <c r="H1520">
        <v>0</v>
      </c>
    </row>
    <row r="1521" spans="1:8" x14ac:dyDescent="0.35">
      <c r="A1521">
        <v>17067</v>
      </c>
      <c r="B1521" t="s">
        <v>7</v>
      </c>
      <c r="C1521">
        <v>14</v>
      </c>
      <c r="D1521">
        <v>80</v>
      </c>
      <c r="E1521" t="s">
        <v>8</v>
      </c>
      <c r="F1521" t="s">
        <v>9</v>
      </c>
      <c r="G1521" t="s">
        <v>10</v>
      </c>
      <c r="H1521">
        <v>0</v>
      </c>
    </row>
    <row r="1522" spans="1:8" x14ac:dyDescent="0.35">
      <c r="A1522">
        <v>13541</v>
      </c>
      <c r="B1522" t="s">
        <v>11</v>
      </c>
      <c r="C1522">
        <v>13</v>
      </c>
      <c r="D1522">
        <v>413</v>
      </c>
      <c r="E1522" t="s">
        <v>8</v>
      </c>
      <c r="F1522" t="s">
        <v>13</v>
      </c>
      <c r="G1522" t="s">
        <v>14</v>
      </c>
      <c r="H1522">
        <v>0</v>
      </c>
    </row>
    <row r="1523" spans="1:8" x14ac:dyDescent="0.35">
      <c r="A1523">
        <v>16335</v>
      </c>
      <c r="B1523" t="s">
        <v>11</v>
      </c>
      <c r="C1523">
        <v>1</v>
      </c>
      <c r="D1523">
        <v>383</v>
      </c>
      <c r="E1523" t="s">
        <v>8</v>
      </c>
      <c r="F1523" t="s">
        <v>9</v>
      </c>
      <c r="G1523" t="s">
        <v>16</v>
      </c>
      <c r="H1523">
        <v>0</v>
      </c>
    </row>
    <row r="1524" spans="1:8" x14ac:dyDescent="0.35">
      <c r="A1524">
        <v>15823</v>
      </c>
      <c r="B1524" t="s">
        <v>7</v>
      </c>
      <c r="C1524">
        <v>2</v>
      </c>
      <c r="D1524">
        <v>393</v>
      </c>
      <c r="E1524" t="s">
        <v>15</v>
      </c>
      <c r="F1524" t="s">
        <v>13</v>
      </c>
      <c r="G1524" t="s">
        <v>12</v>
      </c>
      <c r="H1524">
        <v>1</v>
      </c>
    </row>
    <row r="1525" spans="1:8" x14ac:dyDescent="0.35">
      <c r="A1525">
        <v>19551</v>
      </c>
      <c r="B1525" t="s">
        <v>7</v>
      </c>
      <c r="C1525">
        <v>9</v>
      </c>
      <c r="D1525">
        <v>393</v>
      </c>
      <c r="E1525" t="s">
        <v>15</v>
      </c>
      <c r="F1525" t="s">
        <v>13</v>
      </c>
      <c r="G1525" t="s">
        <v>16</v>
      </c>
      <c r="H1525">
        <v>1</v>
      </c>
    </row>
    <row r="1526" spans="1:8" x14ac:dyDescent="0.35">
      <c r="A1526">
        <v>16367</v>
      </c>
      <c r="B1526" t="s">
        <v>11</v>
      </c>
      <c r="C1526">
        <v>7</v>
      </c>
      <c r="D1526">
        <v>403</v>
      </c>
      <c r="E1526" t="s">
        <v>8</v>
      </c>
      <c r="F1526" t="s">
        <v>13</v>
      </c>
      <c r="G1526" t="s">
        <v>12</v>
      </c>
      <c r="H1526">
        <v>0</v>
      </c>
    </row>
    <row r="1527" spans="1:8" x14ac:dyDescent="0.35">
      <c r="A1527">
        <v>17865</v>
      </c>
      <c r="B1527" t="s">
        <v>7</v>
      </c>
      <c r="C1527">
        <v>1</v>
      </c>
      <c r="D1527">
        <v>436</v>
      </c>
      <c r="E1527" t="s">
        <v>8</v>
      </c>
      <c r="F1527" t="s">
        <v>9</v>
      </c>
      <c r="G1527" t="s">
        <v>16</v>
      </c>
      <c r="H1527">
        <v>0</v>
      </c>
    </row>
    <row r="1528" spans="1:8" x14ac:dyDescent="0.35">
      <c r="A1528">
        <v>13976</v>
      </c>
      <c r="B1528" t="s">
        <v>11</v>
      </c>
      <c r="C1528">
        <v>14</v>
      </c>
      <c r="D1528">
        <v>365</v>
      </c>
      <c r="E1528" t="s">
        <v>15</v>
      </c>
      <c r="F1528" t="s">
        <v>9</v>
      </c>
      <c r="G1528" t="s">
        <v>14</v>
      </c>
      <c r="H1528">
        <v>1</v>
      </c>
    </row>
    <row r="1529" spans="1:8" x14ac:dyDescent="0.35">
      <c r="A1529">
        <v>12785</v>
      </c>
      <c r="B1529" t="s">
        <v>11</v>
      </c>
      <c r="C1529">
        <v>11</v>
      </c>
      <c r="D1529">
        <v>231</v>
      </c>
      <c r="E1529" t="s">
        <v>8</v>
      </c>
      <c r="F1529" t="s">
        <v>13</v>
      </c>
      <c r="G1529" t="s">
        <v>12</v>
      </c>
      <c r="H1529">
        <v>0</v>
      </c>
    </row>
    <row r="1530" spans="1:8" x14ac:dyDescent="0.35">
      <c r="A1530">
        <v>11851</v>
      </c>
      <c r="B1530" t="s">
        <v>7</v>
      </c>
      <c r="C1530">
        <v>11</v>
      </c>
      <c r="D1530">
        <v>196</v>
      </c>
      <c r="E1530" t="s">
        <v>8</v>
      </c>
      <c r="F1530" t="s">
        <v>13</v>
      </c>
      <c r="G1530" t="s">
        <v>16</v>
      </c>
      <c r="H1530">
        <v>0</v>
      </c>
    </row>
    <row r="1531" spans="1:8" x14ac:dyDescent="0.35">
      <c r="A1531">
        <v>19859</v>
      </c>
      <c r="B1531" t="s">
        <v>11</v>
      </c>
      <c r="C1531">
        <v>6</v>
      </c>
      <c r="D1531">
        <v>157</v>
      </c>
      <c r="E1531" t="s">
        <v>8</v>
      </c>
      <c r="F1531" t="s">
        <v>9</v>
      </c>
      <c r="G1531" t="s">
        <v>14</v>
      </c>
      <c r="H1531">
        <v>0</v>
      </c>
    </row>
    <row r="1532" spans="1:8" x14ac:dyDescent="0.35">
      <c r="A1532">
        <v>13037</v>
      </c>
      <c r="B1532" t="s">
        <v>11</v>
      </c>
      <c r="C1532">
        <v>7</v>
      </c>
      <c r="D1532">
        <v>224</v>
      </c>
      <c r="E1532" t="s">
        <v>8</v>
      </c>
      <c r="F1532" t="s">
        <v>13</v>
      </c>
      <c r="G1532" t="s">
        <v>10</v>
      </c>
      <c r="H1532">
        <v>0</v>
      </c>
    </row>
    <row r="1533" spans="1:8" x14ac:dyDescent="0.35">
      <c r="A1533">
        <v>15825</v>
      </c>
      <c r="B1533" t="s">
        <v>7</v>
      </c>
      <c r="C1533">
        <v>14</v>
      </c>
      <c r="D1533">
        <v>268</v>
      </c>
      <c r="E1533" t="s">
        <v>8</v>
      </c>
      <c r="F1533" t="s">
        <v>9</v>
      </c>
      <c r="G1533" t="s">
        <v>14</v>
      </c>
      <c r="H1533">
        <v>0</v>
      </c>
    </row>
    <row r="1534" spans="1:8" x14ac:dyDescent="0.35">
      <c r="A1534">
        <v>19923</v>
      </c>
      <c r="B1534" t="s">
        <v>7</v>
      </c>
      <c r="C1534">
        <v>7</v>
      </c>
      <c r="D1534">
        <v>377</v>
      </c>
      <c r="E1534" t="s">
        <v>8</v>
      </c>
      <c r="F1534" t="s">
        <v>13</v>
      </c>
      <c r="G1534" t="s">
        <v>12</v>
      </c>
      <c r="H1534">
        <v>0</v>
      </c>
    </row>
    <row r="1535" spans="1:8" x14ac:dyDescent="0.35">
      <c r="A1535">
        <v>18420</v>
      </c>
      <c r="B1535" t="s">
        <v>11</v>
      </c>
      <c r="C1535">
        <v>4</v>
      </c>
      <c r="D1535">
        <v>312</v>
      </c>
      <c r="E1535" t="s">
        <v>8</v>
      </c>
      <c r="F1535" t="s">
        <v>13</v>
      </c>
      <c r="G1535" t="s">
        <v>10</v>
      </c>
      <c r="H1535">
        <v>0</v>
      </c>
    </row>
    <row r="1536" spans="1:8" x14ac:dyDescent="0.35">
      <c r="A1536">
        <v>15059</v>
      </c>
      <c r="B1536" t="s">
        <v>7</v>
      </c>
      <c r="C1536">
        <v>4</v>
      </c>
      <c r="D1536">
        <v>277</v>
      </c>
      <c r="E1536" t="s">
        <v>8</v>
      </c>
      <c r="F1536" t="s">
        <v>9</v>
      </c>
      <c r="G1536" t="s">
        <v>16</v>
      </c>
      <c r="H1536">
        <v>0</v>
      </c>
    </row>
    <row r="1537" spans="1:8" x14ac:dyDescent="0.35">
      <c r="A1537">
        <v>15738</v>
      </c>
      <c r="B1537" t="s">
        <v>11</v>
      </c>
      <c r="C1537">
        <v>1</v>
      </c>
      <c r="D1537">
        <v>228</v>
      </c>
      <c r="E1537" t="s">
        <v>8</v>
      </c>
      <c r="F1537" t="s">
        <v>9</v>
      </c>
      <c r="G1537" t="s">
        <v>12</v>
      </c>
      <c r="H1537">
        <v>0</v>
      </c>
    </row>
    <row r="1538" spans="1:8" x14ac:dyDescent="0.35">
      <c r="A1538">
        <v>18807</v>
      </c>
      <c r="B1538" t="s">
        <v>7</v>
      </c>
      <c r="C1538">
        <v>8</v>
      </c>
      <c r="D1538">
        <v>55</v>
      </c>
      <c r="E1538" t="s">
        <v>8</v>
      </c>
      <c r="F1538" t="s">
        <v>9</v>
      </c>
      <c r="G1538" t="s">
        <v>16</v>
      </c>
      <c r="H1538">
        <v>0</v>
      </c>
    </row>
    <row r="1539" spans="1:8" x14ac:dyDescent="0.35">
      <c r="A1539">
        <v>11830</v>
      </c>
      <c r="B1539" t="s">
        <v>11</v>
      </c>
      <c r="C1539">
        <v>4</v>
      </c>
      <c r="D1539">
        <v>286</v>
      </c>
      <c r="E1539" t="s">
        <v>8</v>
      </c>
      <c r="F1539" t="s">
        <v>13</v>
      </c>
      <c r="G1539" t="s">
        <v>10</v>
      </c>
      <c r="H1539">
        <v>0</v>
      </c>
    </row>
    <row r="1540" spans="1:8" x14ac:dyDescent="0.35">
      <c r="A1540">
        <v>12539</v>
      </c>
      <c r="B1540" t="s">
        <v>7</v>
      </c>
      <c r="C1540">
        <v>13</v>
      </c>
      <c r="D1540">
        <v>143</v>
      </c>
      <c r="E1540" t="s">
        <v>8</v>
      </c>
      <c r="F1540" t="s">
        <v>9</v>
      </c>
      <c r="G1540" t="s">
        <v>12</v>
      </c>
      <c r="H1540">
        <v>0</v>
      </c>
    </row>
    <row r="1541" spans="1:8" x14ac:dyDescent="0.35">
      <c r="A1541">
        <v>12013</v>
      </c>
      <c r="B1541" t="s">
        <v>11</v>
      </c>
      <c r="C1541">
        <v>13</v>
      </c>
      <c r="D1541">
        <v>182</v>
      </c>
      <c r="E1541" t="s">
        <v>8</v>
      </c>
      <c r="F1541" t="s">
        <v>13</v>
      </c>
      <c r="G1541" t="s">
        <v>10</v>
      </c>
      <c r="H1541">
        <v>0</v>
      </c>
    </row>
    <row r="1542" spans="1:8" x14ac:dyDescent="0.35">
      <c r="A1542">
        <v>18893</v>
      </c>
      <c r="B1542" t="s">
        <v>11</v>
      </c>
      <c r="C1542">
        <v>2</v>
      </c>
      <c r="D1542">
        <v>296</v>
      </c>
      <c r="E1542" t="s">
        <v>8</v>
      </c>
      <c r="F1542" t="s">
        <v>9</v>
      </c>
      <c r="G1542" t="s">
        <v>14</v>
      </c>
      <c r="H1542">
        <v>0</v>
      </c>
    </row>
    <row r="1543" spans="1:8" x14ac:dyDescent="0.35">
      <c r="A1543">
        <v>15895</v>
      </c>
      <c r="B1543" t="s">
        <v>7</v>
      </c>
      <c r="C1543">
        <v>4</v>
      </c>
      <c r="D1543">
        <v>200</v>
      </c>
      <c r="E1543" t="s">
        <v>8</v>
      </c>
      <c r="F1543" t="s">
        <v>9</v>
      </c>
      <c r="G1543" t="s">
        <v>16</v>
      </c>
      <c r="H1543">
        <v>0</v>
      </c>
    </row>
    <row r="1544" spans="1:8" x14ac:dyDescent="0.35">
      <c r="A1544">
        <v>15267</v>
      </c>
      <c r="B1544" t="s">
        <v>7</v>
      </c>
      <c r="C1544">
        <v>4</v>
      </c>
      <c r="D1544">
        <v>344</v>
      </c>
      <c r="E1544" t="s">
        <v>8</v>
      </c>
      <c r="F1544" t="s">
        <v>13</v>
      </c>
      <c r="G1544" t="s">
        <v>12</v>
      </c>
      <c r="H1544">
        <v>0</v>
      </c>
    </row>
    <row r="1545" spans="1:8" x14ac:dyDescent="0.35">
      <c r="A1545">
        <v>10513</v>
      </c>
      <c r="B1545" t="s">
        <v>7</v>
      </c>
      <c r="C1545">
        <v>2</v>
      </c>
      <c r="D1545">
        <v>444</v>
      </c>
      <c r="E1545" t="s">
        <v>8</v>
      </c>
      <c r="F1545" t="s">
        <v>9</v>
      </c>
      <c r="G1545" t="s">
        <v>10</v>
      </c>
      <c r="H1545">
        <v>0</v>
      </c>
    </row>
    <row r="1546" spans="1:8" x14ac:dyDescent="0.35">
      <c r="A1546">
        <v>14580</v>
      </c>
      <c r="B1546" t="s">
        <v>7</v>
      </c>
      <c r="C1546">
        <v>4</v>
      </c>
      <c r="D1546">
        <v>51</v>
      </c>
      <c r="E1546" t="s">
        <v>8</v>
      </c>
      <c r="F1546" t="s">
        <v>13</v>
      </c>
      <c r="G1546" t="s">
        <v>16</v>
      </c>
      <c r="H1546">
        <v>0</v>
      </c>
    </row>
    <row r="1547" spans="1:8" x14ac:dyDescent="0.35">
      <c r="A1547">
        <v>14033</v>
      </c>
      <c r="B1547" t="s">
        <v>11</v>
      </c>
      <c r="C1547">
        <v>12</v>
      </c>
      <c r="D1547">
        <v>54</v>
      </c>
      <c r="E1547" t="s">
        <v>8</v>
      </c>
      <c r="F1547" t="s">
        <v>13</v>
      </c>
      <c r="G1547" t="s">
        <v>10</v>
      </c>
      <c r="H1547">
        <v>0</v>
      </c>
    </row>
    <row r="1548" spans="1:8" x14ac:dyDescent="0.35">
      <c r="A1548">
        <v>11599</v>
      </c>
      <c r="B1548" t="s">
        <v>11</v>
      </c>
      <c r="C1548">
        <v>3</v>
      </c>
      <c r="D1548">
        <v>264</v>
      </c>
      <c r="E1548" t="s">
        <v>8</v>
      </c>
      <c r="F1548" t="s">
        <v>13</v>
      </c>
      <c r="G1548" t="s">
        <v>10</v>
      </c>
      <c r="H1548">
        <v>0</v>
      </c>
    </row>
    <row r="1549" spans="1:8" x14ac:dyDescent="0.35">
      <c r="A1549">
        <v>19854</v>
      </c>
      <c r="B1549" t="s">
        <v>7</v>
      </c>
      <c r="C1549">
        <v>8</v>
      </c>
      <c r="D1549">
        <v>237</v>
      </c>
      <c r="E1549" t="s">
        <v>8</v>
      </c>
      <c r="F1549" t="s">
        <v>9</v>
      </c>
      <c r="G1549" t="s">
        <v>10</v>
      </c>
      <c r="H1549">
        <v>0</v>
      </c>
    </row>
    <row r="1550" spans="1:8" x14ac:dyDescent="0.35">
      <c r="A1550">
        <v>18189</v>
      </c>
      <c r="B1550" t="s">
        <v>7</v>
      </c>
      <c r="C1550">
        <v>10</v>
      </c>
      <c r="D1550">
        <v>432</v>
      </c>
      <c r="E1550" t="s">
        <v>8</v>
      </c>
      <c r="F1550" t="s">
        <v>9</v>
      </c>
      <c r="G1550" t="s">
        <v>14</v>
      </c>
      <c r="H1550">
        <v>0</v>
      </c>
    </row>
    <row r="1551" spans="1:8" x14ac:dyDescent="0.35">
      <c r="A1551">
        <v>16951</v>
      </c>
      <c r="B1551" t="s">
        <v>11</v>
      </c>
      <c r="C1551">
        <v>6</v>
      </c>
      <c r="D1551">
        <v>168</v>
      </c>
      <c r="E1551" t="s">
        <v>8</v>
      </c>
      <c r="F1551" t="s">
        <v>9</v>
      </c>
      <c r="G1551" t="s">
        <v>12</v>
      </c>
      <c r="H1551">
        <v>0</v>
      </c>
    </row>
    <row r="1552" spans="1:8" x14ac:dyDescent="0.35">
      <c r="A1552">
        <v>10116</v>
      </c>
      <c r="B1552" t="s">
        <v>7</v>
      </c>
      <c r="C1552">
        <v>3</v>
      </c>
      <c r="D1552">
        <v>213</v>
      </c>
      <c r="E1552" t="s">
        <v>8</v>
      </c>
      <c r="F1552" t="s">
        <v>9</v>
      </c>
      <c r="G1552" t="s">
        <v>14</v>
      </c>
      <c r="H1552">
        <v>0</v>
      </c>
    </row>
    <row r="1553" spans="1:8" x14ac:dyDescent="0.35">
      <c r="A1553">
        <v>10331</v>
      </c>
      <c r="B1553" t="s">
        <v>7</v>
      </c>
      <c r="C1553">
        <v>1</v>
      </c>
      <c r="D1553">
        <v>404</v>
      </c>
      <c r="E1553" t="s">
        <v>8</v>
      </c>
      <c r="F1553" t="s">
        <v>9</v>
      </c>
      <c r="G1553" t="s">
        <v>10</v>
      </c>
      <c r="H1553">
        <v>0</v>
      </c>
    </row>
    <row r="1554" spans="1:8" x14ac:dyDescent="0.35">
      <c r="A1554">
        <v>16701</v>
      </c>
      <c r="B1554" t="s">
        <v>11</v>
      </c>
      <c r="C1554">
        <v>11</v>
      </c>
      <c r="D1554">
        <v>333</v>
      </c>
      <c r="E1554" t="s">
        <v>8</v>
      </c>
      <c r="F1554" t="s">
        <v>13</v>
      </c>
      <c r="G1554" t="s">
        <v>10</v>
      </c>
      <c r="H1554">
        <v>0</v>
      </c>
    </row>
    <row r="1555" spans="1:8" x14ac:dyDescent="0.35">
      <c r="A1555">
        <v>13708</v>
      </c>
      <c r="B1555" t="s">
        <v>7</v>
      </c>
      <c r="C1555">
        <v>7</v>
      </c>
      <c r="D1555">
        <v>239</v>
      </c>
      <c r="E1555" t="s">
        <v>8</v>
      </c>
      <c r="F1555" t="s">
        <v>9</v>
      </c>
      <c r="G1555" t="s">
        <v>10</v>
      </c>
      <c r="H1555">
        <v>0</v>
      </c>
    </row>
    <row r="1556" spans="1:8" x14ac:dyDescent="0.35">
      <c r="A1556">
        <v>16980</v>
      </c>
      <c r="B1556" t="s">
        <v>7</v>
      </c>
      <c r="C1556">
        <v>1</v>
      </c>
      <c r="D1556">
        <v>133</v>
      </c>
      <c r="E1556" t="s">
        <v>8</v>
      </c>
      <c r="F1556" t="s">
        <v>9</v>
      </c>
      <c r="G1556" t="s">
        <v>14</v>
      </c>
      <c r="H1556">
        <v>0</v>
      </c>
    </row>
    <row r="1557" spans="1:8" x14ac:dyDescent="0.35">
      <c r="A1557">
        <v>12536</v>
      </c>
      <c r="B1557" t="s">
        <v>11</v>
      </c>
      <c r="C1557">
        <v>12</v>
      </c>
      <c r="D1557">
        <v>213</v>
      </c>
      <c r="E1557" t="s">
        <v>8</v>
      </c>
      <c r="F1557" t="s">
        <v>9</v>
      </c>
      <c r="G1557" t="s">
        <v>16</v>
      </c>
      <c r="H1557">
        <v>0</v>
      </c>
    </row>
    <row r="1558" spans="1:8" x14ac:dyDescent="0.35">
      <c r="A1558">
        <v>12733</v>
      </c>
      <c r="B1558" t="s">
        <v>7</v>
      </c>
      <c r="C1558">
        <v>14</v>
      </c>
      <c r="D1558">
        <v>271</v>
      </c>
      <c r="E1558" t="s">
        <v>8</v>
      </c>
      <c r="F1558" t="s">
        <v>13</v>
      </c>
      <c r="G1558" t="s">
        <v>14</v>
      </c>
      <c r="H1558">
        <v>0</v>
      </c>
    </row>
    <row r="1559" spans="1:8" x14ac:dyDescent="0.35">
      <c r="A1559">
        <v>16275</v>
      </c>
      <c r="B1559" t="s">
        <v>7</v>
      </c>
      <c r="C1559">
        <v>3</v>
      </c>
      <c r="D1559">
        <v>57</v>
      </c>
      <c r="E1559" t="s">
        <v>8</v>
      </c>
      <c r="F1559" t="s">
        <v>13</v>
      </c>
      <c r="G1559" t="s">
        <v>12</v>
      </c>
      <c r="H1559">
        <v>0</v>
      </c>
    </row>
    <row r="1560" spans="1:8" x14ac:dyDescent="0.35">
      <c r="A1560">
        <v>17172</v>
      </c>
      <c r="B1560" t="s">
        <v>7</v>
      </c>
      <c r="C1560">
        <v>7</v>
      </c>
      <c r="D1560">
        <v>184</v>
      </c>
      <c r="E1560" t="s">
        <v>8</v>
      </c>
      <c r="F1560" t="s">
        <v>9</v>
      </c>
      <c r="G1560" t="s">
        <v>12</v>
      </c>
      <c r="H1560">
        <v>0</v>
      </c>
    </row>
    <row r="1561" spans="1:8" x14ac:dyDescent="0.35">
      <c r="A1561">
        <v>17220</v>
      </c>
      <c r="B1561" t="s">
        <v>11</v>
      </c>
      <c r="C1561">
        <v>6</v>
      </c>
      <c r="D1561">
        <v>361</v>
      </c>
      <c r="E1561" t="s">
        <v>8</v>
      </c>
      <c r="F1561" t="s">
        <v>9</v>
      </c>
      <c r="G1561" t="s">
        <v>14</v>
      </c>
      <c r="H1561">
        <v>0</v>
      </c>
    </row>
    <row r="1562" spans="1:8" x14ac:dyDescent="0.35">
      <c r="A1562">
        <v>18800</v>
      </c>
      <c r="B1562" t="s">
        <v>11</v>
      </c>
      <c r="C1562">
        <v>13</v>
      </c>
      <c r="D1562">
        <v>90</v>
      </c>
      <c r="E1562" t="s">
        <v>8</v>
      </c>
      <c r="F1562" t="s">
        <v>9</v>
      </c>
      <c r="G1562" t="s">
        <v>14</v>
      </c>
      <c r="H1562">
        <v>0</v>
      </c>
    </row>
    <row r="1563" spans="1:8" x14ac:dyDescent="0.35">
      <c r="A1563">
        <v>14660</v>
      </c>
      <c r="B1563" t="s">
        <v>11</v>
      </c>
      <c r="C1563">
        <v>3</v>
      </c>
      <c r="D1563">
        <v>178</v>
      </c>
      <c r="E1563" t="s">
        <v>8</v>
      </c>
      <c r="F1563" t="s">
        <v>9</v>
      </c>
      <c r="G1563" t="s">
        <v>14</v>
      </c>
      <c r="H1563">
        <v>0</v>
      </c>
    </row>
    <row r="1564" spans="1:8" x14ac:dyDescent="0.35">
      <c r="A1564">
        <v>16235</v>
      </c>
      <c r="B1564" t="s">
        <v>7</v>
      </c>
      <c r="C1564">
        <v>5</v>
      </c>
      <c r="D1564">
        <v>293</v>
      </c>
      <c r="E1564" t="s">
        <v>8</v>
      </c>
      <c r="F1564" t="s">
        <v>13</v>
      </c>
      <c r="G1564" t="s">
        <v>10</v>
      </c>
      <c r="H1564">
        <v>0</v>
      </c>
    </row>
    <row r="1565" spans="1:8" x14ac:dyDescent="0.35">
      <c r="A1565">
        <v>11953</v>
      </c>
      <c r="B1565" t="s">
        <v>7</v>
      </c>
      <c r="C1565">
        <v>9</v>
      </c>
      <c r="D1565">
        <v>138</v>
      </c>
      <c r="E1565" t="s">
        <v>8</v>
      </c>
      <c r="F1565" t="s">
        <v>9</v>
      </c>
      <c r="G1565" t="s">
        <v>14</v>
      </c>
      <c r="H1565">
        <v>0</v>
      </c>
    </row>
    <row r="1566" spans="1:8" x14ac:dyDescent="0.35">
      <c r="A1566">
        <v>11172</v>
      </c>
      <c r="B1566" t="s">
        <v>7</v>
      </c>
      <c r="C1566">
        <v>5</v>
      </c>
      <c r="D1566">
        <v>310</v>
      </c>
      <c r="E1566" t="s">
        <v>8</v>
      </c>
      <c r="F1566" t="s">
        <v>13</v>
      </c>
      <c r="G1566" t="s">
        <v>10</v>
      </c>
      <c r="H1566">
        <v>0</v>
      </c>
    </row>
    <row r="1567" spans="1:8" x14ac:dyDescent="0.35">
      <c r="A1567">
        <v>13808</v>
      </c>
      <c r="B1567" t="s">
        <v>11</v>
      </c>
      <c r="C1567">
        <v>11</v>
      </c>
      <c r="D1567">
        <v>179</v>
      </c>
      <c r="E1567" t="s">
        <v>8</v>
      </c>
      <c r="F1567" t="s">
        <v>9</v>
      </c>
      <c r="G1567" t="s">
        <v>14</v>
      </c>
      <c r="H1567">
        <v>0</v>
      </c>
    </row>
    <row r="1568" spans="1:8" x14ac:dyDescent="0.35">
      <c r="A1568">
        <v>14544</v>
      </c>
      <c r="B1568" t="s">
        <v>11</v>
      </c>
      <c r="C1568">
        <v>11</v>
      </c>
      <c r="D1568">
        <v>260</v>
      </c>
      <c r="E1568" t="s">
        <v>8</v>
      </c>
      <c r="F1568" t="s">
        <v>13</v>
      </c>
      <c r="G1568" t="s">
        <v>14</v>
      </c>
      <c r="H1568">
        <v>0</v>
      </c>
    </row>
    <row r="1569" spans="1:8" x14ac:dyDescent="0.35">
      <c r="A1569">
        <v>14518</v>
      </c>
      <c r="B1569" t="s">
        <v>11</v>
      </c>
      <c r="C1569">
        <v>10</v>
      </c>
      <c r="D1569">
        <v>65</v>
      </c>
      <c r="E1569" t="s">
        <v>8</v>
      </c>
      <c r="F1569" t="s">
        <v>13</v>
      </c>
      <c r="G1569" t="s">
        <v>12</v>
      </c>
      <c r="H1569">
        <v>0</v>
      </c>
    </row>
    <row r="1570" spans="1:8" x14ac:dyDescent="0.35">
      <c r="A1570">
        <v>10415</v>
      </c>
      <c r="B1570" t="s">
        <v>7</v>
      </c>
      <c r="C1570">
        <v>8</v>
      </c>
      <c r="D1570">
        <v>383</v>
      </c>
      <c r="E1570" t="s">
        <v>8</v>
      </c>
      <c r="F1570" t="s">
        <v>9</v>
      </c>
      <c r="G1570" t="s">
        <v>12</v>
      </c>
      <c r="H1570">
        <v>0</v>
      </c>
    </row>
    <row r="1571" spans="1:8" x14ac:dyDescent="0.35">
      <c r="A1571">
        <v>17590</v>
      </c>
      <c r="B1571" t="s">
        <v>11</v>
      </c>
      <c r="C1571">
        <v>12</v>
      </c>
      <c r="D1571">
        <v>71</v>
      </c>
      <c r="E1571" t="s">
        <v>8</v>
      </c>
      <c r="F1571" t="s">
        <v>9</v>
      </c>
      <c r="G1571" t="s">
        <v>14</v>
      </c>
      <c r="H1571">
        <v>0</v>
      </c>
    </row>
    <row r="1572" spans="1:8" x14ac:dyDescent="0.35">
      <c r="A1572">
        <v>10294</v>
      </c>
      <c r="B1572" t="s">
        <v>7</v>
      </c>
      <c r="C1572">
        <v>5</v>
      </c>
      <c r="D1572">
        <v>66</v>
      </c>
      <c r="E1572" t="s">
        <v>8</v>
      </c>
      <c r="F1572" t="s">
        <v>9</v>
      </c>
      <c r="G1572" t="s">
        <v>16</v>
      </c>
      <c r="H1572">
        <v>0</v>
      </c>
    </row>
    <row r="1573" spans="1:8" x14ac:dyDescent="0.35">
      <c r="A1573">
        <v>19642</v>
      </c>
      <c r="B1573" t="s">
        <v>7</v>
      </c>
      <c r="C1573">
        <v>10</v>
      </c>
      <c r="D1573">
        <v>56</v>
      </c>
      <c r="E1573" t="s">
        <v>8</v>
      </c>
      <c r="F1573" t="s">
        <v>13</v>
      </c>
      <c r="G1573" t="s">
        <v>10</v>
      </c>
      <c r="H1573">
        <v>0</v>
      </c>
    </row>
    <row r="1574" spans="1:8" x14ac:dyDescent="0.35">
      <c r="A1574">
        <v>17594</v>
      </c>
      <c r="B1574" t="s">
        <v>7</v>
      </c>
      <c r="C1574">
        <v>8</v>
      </c>
      <c r="D1574">
        <v>279</v>
      </c>
      <c r="E1574" t="s">
        <v>8</v>
      </c>
      <c r="F1574" t="s">
        <v>9</v>
      </c>
      <c r="G1574" t="s">
        <v>12</v>
      </c>
      <c r="H1574">
        <v>0</v>
      </c>
    </row>
    <row r="1575" spans="1:8" x14ac:dyDescent="0.35">
      <c r="A1575">
        <v>14294</v>
      </c>
      <c r="B1575" t="s">
        <v>11</v>
      </c>
      <c r="C1575">
        <v>2</v>
      </c>
      <c r="D1575">
        <v>438</v>
      </c>
      <c r="E1575" t="s">
        <v>8</v>
      </c>
      <c r="F1575" t="s">
        <v>9</v>
      </c>
      <c r="G1575" t="s">
        <v>16</v>
      </c>
      <c r="H1575">
        <v>0</v>
      </c>
    </row>
    <row r="1576" spans="1:8" x14ac:dyDescent="0.35">
      <c r="A1576">
        <v>11949</v>
      </c>
      <c r="B1576" t="s">
        <v>7</v>
      </c>
      <c r="C1576">
        <v>5</v>
      </c>
      <c r="D1576">
        <v>137</v>
      </c>
      <c r="E1576" t="s">
        <v>8</v>
      </c>
      <c r="F1576" t="s">
        <v>9</v>
      </c>
      <c r="G1576" t="s">
        <v>12</v>
      </c>
      <c r="H1576">
        <v>0</v>
      </c>
    </row>
    <row r="1577" spans="1:8" x14ac:dyDescent="0.35">
      <c r="A1577">
        <v>13569</v>
      </c>
      <c r="B1577" t="s">
        <v>7</v>
      </c>
      <c r="C1577">
        <v>13</v>
      </c>
      <c r="D1577">
        <v>422</v>
      </c>
      <c r="E1577" t="s">
        <v>15</v>
      </c>
      <c r="F1577" t="s">
        <v>13</v>
      </c>
      <c r="G1577" t="s">
        <v>14</v>
      </c>
      <c r="H1577">
        <v>1</v>
      </c>
    </row>
    <row r="1578" spans="1:8" x14ac:dyDescent="0.35">
      <c r="A1578">
        <v>15112</v>
      </c>
      <c r="B1578" t="s">
        <v>11</v>
      </c>
      <c r="C1578">
        <v>13</v>
      </c>
      <c r="D1578">
        <v>405</v>
      </c>
      <c r="E1578" t="s">
        <v>8</v>
      </c>
      <c r="F1578" t="s">
        <v>9</v>
      </c>
      <c r="G1578" t="s">
        <v>12</v>
      </c>
      <c r="H1578">
        <v>0</v>
      </c>
    </row>
    <row r="1579" spans="1:8" x14ac:dyDescent="0.35">
      <c r="A1579">
        <v>10672</v>
      </c>
      <c r="B1579" t="s">
        <v>7</v>
      </c>
      <c r="C1579">
        <v>11</v>
      </c>
      <c r="D1579">
        <v>41</v>
      </c>
      <c r="E1579" t="s">
        <v>8</v>
      </c>
      <c r="F1579" t="s">
        <v>9</v>
      </c>
      <c r="G1579" t="s">
        <v>12</v>
      </c>
      <c r="H1579">
        <v>0</v>
      </c>
    </row>
    <row r="1580" spans="1:8" x14ac:dyDescent="0.35">
      <c r="A1580">
        <v>17775</v>
      </c>
      <c r="B1580" t="s">
        <v>7</v>
      </c>
      <c r="C1580">
        <v>12</v>
      </c>
      <c r="D1580">
        <v>151</v>
      </c>
      <c r="E1580" t="s">
        <v>8</v>
      </c>
      <c r="F1580" t="s">
        <v>13</v>
      </c>
      <c r="G1580" t="s">
        <v>14</v>
      </c>
      <c r="H1580">
        <v>0</v>
      </c>
    </row>
    <row r="1581" spans="1:8" x14ac:dyDescent="0.35">
      <c r="A1581">
        <v>18150</v>
      </c>
      <c r="B1581" t="s">
        <v>7</v>
      </c>
      <c r="C1581">
        <v>7</v>
      </c>
      <c r="D1581">
        <v>259</v>
      </c>
      <c r="E1581" t="s">
        <v>8</v>
      </c>
      <c r="F1581" t="s">
        <v>9</v>
      </c>
      <c r="G1581" t="s">
        <v>14</v>
      </c>
      <c r="H1581">
        <v>0</v>
      </c>
    </row>
    <row r="1582" spans="1:8" x14ac:dyDescent="0.35">
      <c r="A1582">
        <v>12465</v>
      </c>
      <c r="B1582" t="s">
        <v>7</v>
      </c>
      <c r="C1582">
        <v>8</v>
      </c>
      <c r="D1582">
        <v>395</v>
      </c>
      <c r="E1582" t="s">
        <v>8</v>
      </c>
      <c r="F1582" t="s">
        <v>13</v>
      </c>
      <c r="G1582" t="s">
        <v>14</v>
      </c>
      <c r="H1582">
        <v>0</v>
      </c>
    </row>
    <row r="1583" spans="1:8" x14ac:dyDescent="0.35">
      <c r="A1583">
        <v>11572</v>
      </c>
      <c r="B1583" t="s">
        <v>7</v>
      </c>
      <c r="C1583">
        <v>1</v>
      </c>
      <c r="D1583">
        <v>101</v>
      </c>
      <c r="E1583" t="s">
        <v>8</v>
      </c>
      <c r="F1583" t="s">
        <v>13</v>
      </c>
      <c r="G1583" t="s">
        <v>10</v>
      </c>
      <c r="H1583">
        <v>0</v>
      </c>
    </row>
    <row r="1584" spans="1:8" x14ac:dyDescent="0.35">
      <c r="A1584">
        <v>10099</v>
      </c>
      <c r="B1584" t="s">
        <v>7</v>
      </c>
      <c r="C1584">
        <v>12</v>
      </c>
      <c r="D1584">
        <v>313</v>
      </c>
      <c r="E1584" t="s">
        <v>8</v>
      </c>
      <c r="F1584" t="s">
        <v>13</v>
      </c>
      <c r="G1584" t="s">
        <v>16</v>
      </c>
      <c r="H1584">
        <v>0</v>
      </c>
    </row>
    <row r="1585" spans="1:8" x14ac:dyDescent="0.35">
      <c r="A1585">
        <v>11037</v>
      </c>
      <c r="B1585" t="s">
        <v>11</v>
      </c>
      <c r="C1585">
        <v>14</v>
      </c>
      <c r="D1585">
        <v>290</v>
      </c>
      <c r="E1585" t="s">
        <v>8</v>
      </c>
      <c r="F1585" t="s">
        <v>13</v>
      </c>
      <c r="G1585" t="s">
        <v>10</v>
      </c>
      <c r="H1585">
        <v>0</v>
      </c>
    </row>
    <row r="1586" spans="1:8" x14ac:dyDescent="0.35">
      <c r="A1586">
        <v>12605</v>
      </c>
      <c r="B1586" t="s">
        <v>11</v>
      </c>
      <c r="C1586">
        <v>8</v>
      </c>
      <c r="D1586">
        <v>421</v>
      </c>
      <c r="E1586" t="s">
        <v>8</v>
      </c>
      <c r="F1586" t="s">
        <v>9</v>
      </c>
      <c r="G1586" t="s">
        <v>10</v>
      </c>
      <c r="H1586">
        <v>0</v>
      </c>
    </row>
    <row r="1587" spans="1:8" x14ac:dyDescent="0.35">
      <c r="A1587">
        <v>15432</v>
      </c>
      <c r="B1587" t="s">
        <v>7</v>
      </c>
      <c r="C1587">
        <v>5</v>
      </c>
      <c r="D1587">
        <v>130</v>
      </c>
      <c r="E1587" t="s">
        <v>8</v>
      </c>
      <c r="F1587" t="s">
        <v>9</v>
      </c>
      <c r="G1587" t="s">
        <v>14</v>
      </c>
      <c r="H1587">
        <v>0</v>
      </c>
    </row>
    <row r="1588" spans="1:8" x14ac:dyDescent="0.35">
      <c r="A1588">
        <v>16494</v>
      </c>
      <c r="B1588" t="s">
        <v>7</v>
      </c>
      <c r="C1588">
        <v>8</v>
      </c>
      <c r="D1588">
        <v>348</v>
      </c>
      <c r="E1588" t="s">
        <v>15</v>
      </c>
      <c r="F1588" t="s">
        <v>9</v>
      </c>
      <c r="G1588" t="s">
        <v>16</v>
      </c>
      <c r="H1588">
        <v>1</v>
      </c>
    </row>
    <row r="1589" spans="1:8" x14ac:dyDescent="0.35">
      <c r="A1589">
        <v>11487</v>
      </c>
      <c r="B1589" t="s">
        <v>7</v>
      </c>
      <c r="C1589">
        <v>14</v>
      </c>
      <c r="D1589">
        <v>435</v>
      </c>
      <c r="E1589" t="s">
        <v>8</v>
      </c>
      <c r="F1589" t="s">
        <v>13</v>
      </c>
      <c r="G1589" t="s">
        <v>14</v>
      </c>
      <c r="H1589">
        <v>0</v>
      </c>
    </row>
    <row r="1590" spans="1:8" x14ac:dyDescent="0.35">
      <c r="A1590">
        <v>19070</v>
      </c>
      <c r="B1590" t="s">
        <v>11</v>
      </c>
      <c r="C1590">
        <v>1</v>
      </c>
      <c r="D1590">
        <v>52</v>
      </c>
      <c r="E1590" t="s">
        <v>15</v>
      </c>
      <c r="F1590" t="s">
        <v>9</v>
      </c>
      <c r="G1590" t="s">
        <v>10</v>
      </c>
      <c r="H1590">
        <v>1</v>
      </c>
    </row>
    <row r="1591" spans="1:8" x14ac:dyDescent="0.35">
      <c r="A1591">
        <v>19594</v>
      </c>
      <c r="B1591" t="s">
        <v>11</v>
      </c>
      <c r="C1591">
        <v>3</v>
      </c>
      <c r="D1591">
        <v>213</v>
      </c>
      <c r="E1591" t="s">
        <v>8</v>
      </c>
      <c r="F1591" t="s">
        <v>9</v>
      </c>
      <c r="G1591" t="s">
        <v>14</v>
      </c>
      <c r="H1591">
        <v>0</v>
      </c>
    </row>
    <row r="1592" spans="1:8" x14ac:dyDescent="0.35">
      <c r="A1592">
        <v>16344</v>
      </c>
      <c r="B1592" t="s">
        <v>11</v>
      </c>
      <c r="C1592">
        <v>7</v>
      </c>
      <c r="D1592">
        <v>162</v>
      </c>
      <c r="E1592" t="s">
        <v>8</v>
      </c>
      <c r="F1592" t="s">
        <v>13</v>
      </c>
      <c r="G1592" t="s">
        <v>10</v>
      </c>
      <c r="H1592">
        <v>0</v>
      </c>
    </row>
    <row r="1593" spans="1:8" x14ac:dyDescent="0.35">
      <c r="A1593">
        <v>14862</v>
      </c>
      <c r="B1593" t="s">
        <v>11</v>
      </c>
      <c r="C1593">
        <v>10</v>
      </c>
      <c r="D1593">
        <v>112</v>
      </c>
      <c r="E1593" t="s">
        <v>8</v>
      </c>
      <c r="F1593" t="s">
        <v>13</v>
      </c>
      <c r="G1593" t="s">
        <v>14</v>
      </c>
      <c r="H1593">
        <v>0</v>
      </c>
    </row>
    <row r="1594" spans="1:8" x14ac:dyDescent="0.35">
      <c r="A1594">
        <v>15811</v>
      </c>
      <c r="B1594" t="s">
        <v>7</v>
      </c>
      <c r="C1594">
        <v>4</v>
      </c>
      <c r="D1594">
        <v>172</v>
      </c>
      <c r="E1594" t="s">
        <v>8</v>
      </c>
      <c r="F1594" t="s">
        <v>13</v>
      </c>
      <c r="G1594" t="s">
        <v>12</v>
      </c>
      <c r="H1594">
        <v>0</v>
      </c>
    </row>
    <row r="1595" spans="1:8" x14ac:dyDescent="0.35">
      <c r="A1595">
        <v>13746</v>
      </c>
      <c r="B1595" t="s">
        <v>11</v>
      </c>
      <c r="C1595">
        <v>9</v>
      </c>
      <c r="D1595">
        <v>326</v>
      </c>
      <c r="E1595" t="s">
        <v>8</v>
      </c>
      <c r="F1595" t="s">
        <v>9</v>
      </c>
      <c r="G1595" t="s">
        <v>12</v>
      </c>
      <c r="H1595">
        <v>0</v>
      </c>
    </row>
    <row r="1596" spans="1:8" x14ac:dyDescent="0.35">
      <c r="A1596">
        <v>15025</v>
      </c>
      <c r="B1596" t="s">
        <v>11</v>
      </c>
      <c r="C1596">
        <v>10</v>
      </c>
      <c r="D1596">
        <v>211</v>
      </c>
      <c r="E1596" t="s">
        <v>8</v>
      </c>
      <c r="F1596" t="s">
        <v>13</v>
      </c>
      <c r="G1596" t="s">
        <v>12</v>
      </c>
      <c r="H1596">
        <v>0</v>
      </c>
    </row>
    <row r="1597" spans="1:8" x14ac:dyDescent="0.35">
      <c r="A1597">
        <v>12440</v>
      </c>
      <c r="B1597" t="s">
        <v>11</v>
      </c>
      <c r="C1597">
        <v>5</v>
      </c>
      <c r="D1597">
        <v>369</v>
      </c>
      <c r="E1597" t="s">
        <v>8</v>
      </c>
      <c r="F1597" t="s">
        <v>13</v>
      </c>
      <c r="G1597" t="s">
        <v>14</v>
      </c>
      <c r="H1597">
        <v>0</v>
      </c>
    </row>
    <row r="1598" spans="1:8" x14ac:dyDescent="0.35">
      <c r="A1598">
        <v>11848</v>
      </c>
      <c r="B1598" t="s">
        <v>11</v>
      </c>
      <c r="C1598">
        <v>8</v>
      </c>
      <c r="D1598">
        <v>322</v>
      </c>
      <c r="E1598" t="s">
        <v>8</v>
      </c>
      <c r="F1598" t="s">
        <v>13</v>
      </c>
      <c r="G1598" t="s">
        <v>16</v>
      </c>
      <c r="H1598">
        <v>0</v>
      </c>
    </row>
    <row r="1599" spans="1:8" x14ac:dyDescent="0.35">
      <c r="A1599">
        <v>16668</v>
      </c>
      <c r="B1599" t="s">
        <v>11</v>
      </c>
      <c r="C1599">
        <v>7</v>
      </c>
      <c r="D1599">
        <v>120</v>
      </c>
      <c r="E1599" t="s">
        <v>8</v>
      </c>
      <c r="F1599" t="s">
        <v>9</v>
      </c>
      <c r="G1599" t="s">
        <v>12</v>
      </c>
      <c r="H1599">
        <v>0</v>
      </c>
    </row>
    <row r="1600" spans="1:8" x14ac:dyDescent="0.35">
      <c r="A1600">
        <v>15099</v>
      </c>
      <c r="B1600" t="s">
        <v>7</v>
      </c>
      <c r="C1600">
        <v>6</v>
      </c>
      <c r="D1600">
        <v>333</v>
      </c>
      <c r="E1600" t="s">
        <v>8</v>
      </c>
      <c r="F1600" t="s">
        <v>13</v>
      </c>
      <c r="G1600" t="s">
        <v>10</v>
      </c>
      <c r="H1600">
        <v>0</v>
      </c>
    </row>
    <row r="1601" spans="1:8" x14ac:dyDescent="0.35">
      <c r="A1601">
        <v>12019</v>
      </c>
      <c r="B1601" t="s">
        <v>7</v>
      </c>
      <c r="C1601">
        <v>1</v>
      </c>
      <c r="D1601">
        <v>91</v>
      </c>
      <c r="E1601" t="s">
        <v>8</v>
      </c>
      <c r="F1601" t="s">
        <v>13</v>
      </c>
      <c r="G1601" t="s">
        <v>16</v>
      </c>
      <c r="H1601">
        <v>0</v>
      </c>
    </row>
    <row r="1602" spans="1:8" x14ac:dyDescent="0.35">
      <c r="A1602">
        <v>10342</v>
      </c>
      <c r="B1602" t="s">
        <v>11</v>
      </c>
      <c r="C1602">
        <v>7</v>
      </c>
      <c r="D1602">
        <v>252</v>
      </c>
      <c r="E1602" t="s">
        <v>8</v>
      </c>
      <c r="F1602" t="s">
        <v>9</v>
      </c>
      <c r="G1602" t="s">
        <v>12</v>
      </c>
      <c r="H1602">
        <v>0</v>
      </c>
    </row>
    <row r="1603" spans="1:8" x14ac:dyDescent="0.35">
      <c r="A1603">
        <v>11380</v>
      </c>
      <c r="B1603" t="s">
        <v>7</v>
      </c>
      <c r="C1603">
        <v>1</v>
      </c>
      <c r="D1603">
        <v>224</v>
      </c>
      <c r="E1603" t="s">
        <v>8</v>
      </c>
      <c r="F1603" t="s">
        <v>13</v>
      </c>
      <c r="G1603" t="s">
        <v>16</v>
      </c>
      <c r="H1603">
        <v>0</v>
      </c>
    </row>
    <row r="1604" spans="1:8" x14ac:dyDescent="0.35">
      <c r="A1604">
        <v>19781</v>
      </c>
      <c r="B1604" t="s">
        <v>11</v>
      </c>
      <c r="C1604">
        <v>7</v>
      </c>
      <c r="D1604">
        <v>271</v>
      </c>
      <c r="E1604" t="s">
        <v>8</v>
      </c>
      <c r="F1604" t="s">
        <v>13</v>
      </c>
      <c r="G1604" t="s">
        <v>10</v>
      </c>
      <c r="H1604">
        <v>0</v>
      </c>
    </row>
    <row r="1605" spans="1:8" x14ac:dyDescent="0.35">
      <c r="A1605">
        <v>16507</v>
      </c>
      <c r="B1605" t="s">
        <v>7</v>
      </c>
      <c r="C1605">
        <v>12</v>
      </c>
      <c r="D1605">
        <v>259</v>
      </c>
      <c r="E1605" t="s">
        <v>8</v>
      </c>
      <c r="F1605" t="s">
        <v>9</v>
      </c>
      <c r="G1605" t="s">
        <v>14</v>
      </c>
      <c r="H1605">
        <v>0</v>
      </c>
    </row>
    <row r="1606" spans="1:8" x14ac:dyDescent="0.35">
      <c r="A1606">
        <v>14956</v>
      </c>
      <c r="B1606" t="s">
        <v>11</v>
      </c>
      <c r="C1606">
        <v>12</v>
      </c>
      <c r="D1606">
        <v>267</v>
      </c>
      <c r="E1606" t="s">
        <v>8</v>
      </c>
      <c r="F1606" t="s">
        <v>9</v>
      </c>
      <c r="G1606" t="s">
        <v>10</v>
      </c>
      <c r="H1606">
        <v>0</v>
      </c>
    </row>
    <row r="1607" spans="1:8" x14ac:dyDescent="0.35">
      <c r="A1607">
        <v>19870</v>
      </c>
      <c r="B1607" t="s">
        <v>11</v>
      </c>
      <c r="C1607">
        <v>10</v>
      </c>
      <c r="D1607">
        <v>101</v>
      </c>
      <c r="E1607" t="s">
        <v>8</v>
      </c>
      <c r="F1607" t="s">
        <v>9</v>
      </c>
      <c r="G1607" t="s">
        <v>14</v>
      </c>
      <c r="H1607">
        <v>0</v>
      </c>
    </row>
    <row r="1608" spans="1:8" x14ac:dyDescent="0.35">
      <c r="A1608">
        <v>10596</v>
      </c>
      <c r="B1608" t="s">
        <v>7</v>
      </c>
      <c r="C1608">
        <v>9</v>
      </c>
      <c r="D1608">
        <v>292</v>
      </c>
      <c r="E1608" t="s">
        <v>15</v>
      </c>
      <c r="F1608" t="s">
        <v>13</v>
      </c>
      <c r="G1608" t="s">
        <v>10</v>
      </c>
      <c r="H1608">
        <v>1</v>
      </c>
    </row>
    <row r="1609" spans="1:8" x14ac:dyDescent="0.35">
      <c r="A1609">
        <v>12530</v>
      </c>
      <c r="B1609" t="s">
        <v>11</v>
      </c>
      <c r="C1609">
        <v>9</v>
      </c>
      <c r="D1609">
        <v>279</v>
      </c>
      <c r="E1609" t="s">
        <v>8</v>
      </c>
      <c r="F1609" t="s">
        <v>9</v>
      </c>
      <c r="G1609" t="s">
        <v>12</v>
      </c>
      <c r="H1609">
        <v>0</v>
      </c>
    </row>
    <row r="1610" spans="1:8" x14ac:dyDescent="0.35">
      <c r="A1610">
        <v>11999</v>
      </c>
      <c r="B1610" t="s">
        <v>11</v>
      </c>
      <c r="C1610">
        <v>6</v>
      </c>
      <c r="D1610">
        <v>152</v>
      </c>
      <c r="E1610" t="s">
        <v>8</v>
      </c>
      <c r="F1610" t="s">
        <v>13</v>
      </c>
      <c r="G1610" t="s">
        <v>10</v>
      </c>
      <c r="H1610">
        <v>0</v>
      </c>
    </row>
    <row r="1611" spans="1:8" x14ac:dyDescent="0.35">
      <c r="A1611">
        <v>11372</v>
      </c>
      <c r="B1611" t="s">
        <v>7</v>
      </c>
      <c r="C1611">
        <v>4</v>
      </c>
      <c r="D1611">
        <v>238</v>
      </c>
      <c r="E1611" t="s">
        <v>8</v>
      </c>
      <c r="F1611" t="s">
        <v>13</v>
      </c>
      <c r="G1611" t="s">
        <v>16</v>
      </c>
      <c r="H1611">
        <v>0</v>
      </c>
    </row>
    <row r="1612" spans="1:8" x14ac:dyDescent="0.35">
      <c r="A1612">
        <v>19822</v>
      </c>
      <c r="B1612" t="s">
        <v>7</v>
      </c>
      <c r="C1612">
        <v>9</v>
      </c>
      <c r="D1612">
        <v>323</v>
      </c>
      <c r="E1612" t="s">
        <v>8</v>
      </c>
      <c r="F1612" t="s">
        <v>13</v>
      </c>
      <c r="G1612" t="s">
        <v>16</v>
      </c>
      <c r="H1612">
        <v>0</v>
      </c>
    </row>
    <row r="1613" spans="1:8" x14ac:dyDescent="0.35">
      <c r="A1613">
        <v>17694</v>
      </c>
      <c r="B1613" t="s">
        <v>11</v>
      </c>
      <c r="C1613">
        <v>1</v>
      </c>
      <c r="D1613">
        <v>161</v>
      </c>
      <c r="E1613" t="s">
        <v>8</v>
      </c>
      <c r="F1613" t="s">
        <v>9</v>
      </c>
      <c r="G1613" t="s">
        <v>10</v>
      </c>
      <c r="H1613">
        <v>0</v>
      </c>
    </row>
    <row r="1614" spans="1:8" x14ac:dyDescent="0.35">
      <c r="A1614">
        <v>18639</v>
      </c>
      <c r="B1614" t="s">
        <v>11</v>
      </c>
      <c r="C1614">
        <v>11</v>
      </c>
      <c r="D1614">
        <v>287</v>
      </c>
      <c r="E1614" t="s">
        <v>8</v>
      </c>
      <c r="F1614" t="s">
        <v>13</v>
      </c>
      <c r="G1614" t="s">
        <v>16</v>
      </c>
      <c r="H1614">
        <v>0</v>
      </c>
    </row>
    <row r="1615" spans="1:8" x14ac:dyDescent="0.35">
      <c r="A1615">
        <v>12667</v>
      </c>
      <c r="B1615" t="s">
        <v>7</v>
      </c>
      <c r="C1615">
        <v>8</v>
      </c>
      <c r="D1615">
        <v>214</v>
      </c>
      <c r="E1615" t="s">
        <v>8</v>
      </c>
      <c r="F1615" t="s">
        <v>9</v>
      </c>
      <c r="G1615" t="s">
        <v>12</v>
      </c>
      <c r="H1615">
        <v>0</v>
      </c>
    </row>
    <row r="1616" spans="1:8" x14ac:dyDescent="0.35">
      <c r="A1616">
        <v>10355</v>
      </c>
      <c r="B1616" t="s">
        <v>11</v>
      </c>
      <c r="C1616">
        <v>10</v>
      </c>
      <c r="D1616">
        <v>355</v>
      </c>
      <c r="E1616" t="s">
        <v>8</v>
      </c>
      <c r="F1616" t="s">
        <v>9</v>
      </c>
      <c r="G1616" t="s">
        <v>16</v>
      </c>
      <c r="H1616">
        <v>0</v>
      </c>
    </row>
    <row r="1617" spans="1:8" x14ac:dyDescent="0.35">
      <c r="A1617">
        <v>14167</v>
      </c>
      <c r="B1617" t="s">
        <v>7</v>
      </c>
      <c r="C1617">
        <v>9</v>
      </c>
      <c r="D1617">
        <v>245</v>
      </c>
      <c r="E1617" t="s">
        <v>8</v>
      </c>
      <c r="F1617" t="s">
        <v>9</v>
      </c>
      <c r="G1617" t="s">
        <v>12</v>
      </c>
      <c r="H1617">
        <v>0</v>
      </c>
    </row>
    <row r="1618" spans="1:8" x14ac:dyDescent="0.35">
      <c r="A1618">
        <v>11465</v>
      </c>
      <c r="B1618" t="s">
        <v>7</v>
      </c>
      <c r="C1618">
        <v>3</v>
      </c>
      <c r="D1618">
        <v>383</v>
      </c>
      <c r="E1618" t="s">
        <v>8</v>
      </c>
      <c r="F1618" t="s">
        <v>9</v>
      </c>
      <c r="G1618" t="s">
        <v>16</v>
      </c>
      <c r="H1618">
        <v>0</v>
      </c>
    </row>
    <row r="1619" spans="1:8" x14ac:dyDescent="0.35">
      <c r="A1619">
        <v>12374</v>
      </c>
      <c r="B1619" t="s">
        <v>11</v>
      </c>
      <c r="C1619">
        <v>3</v>
      </c>
      <c r="D1619">
        <v>314</v>
      </c>
      <c r="E1619" t="s">
        <v>8</v>
      </c>
      <c r="F1619" t="s">
        <v>13</v>
      </c>
      <c r="G1619" t="s">
        <v>14</v>
      </c>
      <c r="H1619">
        <v>0</v>
      </c>
    </row>
    <row r="1620" spans="1:8" x14ac:dyDescent="0.35">
      <c r="A1620">
        <v>15489</v>
      </c>
      <c r="B1620" t="s">
        <v>11</v>
      </c>
      <c r="C1620">
        <v>6</v>
      </c>
      <c r="D1620">
        <v>237</v>
      </c>
      <c r="E1620" t="s">
        <v>8</v>
      </c>
      <c r="F1620" t="s">
        <v>13</v>
      </c>
      <c r="G1620" t="s">
        <v>14</v>
      </c>
      <c r="H1620">
        <v>0</v>
      </c>
    </row>
    <row r="1621" spans="1:8" x14ac:dyDescent="0.35">
      <c r="A1621">
        <v>16790</v>
      </c>
      <c r="B1621" t="s">
        <v>7</v>
      </c>
      <c r="C1621">
        <v>5</v>
      </c>
      <c r="D1621">
        <v>93</v>
      </c>
      <c r="E1621" t="s">
        <v>8</v>
      </c>
      <c r="F1621" t="s">
        <v>9</v>
      </c>
      <c r="G1621" t="s">
        <v>14</v>
      </c>
      <c r="H1621">
        <v>0</v>
      </c>
    </row>
    <row r="1622" spans="1:8" x14ac:dyDescent="0.35">
      <c r="A1622">
        <v>18463</v>
      </c>
      <c r="B1622" t="s">
        <v>7</v>
      </c>
      <c r="C1622">
        <v>5</v>
      </c>
      <c r="D1622">
        <v>111</v>
      </c>
      <c r="E1622" t="s">
        <v>8</v>
      </c>
      <c r="F1622" t="s">
        <v>9</v>
      </c>
      <c r="G1622" t="s">
        <v>10</v>
      </c>
      <c r="H1622">
        <v>0</v>
      </c>
    </row>
    <row r="1623" spans="1:8" x14ac:dyDescent="0.35">
      <c r="A1623">
        <v>11313</v>
      </c>
      <c r="B1623" t="s">
        <v>11</v>
      </c>
      <c r="C1623">
        <v>6</v>
      </c>
      <c r="D1623">
        <v>231</v>
      </c>
      <c r="E1623" t="s">
        <v>8</v>
      </c>
      <c r="F1623" t="s">
        <v>13</v>
      </c>
      <c r="G1623" t="s">
        <v>10</v>
      </c>
      <c r="H1623">
        <v>0</v>
      </c>
    </row>
    <row r="1624" spans="1:8" x14ac:dyDescent="0.35">
      <c r="A1624">
        <v>11430</v>
      </c>
      <c r="B1624" t="s">
        <v>7</v>
      </c>
      <c r="C1624">
        <v>4</v>
      </c>
      <c r="D1624">
        <v>287</v>
      </c>
      <c r="E1624" t="s">
        <v>8</v>
      </c>
      <c r="F1624" t="s">
        <v>9</v>
      </c>
      <c r="G1624" t="s">
        <v>12</v>
      </c>
      <c r="H1624">
        <v>0</v>
      </c>
    </row>
    <row r="1625" spans="1:8" x14ac:dyDescent="0.35">
      <c r="A1625">
        <v>19668</v>
      </c>
      <c r="B1625" t="s">
        <v>7</v>
      </c>
      <c r="C1625">
        <v>7</v>
      </c>
      <c r="D1625">
        <v>295</v>
      </c>
      <c r="E1625" t="s">
        <v>15</v>
      </c>
      <c r="F1625" t="s">
        <v>13</v>
      </c>
      <c r="G1625" t="s">
        <v>12</v>
      </c>
      <c r="H1625">
        <v>1</v>
      </c>
    </row>
    <row r="1626" spans="1:8" x14ac:dyDescent="0.35">
      <c r="A1626">
        <v>19603</v>
      </c>
      <c r="B1626" t="s">
        <v>7</v>
      </c>
      <c r="C1626">
        <v>3</v>
      </c>
      <c r="D1626">
        <v>175</v>
      </c>
      <c r="E1626" t="s">
        <v>8</v>
      </c>
      <c r="F1626" t="s">
        <v>13</v>
      </c>
      <c r="G1626" t="s">
        <v>14</v>
      </c>
      <c r="H1626">
        <v>0</v>
      </c>
    </row>
    <row r="1627" spans="1:8" x14ac:dyDescent="0.35">
      <c r="A1627">
        <v>10334</v>
      </c>
      <c r="B1627" t="s">
        <v>11</v>
      </c>
      <c r="C1627">
        <v>7</v>
      </c>
      <c r="D1627">
        <v>193</v>
      </c>
      <c r="E1627" t="s">
        <v>8</v>
      </c>
      <c r="F1627" t="s">
        <v>13</v>
      </c>
      <c r="G1627" t="s">
        <v>16</v>
      </c>
      <c r="H1627">
        <v>0</v>
      </c>
    </row>
    <row r="1628" spans="1:8" x14ac:dyDescent="0.35">
      <c r="A1628">
        <v>15729</v>
      </c>
      <c r="B1628" t="s">
        <v>11</v>
      </c>
      <c r="C1628">
        <v>11</v>
      </c>
      <c r="D1628">
        <v>417</v>
      </c>
      <c r="E1628" t="s">
        <v>8</v>
      </c>
      <c r="F1628" t="s">
        <v>9</v>
      </c>
      <c r="G1628" t="s">
        <v>16</v>
      </c>
      <c r="H1628">
        <v>0</v>
      </c>
    </row>
    <row r="1629" spans="1:8" x14ac:dyDescent="0.35">
      <c r="A1629">
        <v>13579</v>
      </c>
      <c r="B1629" t="s">
        <v>7</v>
      </c>
      <c r="C1629">
        <v>12</v>
      </c>
      <c r="D1629">
        <v>420</v>
      </c>
      <c r="E1629" t="s">
        <v>8</v>
      </c>
      <c r="F1629" t="s">
        <v>9</v>
      </c>
      <c r="G1629" t="s">
        <v>10</v>
      </c>
      <c r="H1629">
        <v>0</v>
      </c>
    </row>
    <row r="1630" spans="1:8" x14ac:dyDescent="0.35">
      <c r="A1630">
        <v>10492</v>
      </c>
      <c r="B1630" t="s">
        <v>11</v>
      </c>
      <c r="C1630">
        <v>2</v>
      </c>
      <c r="D1630">
        <v>397</v>
      </c>
      <c r="E1630" t="s">
        <v>8</v>
      </c>
      <c r="F1630" t="s">
        <v>13</v>
      </c>
      <c r="G1630" t="s">
        <v>14</v>
      </c>
      <c r="H1630">
        <v>0</v>
      </c>
    </row>
    <row r="1631" spans="1:8" x14ac:dyDescent="0.35">
      <c r="A1631">
        <v>13195</v>
      </c>
      <c r="B1631" t="s">
        <v>11</v>
      </c>
      <c r="C1631">
        <v>12</v>
      </c>
      <c r="D1631">
        <v>385</v>
      </c>
      <c r="E1631" t="s">
        <v>8</v>
      </c>
      <c r="F1631" t="s">
        <v>13</v>
      </c>
      <c r="G1631" t="s">
        <v>12</v>
      </c>
      <c r="H1631">
        <v>0</v>
      </c>
    </row>
    <row r="1632" spans="1:8" x14ac:dyDescent="0.35">
      <c r="A1632">
        <v>15861</v>
      </c>
      <c r="B1632" t="s">
        <v>7</v>
      </c>
      <c r="C1632">
        <v>3</v>
      </c>
      <c r="D1632">
        <v>413</v>
      </c>
      <c r="E1632" t="s">
        <v>8</v>
      </c>
      <c r="F1632" t="s">
        <v>13</v>
      </c>
      <c r="G1632" t="s">
        <v>10</v>
      </c>
      <c r="H1632">
        <v>0</v>
      </c>
    </row>
    <row r="1633" spans="1:8" x14ac:dyDescent="0.35">
      <c r="A1633">
        <v>13688</v>
      </c>
      <c r="B1633" t="s">
        <v>7</v>
      </c>
      <c r="C1633">
        <v>8</v>
      </c>
      <c r="D1633">
        <v>428</v>
      </c>
      <c r="E1633" t="s">
        <v>8</v>
      </c>
      <c r="F1633" t="s">
        <v>13</v>
      </c>
      <c r="G1633" t="s">
        <v>12</v>
      </c>
      <c r="H1633">
        <v>0</v>
      </c>
    </row>
    <row r="1634" spans="1:8" x14ac:dyDescent="0.35">
      <c r="A1634">
        <v>11064</v>
      </c>
      <c r="B1634" t="s">
        <v>7</v>
      </c>
      <c r="C1634">
        <v>1</v>
      </c>
      <c r="D1634">
        <v>218</v>
      </c>
      <c r="E1634" t="s">
        <v>8</v>
      </c>
      <c r="F1634" t="s">
        <v>13</v>
      </c>
      <c r="G1634" t="s">
        <v>16</v>
      </c>
      <c r="H1634">
        <v>0</v>
      </c>
    </row>
    <row r="1635" spans="1:8" x14ac:dyDescent="0.35">
      <c r="A1635">
        <v>15826</v>
      </c>
      <c r="B1635" t="s">
        <v>11</v>
      </c>
      <c r="C1635">
        <v>1</v>
      </c>
      <c r="D1635">
        <v>262</v>
      </c>
      <c r="E1635" t="s">
        <v>8</v>
      </c>
      <c r="F1635" t="s">
        <v>13</v>
      </c>
      <c r="G1635" t="s">
        <v>14</v>
      </c>
      <c r="H1635">
        <v>0</v>
      </c>
    </row>
    <row r="1636" spans="1:8" x14ac:dyDescent="0.35">
      <c r="A1636">
        <v>10656</v>
      </c>
      <c r="B1636" t="s">
        <v>7</v>
      </c>
      <c r="C1636">
        <v>3</v>
      </c>
      <c r="D1636">
        <v>63</v>
      </c>
      <c r="E1636" t="s">
        <v>8</v>
      </c>
      <c r="F1636" t="s">
        <v>9</v>
      </c>
      <c r="G1636" t="s">
        <v>16</v>
      </c>
      <c r="H1636">
        <v>0</v>
      </c>
    </row>
    <row r="1637" spans="1:8" x14ac:dyDescent="0.35">
      <c r="A1637">
        <v>14359</v>
      </c>
      <c r="B1637" t="s">
        <v>7</v>
      </c>
      <c r="C1637">
        <v>2</v>
      </c>
      <c r="D1637">
        <v>367</v>
      </c>
      <c r="E1637" t="s">
        <v>8</v>
      </c>
      <c r="F1637" t="s">
        <v>9</v>
      </c>
      <c r="G1637" t="s">
        <v>10</v>
      </c>
      <c r="H1637">
        <v>0</v>
      </c>
    </row>
    <row r="1638" spans="1:8" x14ac:dyDescent="0.35">
      <c r="A1638">
        <v>16800</v>
      </c>
      <c r="B1638" t="s">
        <v>11</v>
      </c>
      <c r="C1638">
        <v>2</v>
      </c>
      <c r="D1638">
        <v>94</v>
      </c>
      <c r="E1638" t="s">
        <v>15</v>
      </c>
      <c r="F1638" t="s">
        <v>13</v>
      </c>
      <c r="G1638" t="s">
        <v>16</v>
      </c>
      <c r="H1638">
        <v>1</v>
      </c>
    </row>
    <row r="1639" spans="1:8" x14ac:dyDescent="0.35">
      <c r="A1639">
        <v>10152</v>
      </c>
      <c r="B1639" t="s">
        <v>11</v>
      </c>
      <c r="C1639">
        <v>5</v>
      </c>
      <c r="D1639">
        <v>201</v>
      </c>
      <c r="E1639" t="s">
        <v>8</v>
      </c>
      <c r="F1639" t="s">
        <v>9</v>
      </c>
      <c r="G1639" t="s">
        <v>14</v>
      </c>
      <c r="H1639">
        <v>0</v>
      </c>
    </row>
    <row r="1640" spans="1:8" x14ac:dyDescent="0.35">
      <c r="A1640">
        <v>11910</v>
      </c>
      <c r="B1640" t="s">
        <v>7</v>
      </c>
      <c r="C1640">
        <v>8</v>
      </c>
      <c r="D1640">
        <v>42</v>
      </c>
      <c r="E1640" t="s">
        <v>8</v>
      </c>
      <c r="F1640" t="s">
        <v>9</v>
      </c>
      <c r="G1640" t="s">
        <v>12</v>
      </c>
      <c r="H1640">
        <v>0</v>
      </c>
    </row>
    <row r="1641" spans="1:8" x14ac:dyDescent="0.35">
      <c r="A1641">
        <v>19206</v>
      </c>
      <c r="B1641" t="s">
        <v>11</v>
      </c>
      <c r="C1641">
        <v>4</v>
      </c>
      <c r="D1641">
        <v>105</v>
      </c>
      <c r="E1641" t="s">
        <v>8</v>
      </c>
      <c r="F1641" t="s">
        <v>13</v>
      </c>
      <c r="G1641" t="s">
        <v>12</v>
      </c>
      <c r="H1641">
        <v>0</v>
      </c>
    </row>
    <row r="1642" spans="1:8" x14ac:dyDescent="0.35">
      <c r="A1642">
        <v>18965</v>
      </c>
      <c r="B1642" t="s">
        <v>7</v>
      </c>
      <c r="C1642">
        <v>10</v>
      </c>
      <c r="D1642">
        <v>136</v>
      </c>
      <c r="E1642" t="s">
        <v>8</v>
      </c>
      <c r="F1642" t="s">
        <v>9</v>
      </c>
      <c r="G1642" t="s">
        <v>12</v>
      </c>
      <c r="H1642">
        <v>0</v>
      </c>
    </row>
    <row r="1643" spans="1:8" x14ac:dyDescent="0.35">
      <c r="A1643">
        <v>14225</v>
      </c>
      <c r="B1643" t="s">
        <v>7</v>
      </c>
      <c r="C1643">
        <v>10</v>
      </c>
      <c r="D1643">
        <v>388</v>
      </c>
      <c r="E1643" t="s">
        <v>8</v>
      </c>
      <c r="F1643" t="s">
        <v>13</v>
      </c>
      <c r="G1643" t="s">
        <v>16</v>
      </c>
      <c r="H1643">
        <v>0</v>
      </c>
    </row>
    <row r="1644" spans="1:8" x14ac:dyDescent="0.35">
      <c r="A1644">
        <v>11538</v>
      </c>
      <c r="B1644" t="s">
        <v>11</v>
      </c>
      <c r="C1644">
        <v>13</v>
      </c>
      <c r="D1644">
        <v>304</v>
      </c>
      <c r="E1644" t="s">
        <v>8</v>
      </c>
      <c r="F1644" t="s">
        <v>9</v>
      </c>
      <c r="G1644" t="s">
        <v>14</v>
      </c>
      <c r="H1644">
        <v>0</v>
      </c>
    </row>
    <row r="1645" spans="1:8" x14ac:dyDescent="0.35">
      <c r="A1645">
        <v>13217</v>
      </c>
      <c r="B1645" t="s">
        <v>7</v>
      </c>
      <c r="C1645">
        <v>8</v>
      </c>
      <c r="D1645">
        <v>281</v>
      </c>
      <c r="E1645" t="s">
        <v>15</v>
      </c>
      <c r="F1645" t="s">
        <v>9</v>
      </c>
      <c r="G1645" t="s">
        <v>10</v>
      </c>
      <c r="H1645">
        <v>1</v>
      </c>
    </row>
    <row r="1646" spans="1:8" x14ac:dyDescent="0.35">
      <c r="A1646">
        <v>13878</v>
      </c>
      <c r="B1646" t="s">
        <v>7</v>
      </c>
      <c r="C1646">
        <v>10</v>
      </c>
      <c r="D1646">
        <v>88</v>
      </c>
      <c r="E1646" t="s">
        <v>8</v>
      </c>
      <c r="F1646" t="s">
        <v>13</v>
      </c>
      <c r="G1646" t="s">
        <v>16</v>
      </c>
      <c r="H1646">
        <v>0</v>
      </c>
    </row>
    <row r="1647" spans="1:8" x14ac:dyDescent="0.35">
      <c r="A1647">
        <v>18753</v>
      </c>
      <c r="B1647" t="s">
        <v>11</v>
      </c>
      <c r="C1647">
        <v>7</v>
      </c>
      <c r="D1647">
        <v>363</v>
      </c>
      <c r="E1647" t="s">
        <v>15</v>
      </c>
      <c r="F1647" t="s">
        <v>9</v>
      </c>
      <c r="G1647" t="s">
        <v>16</v>
      </c>
      <c r="H1647">
        <v>1</v>
      </c>
    </row>
    <row r="1648" spans="1:8" x14ac:dyDescent="0.35">
      <c r="A1648">
        <v>10475</v>
      </c>
      <c r="B1648" t="s">
        <v>7</v>
      </c>
      <c r="C1648">
        <v>3</v>
      </c>
      <c r="D1648">
        <v>157</v>
      </c>
      <c r="E1648" t="s">
        <v>8</v>
      </c>
      <c r="F1648" t="s">
        <v>9</v>
      </c>
      <c r="G1648" t="s">
        <v>10</v>
      </c>
      <c r="H1648">
        <v>0</v>
      </c>
    </row>
    <row r="1649" spans="1:8" x14ac:dyDescent="0.35">
      <c r="A1649">
        <v>13324</v>
      </c>
      <c r="B1649" t="s">
        <v>7</v>
      </c>
      <c r="C1649">
        <v>9</v>
      </c>
      <c r="D1649">
        <v>282</v>
      </c>
      <c r="E1649" t="s">
        <v>8</v>
      </c>
      <c r="F1649" t="s">
        <v>9</v>
      </c>
      <c r="G1649" t="s">
        <v>10</v>
      </c>
      <c r="H1649">
        <v>0</v>
      </c>
    </row>
    <row r="1650" spans="1:8" x14ac:dyDescent="0.35">
      <c r="A1650">
        <v>15625</v>
      </c>
      <c r="B1650" t="s">
        <v>7</v>
      </c>
      <c r="C1650">
        <v>1</v>
      </c>
      <c r="D1650">
        <v>358</v>
      </c>
      <c r="E1650" t="s">
        <v>8</v>
      </c>
      <c r="F1650" t="s">
        <v>9</v>
      </c>
      <c r="G1650" t="s">
        <v>14</v>
      </c>
      <c r="H1650">
        <v>0</v>
      </c>
    </row>
    <row r="1651" spans="1:8" x14ac:dyDescent="0.35">
      <c r="A1651">
        <v>12614</v>
      </c>
      <c r="B1651" t="s">
        <v>7</v>
      </c>
      <c r="C1651">
        <v>9</v>
      </c>
      <c r="D1651">
        <v>44</v>
      </c>
      <c r="E1651" t="s">
        <v>8</v>
      </c>
      <c r="F1651" t="s">
        <v>9</v>
      </c>
      <c r="G1651" t="s">
        <v>10</v>
      </c>
      <c r="H1651">
        <v>0</v>
      </c>
    </row>
    <row r="1652" spans="1:8" x14ac:dyDescent="0.35">
      <c r="A1652">
        <v>13054</v>
      </c>
      <c r="B1652" t="s">
        <v>7</v>
      </c>
      <c r="C1652">
        <v>9</v>
      </c>
      <c r="D1652">
        <v>170</v>
      </c>
      <c r="E1652" t="s">
        <v>15</v>
      </c>
      <c r="F1652" t="s">
        <v>13</v>
      </c>
      <c r="G1652" t="s">
        <v>12</v>
      </c>
      <c r="H1652">
        <v>1</v>
      </c>
    </row>
    <row r="1653" spans="1:8" x14ac:dyDescent="0.35">
      <c r="A1653">
        <v>10328</v>
      </c>
      <c r="B1653" t="s">
        <v>11</v>
      </c>
      <c r="C1653">
        <v>5</v>
      </c>
      <c r="D1653">
        <v>215</v>
      </c>
      <c r="E1653" t="s">
        <v>8</v>
      </c>
      <c r="F1653" t="s">
        <v>9</v>
      </c>
      <c r="G1653" t="s">
        <v>14</v>
      </c>
      <c r="H1653">
        <v>0</v>
      </c>
    </row>
    <row r="1654" spans="1:8" x14ac:dyDescent="0.35">
      <c r="A1654">
        <v>15189</v>
      </c>
      <c r="B1654" t="s">
        <v>7</v>
      </c>
      <c r="C1654">
        <v>10</v>
      </c>
      <c r="D1654">
        <v>317</v>
      </c>
      <c r="E1654" t="s">
        <v>8</v>
      </c>
      <c r="F1654" t="s">
        <v>13</v>
      </c>
      <c r="G1654" t="s">
        <v>16</v>
      </c>
      <c r="H1654">
        <v>0</v>
      </c>
    </row>
    <row r="1655" spans="1:8" x14ac:dyDescent="0.35">
      <c r="A1655">
        <v>13474</v>
      </c>
      <c r="B1655" t="s">
        <v>11</v>
      </c>
      <c r="C1655">
        <v>11</v>
      </c>
      <c r="D1655">
        <v>198</v>
      </c>
      <c r="E1655" t="s">
        <v>8</v>
      </c>
      <c r="F1655" t="s">
        <v>13</v>
      </c>
      <c r="G1655" t="s">
        <v>12</v>
      </c>
      <c r="H1655">
        <v>0</v>
      </c>
    </row>
    <row r="1656" spans="1:8" x14ac:dyDescent="0.35">
      <c r="A1656">
        <v>10387</v>
      </c>
      <c r="B1656" t="s">
        <v>7</v>
      </c>
      <c r="C1656">
        <v>10</v>
      </c>
      <c r="D1656">
        <v>280</v>
      </c>
      <c r="E1656" t="s">
        <v>8</v>
      </c>
      <c r="F1656" t="s">
        <v>9</v>
      </c>
      <c r="G1656" t="s">
        <v>10</v>
      </c>
      <c r="H1656">
        <v>0</v>
      </c>
    </row>
    <row r="1657" spans="1:8" x14ac:dyDescent="0.35">
      <c r="A1657">
        <v>13757</v>
      </c>
      <c r="B1657" t="s">
        <v>11</v>
      </c>
      <c r="C1657">
        <v>9</v>
      </c>
      <c r="D1657">
        <v>392</v>
      </c>
      <c r="E1657" t="s">
        <v>8</v>
      </c>
      <c r="F1657" t="s">
        <v>13</v>
      </c>
      <c r="G1657" t="s">
        <v>10</v>
      </c>
      <c r="H1657">
        <v>0</v>
      </c>
    </row>
    <row r="1658" spans="1:8" x14ac:dyDescent="0.35">
      <c r="A1658">
        <v>14573</v>
      </c>
      <c r="B1658" t="s">
        <v>7</v>
      </c>
      <c r="C1658">
        <v>13</v>
      </c>
      <c r="D1658">
        <v>117</v>
      </c>
      <c r="E1658" t="s">
        <v>8</v>
      </c>
      <c r="F1658" t="s">
        <v>13</v>
      </c>
      <c r="G1658" t="s">
        <v>14</v>
      </c>
      <c r="H1658">
        <v>0</v>
      </c>
    </row>
    <row r="1659" spans="1:8" x14ac:dyDescent="0.35">
      <c r="A1659">
        <v>12438</v>
      </c>
      <c r="B1659" t="s">
        <v>7</v>
      </c>
      <c r="C1659">
        <v>9</v>
      </c>
      <c r="D1659">
        <v>235</v>
      </c>
      <c r="E1659" t="s">
        <v>15</v>
      </c>
      <c r="F1659" t="s">
        <v>9</v>
      </c>
      <c r="G1659" t="s">
        <v>12</v>
      </c>
      <c r="H1659">
        <v>1</v>
      </c>
    </row>
    <row r="1660" spans="1:8" x14ac:dyDescent="0.35">
      <c r="A1660">
        <v>17084</v>
      </c>
      <c r="B1660" t="s">
        <v>7</v>
      </c>
      <c r="C1660">
        <v>10</v>
      </c>
      <c r="D1660">
        <v>364</v>
      </c>
      <c r="E1660" t="s">
        <v>8</v>
      </c>
      <c r="F1660" t="s">
        <v>13</v>
      </c>
      <c r="G1660" t="s">
        <v>10</v>
      </c>
      <c r="H1660">
        <v>0</v>
      </c>
    </row>
    <row r="1661" spans="1:8" x14ac:dyDescent="0.35">
      <c r="A1661">
        <v>10007</v>
      </c>
      <c r="B1661" t="s">
        <v>11</v>
      </c>
      <c r="C1661">
        <v>14</v>
      </c>
      <c r="D1661">
        <v>264</v>
      </c>
      <c r="E1661" t="s">
        <v>8</v>
      </c>
      <c r="F1661" t="s">
        <v>13</v>
      </c>
      <c r="G1661" t="s">
        <v>12</v>
      </c>
      <c r="H1661">
        <v>0</v>
      </c>
    </row>
    <row r="1662" spans="1:8" x14ac:dyDescent="0.35">
      <c r="A1662">
        <v>17592</v>
      </c>
      <c r="B1662" t="s">
        <v>11</v>
      </c>
      <c r="C1662">
        <v>9</v>
      </c>
      <c r="D1662">
        <v>311</v>
      </c>
      <c r="E1662" t="s">
        <v>8</v>
      </c>
      <c r="F1662" t="s">
        <v>13</v>
      </c>
      <c r="G1662" t="s">
        <v>12</v>
      </c>
      <c r="H1662">
        <v>0</v>
      </c>
    </row>
    <row r="1663" spans="1:8" x14ac:dyDescent="0.35">
      <c r="A1663">
        <v>12912</v>
      </c>
      <c r="B1663" t="s">
        <v>7</v>
      </c>
      <c r="C1663">
        <v>14</v>
      </c>
      <c r="D1663">
        <v>142</v>
      </c>
      <c r="E1663" t="s">
        <v>8</v>
      </c>
      <c r="F1663" t="s">
        <v>9</v>
      </c>
      <c r="G1663" t="s">
        <v>14</v>
      </c>
      <c r="H1663">
        <v>0</v>
      </c>
    </row>
    <row r="1664" spans="1:8" x14ac:dyDescent="0.35">
      <c r="A1664">
        <v>13343</v>
      </c>
      <c r="B1664" t="s">
        <v>7</v>
      </c>
      <c r="C1664">
        <v>10</v>
      </c>
      <c r="D1664">
        <v>398</v>
      </c>
      <c r="E1664" t="s">
        <v>8</v>
      </c>
      <c r="F1664" t="s">
        <v>9</v>
      </c>
      <c r="G1664" t="s">
        <v>14</v>
      </c>
      <c r="H1664">
        <v>0</v>
      </c>
    </row>
    <row r="1665" spans="1:8" x14ac:dyDescent="0.35">
      <c r="A1665">
        <v>19355</v>
      </c>
      <c r="B1665" t="s">
        <v>11</v>
      </c>
      <c r="C1665">
        <v>2</v>
      </c>
      <c r="D1665">
        <v>384</v>
      </c>
      <c r="E1665" t="s">
        <v>8</v>
      </c>
      <c r="F1665" t="s">
        <v>13</v>
      </c>
      <c r="G1665" t="s">
        <v>14</v>
      </c>
      <c r="H1665">
        <v>0</v>
      </c>
    </row>
    <row r="1666" spans="1:8" x14ac:dyDescent="0.35">
      <c r="A1666">
        <v>11990</v>
      </c>
      <c r="B1666" t="s">
        <v>7</v>
      </c>
      <c r="C1666">
        <v>12</v>
      </c>
      <c r="D1666">
        <v>410</v>
      </c>
      <c r="E1666" t="s">
        <v>15</v>
      </c>
      <c r="F1666" t="s">
        <v>9</v>
      </c>
      <c r="G1666" t="s">
        <v>16</v>
      </c>
      <c r="H1666">
        <v>1</v>
      </c>
    </row>
    <row r="1667" spans="1:8" x14ac:dyDescent="0.35">
      <c r="A1667">
        <v>10403</v>
      </c>
      <c r="B1667" t="s">
        <v>11</v>
      </c>
      <c r="C1667">
        <v>10</v>
      </c>
      <c r="D1667">
        <v>220</v>
      </c>
      <c r="E1667" t="s">
        <v>8</v>
      </c>
      <c r="F1667" t="s">
        <v>13</v>
      </c>
      <c r="G1667" t="s">
        <v>16</v>
      </c>
      <c r="H1667">
        <v>0</v>
      </c>
    </row>
    <row r="1668" spans="1:8" x14ac:dyDescent="0.35">
      <c r="A1668">
        <v>13170</v>
      </c>
      <c r="B1668" t="s">
        <v>11</v>
      </c>
      <c r="C1668">
        <v>8</v>
      </c>
      <c r="D1668">
        <v>96</v>
      </c>
      <c r="E1668" t="s">
        <v>8</v>
      </c>
      <c r="F1668" t="s">
        <v>13</v>
      </c>
      <c r="G1668" t="s">
        <v>16</v>
      </c>
      <c r="H1668">
        <v>0</v>
      </c>
    </row>
    <row r="1669" spans="1:8" x14ac:dyDescent="0.35">
      <c r="A1669">
        <v>10385</v>
      </c>
      <c r="B1669" t="s">
        <v>7</v>
      </c>
      <c r="C1669">
        <v>2</v>
      </c>
      <c r="D1669">
        <v>327</v>
      </c>
      <c r="E1669" t="s">
        <v>8</v>
      </c>
      <c r="F1669" t="s">
        <v>9</v>
      </c>
      <c r="G1669" t="s">
        <v>16</v>
      </c>
      <c r="H1669">
        <v>0</v>
      </c>
    </row>
    <row r="1670" spans="1:8" x14ac:dyDescent="0.35">
      <c r="A1670">
        <v>14182</v>
      </c>
      <c r="B1670" t="s">
        <v>7</v>
      </c>
      <c r="C1670">
        <v>12</v>
      </c>
      <c r="D1670">
        <v>383</v>
      </c>
      <c r="E1670" t="s">
        <v>8</v>
      </c>
      <c r="F1670" t="s">
        <v>13</v>
      </c>
      <c r="G1670" t="s">
        <v>10</v>
      </c>
      <c r="H1670">
        <v>0</v>
      </c>
    </row>
    <row r="1671" spans="1:8" x14ac:dyDescent="0.35">
      <c r="A1671">
        <v>11756</v>
      </c>
      <c r="B1671" t="s">
        <v>7</v>
      </c>
      <c r="C1671">
        <v>2</v>
      </c>
      <c r="D1671">
        <v>235</v>
      </c>
      <c r="E1671" t="s">
        <v>8</v>
      </c>
      <c r="F1671" t="s">
        <v>9</v>
      </c>
      <c r="G1671" t="s">
        <v>16</v>
      </c>
      <c r="H1671">
        <v>0</v>
      </c>
    </row>
    <row r="1672" spans="1:8" x14ac:dyDescent="0.35">
      <c r="A1672">
        <v>16261</v>
      </c>
      <c r="B1672" t="s">
        <v>7</v>
      </c>
      <c r="C1672">
        <v>3</v>
      </c>
      <c r="D1672">
        <v>137</v>
      </c>
      <c r="E1672" t="s">
        <v>8</v>
      </c>
      <c r="F1672" t="s">
        <v>13</v>
      </c>
      <c r="G1672" t="s">
        <v>14</v>
      </c>
      <c r="H1672">
        <v>0</v>
      </c>
    </row>
    <row r="1673" spans="1:8" x14ac:dyDescent="0.35">
      <c r="A1673">
        <v>16819</v>
      </c>
      <c r="B1673" t="s">
        <v>7</v>
      </c>
      <c r="C1673">
        <v>4</v>
      </c>
      <c r="D1673">
        <v>375</v>
      </c>
      <c r="E1673" t="s">
        <v>8</v>
      </c>
      <c r="F1673" t="s">
        <v>13</v>
      </c>
      <c r="G1673" t="s">
        <v>10</v>
      </c>
      <c r="H1673">
        <v>0</v>
      </c>
    </row>
    <row r="1674" spans="1:8" x14ac:dyDescent="0.35">
      <c r="A1674">
        <v>10882</v>
      </c>
      <c r="B1674" t="s">
        <v>11</v>
      </c>
      <c r="C1674">
        <v>8</v>
      </c>
      <c r="D1674">
        <v>79</v>
      </c>
      <c r="E1674" t="s">
        <v>8</v>
      </c>
      <c r="F1674" t="s">
        <v>13</v>
      </c>
      <c r="G1674" t="s">
        <v>14</v>
      </c>
      <c r="H1674">
        <v>0</v>
      </c>
    </row>
    <row r="1675" spans="1:8" x14ac:dyDescent="0.35">
      <c r="A1675">
        <v>13115</v>
      </c>
      <c r="B1675" t="s">
        <v>7</v>
      </c>
      <c r="C1675">
        <v>6</v>
      </c>
      <c r="D1675">
        <v>165</v>
      </c>
      <c r="E1675" t="s">
        <v>8</v>
      </c>
      <c r="F1675" t="s">
        <v>13</v>
      </c>
      <c r="G1675" t="s">
        <v>14</v>
      </c>
      <c r="H1675">
        <v>0</v>
      </c>
    </row>
    <row r="1676" spans="1:8" x14ac:dyDescent="0.35">
      <c r="A1676">
        <v>18058</v>
      </c>
      <c r="B1676" t="s">
        <v>7</v>
      </c>
      <c r="C1676">
        <v>2</v>
      </c>
      <c r="D1676">
        <v>336</v>
      </c>
      <c r="E1676" t="s">
        <v>8</v>
      </c>
      <c r="F1676" t="s">
        <v>9</v>
      </c>
      <c r="G1676" t="s">
        <v>12</v>
      </c>
      <c r="H1676">
        <v>0</v>
      </c>
    </row>
    <row r="1677" spans="1:8" x14ac:dyDescent="0.35">
      <c r="A1677">
        <v>17309</v>
      </c>
      <c r="B1677" t="s">
        <v>7</v>
      </c>
      <c r="C1677">
        <v>4</v>
      </c>
      <c r="D1677">
        <v>98</v>
      </c>
      <c r="E1677" t="s">
        <v>8</v>
      </c>
      <c r="F1677" t="s">
        <v>13</v>
      </c>
      <c r="G1677" t="s">
        <v>14</v>
      </c>
      <c r="H1677">
        <v>0</v>
      </c>
    </row>
    <row r="1678" spans="1:8" x14ac:dyDescent="0.35">
      <c r="A1678">
        <v>13071</v>
      </c>
      <c r="B1678" t="s">
        <v>7</v>
      </c>
      <c r="C1678">
        <v>6</v>
      </c>
      <c r="D1678">
        <v>122</v>
      </c>
      <c r="E1678" t="s">
        <v>8</v>
      </c>
      <c r="F1678" t="s">
        <v>13</v>
      </c>
      <c r="G1678" t="s">
        <v>16</v>
      </c>
      <c r="H1678">
        <v>0</v>
      </c>
    </row>
    <row r="1679" spans="1:8" x14ac:dyDescent="0.35">
      <c r="A1679">
        <v>14755</v>
      </c>
      <c r="B1679" t="s">
        <v>11</v>
      </c>
      <c r="C1679">
        <v>1</v>
      </c>
      <c r="D1679">
        <v>321</v>
      </c>
      <c r="E1679" t="s">
        <v>8</v>
      </c>
      <c r="F1679" t="s">
        <v>9</v>
      </c>
      <c r="G1679" t="s">
        <v>10</v>
      </c>
      <c r="H1679">
        <v>0</v>
      </c>
    </row>
    <row r="1680" spans="1:8" x14ac:dyDescent="0.35">
      <c r="A1680">
        <v>10666</v>
      </c>
      <c r="B1680" t="s">
        <v>7</v>
      </c>
      <c r="C1680">
        <v>3</v>
      </c>
      <c r="D1680">
        <v>324</v>
      </c>
      <c r="E1680" t="s">
        <v>8</v>
      </c>
      <c r="F1680" t="s">
        <v>13</v>
      </c>
      <c r="G1680" t="s">
        <v>16</v>
      </c>
      <c r="H1680">
        <v>0</v>
      </c>
    </row>
    <row r="1681" spans="1:8" x14ac:dyDescent="0.35">
      <c r="A1681">
        <v>14317</v>
      </c>
      <c r="B1681" t="s">
        <v>7</v>
      </c>
      <c r="C1681">
        <v>5</v>
      </c>
      <c r="D1681">
        <v>406</v>
      </c>
      <c r="E1681" t="s">
        <v>8</v>
      </c>
      <c r="F1681" t="s">
        <v>13</v>
      </c>
      <c r="G1681" t="s">
        <v>16</v>
      </c>
      <c r="H1681">
        <v>0</v>
      </c>
    </row>
    <row r="1682" spans="1:8" x14ac:dyDescent="0.35">
      <c r="A1682">
        <v>14034</v>
      </c>
      <c r="B1682" t="s">
        <v>7</v>
      </c>
      <c r="C1682">
        <v>7</v>
      </c>
      <c r="D1682">
        <v>224</v>
      </c>
      <c r="E1682" t="s">
        <v>8</v>
      </c>
      <c r="F1682" t="s">
        <v>13</v>
      </c>
      <c r="G1682" t="s">
        <v>14</v>
      </c>
      <c r="H1682">
        <v>0</v>
      </c>
    </row>
    <row r="1683" spans="1:8" x14ac:dyDescent="0.35">
      <c r="A1683">
        <v>10725</v>
      </c>
      <c r="B1683" t="s">
        <v>7</v>
      </c>
      <c r="C1683">
        <v>9</v>
      </c>
      <c r="D1683">
        <v>131</v>
      </c>
      <c r="E1683" t="s">
        <v>8</v>
      </c>
      <c r="F1683" t="s">
        <v>13</v>
      </c>
      <c r="G1683" t="s">
        <v>14</v>
      </c>
      <c r="H1683">
        <v>0</v>
      </c>
    </row>
    <row r="1684" spans="1:8" x14ac:dyDescent="0.35">
      <c r="A1684">
        <v>19850</v>
      </c>
      <c r="B1684" t="s">
        <v>7</v>
      </c>
      <c r="C1684">
        <v>5</v>
      </c>
      <c r="D1684">
        <v>112</v>
      </c>
      <c r="E1684" t="s">
        <v>8</v>
      </c>
      <c r="F1684" t="s">
        <v>13</v>
      </c>
      <c r="G1684" t="s">
        <v>10</v>
      </c>
      <c r="H1684">
        <v>0</v>
      </c>
    </row>
    <row r="1685" spans="1:8" x14ac:dyDescent="0.35">
      <c r="A1685">
        <v>18833</v>
      </c>
      <c r="B1685" t="s">
        <v>11</v>
      </c>
      <c r="C1685">
        <v>13</v>
      </c>
      <c r="D1685">
        <v>338</v>
      </c>
      <c r="E1685" t="s">
        <v>8</v>
      </c>
      <c r="F1685" t="s">
        <v>9</v>
      </c>
      <c r="G1685" t="s">
        <v>16</v>
      </c>
      <c r="H1685">
        <v>0</v>
      </c>
    </row>
    <row r="1686" spans="1:8" x14ac:dyDescent="0.35">
      <c r="A1686">
        <v>13709</v>
      </c>
      <c r="B1686" t="s">
        <v>11</v>
      </c>
      <c r="C1686">
        <v>14</v>
      </c>
      <c r="D1686">
        <v>274</v>
      </c>
      <c r="E1686" t="s">
        <v>8</v>
      </c>
      <c r="F1686" t="s">
        <v>9</v>
      </c>
      <c r="G1686" t="s">
        <v>12</v>
      </c>
      <c r="H1686">
        <v>0</v>
      </c>
    </row>
    <row r="1687" spans="1:8" x14ac:dyDescent="0.35">
      <c r="A1687">
        <v>10143</v>
      </c>
      <c r="B1687" t="s">
        <v>7</v>
      </c>
      <c r="C1687">
        <v>1</v>
      </c>
      <c r="D1687">
        <v>396</v>
      </c>
      <c r="E1687" t="s">
        <v>15</v>
      </c>
      <c r="F1687" t="s">
        <v>9</v>
      </c>
      <c r="G1687" t="s">
        <v>10</v>
      </c>
      <c r="H1687">
        <v>1</v>
      </c>
    </row>
    <row r="1688" spans="1:8" x14ac:dyDescent="0.35">
      <c r="A1688">
        <v>17180</v>
      </c>
      <c r="B1688" t="s">
        <v>7</v>
      </c>
      <c r="C1688">
        <v>13</v>
      </c>
      <c r="D1688">
        <v>441</v>
      </c>
      <c r="E1688" t="s">
        <v>8</v>
      </c>
      <c r="F1688" t="s">
        <v>13</v>
      </c>
      <c r="G1688" t="s">
        <v>10</v>
      </c>
      <c r="H1688">
        <v>0</v>
      </c>
    </row>
    <row r="1689" spans="1:8" x14ac:dyDescent="0.35">
      <c r="A1689">
        <v>19907</v>
      </c>
      <c r="B1689" t="s">
        <v>11</v>
      </c>
      <c r="C1689">
        <v>1</v>
      </c>
      <c r="D1689">
        <v>433</v>
      </c>
      <c r="E1689" t="s">
        <v>8</v>
      </c>
      <c r="F1689" t="s">
        <v>13</v>
      </c>
      <c r="G1689" t="s">
        <v>16</v>
      </c>
      <c r="H1689">
        <v>0</v>
      </c>
    </row>
    <row r="1690" spans="1:8" x14ac:dyDescent="0.35">
      <c r="A1690">
        <v>18214</v>
      </c>
      <c r="B1690" t="s">
        <v>7</v>
      </c>
      <c r="C1690">
        <v>2</v>
      </c>
      <c r="D1690">
        <v>400</v>
      </c>
      <c r="E1690" t="s">
        <v>8</v>
      </c>
      <c r="F1690" t="s">
        <v>9</v>
      </c>
      <c r="G1690" t="s">
        <v>14</v>
      </c>
      <c r="H1690">
        <v>0</v>
      </c>
    </row>
    <row r="1691" spans="1:8" x14ac:dyDescent="0.35">
      <c r="A1691">
        <v>16817</v>
      </c>
      <c r="B1691" t="s">
        <v>7</v>
      </c>
      <c r="C1691">
        <v>3</v>
      </c>
      <c r="D1691">
        <v>394</v>
      </c>
      <c r="E1691" t="s">
        <v>8</v>
      </c>
      <c r="F1691" t="s">
        <v>13</v>
      </c>
      <c r="G1691" t="s">
        <v>14</v>
      </c>
      <c r="H1691">
        <v>0</v>
      </c>
    </row>
    <row r="1692" spans="1:8" x14ac:dyDescent="0.35">
      <c r="A1692">
        <v>15296</v>
      </c>
      <c r="B1692" t="s">
        <v>7</v>
      </c>
      <c r="C1692">
        <v>7</v>
      </c>
      <c r="D1692">
        <v>124</v>
      </c>
      <c r="E1692" t="s">
        <v>8</v>
      </c>
      <c r="F1692" t="s">
        <v>9</v>
      </c>
      <c r="G1692" t="s">
        <v>16</v>
      </c>
      <c r="H1692">
        <v>0</v>
      </c>
    </row>
    <row r="1693" spans="1:8" x14ac:dyDescent="0.35">
      <c r="A1693">
        <v>10608</v>
      </c>
      <c r="B1693" t="s">
        <v>7</v>
      </c>
      <c r="C1693">
        <v>12</v>
      </c>
      <c r="D1693">
        <v>386</v>
      </c>
      <c r="E1693" t="s">
        <v>8</v>
      </c>
      <c r="F1693" t="s">
        <v>13</v>
      </c>
      <c r="G1693" t="s">
        <v>16</v>
      </c>
      <c r="H1693">
        <v>0</v>
      </c>
    </row>
    <row r="1694" spans="1:8" x14ac:dyDescent="0.35">
      <c r="A1694">
        <v>18570</v>
      </c>
      <c r="B1694" t="s">
        <v>7</v>
      </c>
      <c r="C1694">
        <v>4</v>
      </c>
      <c r="D1694">
        <v>437</v>
      </c>
      <c r="E1694" t="s">
        <v>8</v>
      </c>
      <c r="F1694" t="s">
        <v>13</v>
      </c>
      <c r="G1694" t="s">
        <v>14</v>
      </c>
      <c r="H1694">
        <v>0</v>
      </c>
    </row>
    <row r="1695" spans="1:8" x14ac:dyDescent="0.35">
      <c r="A1695">
        <v>19467</v>
      </c>
      <c r="B1695" t="s">
        <v>7</v>
      </c>
      <c r="C1695">
        <v>7</v>
      </c>
      <c r="D1695">
        <v>362</v>
      </c>
      <c r="E1695" t="s">
        <v>8</v>
      </c>
      <c r="F1695" t="s">
        <v>9</v>
      </c>
      <c r="G1695" t="s">
        <v>16</v>
      </c>
      <c r="H1695">
        <v>0</v>
      </c>
    </row>
    <row r="1696" spans="1:8" x14ac:dyDescent="0.35">
      <c r="A1696">
        <v>11281</v>
      </c>
      <c r="B1696" t="s">
        <v>7</v>
      </c>
      <c r="C1696">
        <v>10</v>
      </c>
      <c r="D1696">
        <v>319</v>
      </c>
      <c r="E1696" t="s">
        <v>8</v>
      </c>
      <c r="F1696" t="s">
        <v>13</v>
      </c>
      <c r="G1696" t="s">
        <v>16</v>
      </c>
      <c r="H1696">
        <v>0</v>
      </c>
    </row>
    <row r="1697" spans="1:8" x14ac:dyDescent="0.35">
      <c r="A1697">
        <v>12682</v>
      </c>
      <c r="B1697" t="s">
        <v>11</v>
      </c>
      <c r="C1697">
        <v>9</v>
      </c>
      <c r="D1697">
        <v>286</v>
      </c>
      <c r="E1697" t="s">
        <v>8</v>
      </c>
      <c r="F1697" t="s">
        <v>9</v>
      </c>
      <c r="G1697" t="s">
        <v>14</v>
      </c>
      <c r="H1697">
        <v>0</v>
      </c>
    </row>
    <row r="1698" spans="1:8" x14ac:dyDescent="0.35">
      <c r="A1698">
        <v>10834</v>
      </c>
      <c r="B1698" t="s">
        <v>7</v>
      </c>
      <c r="C1698">
        <v>13</v>
      </c>
      <c r="D1698">
        <v>109</v>
      </c>
      <c r="E1698" t="s">
        <v>8</v>
      </c>
      <c r="F1698" t="s">
        <v>13</v>
      </c>
      <c r="G1698" t="s">
        <v>16</v>
      </c>
      <c r="H1698">
        <v>0</v>
      </c>
    </row>
    <row r="1699" spans="1:8" x14ac:dyDescent="0.35">
      <c r="A1699">
        <v>14625</v>
      </c>
      <c r="B1699" t="s">
        <v>11</v>
      </c>
      <c r="C1699">
        <v>8</v>
      </c>
      <c r="D1699">
        <v>369</v>
      </c>
      <c r="E1699" t="s">
        <v>8</v>
      </c>
      <c r="F1699" t="s">
        <v>13</v>
      </c>
      <c r="G1699" t="s">
        <v>16</v>
      </c>
      <c r="H1699">
        <v>0</v>
      </c>
    </row>
    <row r="1700" spans="1:8" x14ac:dyDescent="0.35">
      <c r="A1700">
        <v>12422</v>
      </c>
      <c r="B1700" t="s">
        <v>7</v>
      </c>
      <c r="C1700">
        <v>3</v>
      </c>
      <c r="D1700">
        <v>347</v>
      </c>
      <c r="E1700" t="s">
        <v>8</v>
      </c>
      <c r="F1700" t="s">
        <v>13</v>
      </c>
      <c r="G1700" t="s">
        <v>12</v>
      </c>
      <c r="H1700">
        <v>0</v>
      </c>
    </row>
    <row r="1701" spans="1:8" x14ac:dyDescent="0.35">
      <c r="A1701">
        <v>16850</v>
      </c>
      <c r="B1701" t="s">
        <v>7</v>
      </c>
      <c r="C1701">
        <v>12</v>
      </c>
      <c r="D1701">
        <v>287</v>
      </c>
      <c r="E1701" t="s">
        <v>8</v>
      </c>
      <c r="F1701" t="s">
        <v>13</v>
      </c>
      <c r="G1701" t="s">
        <v>10</v>
      </c>
      <c r="H1701">
        <v>0</v>
      </c>
    </row>
    <row r="1702" spans="1:8" x14ac:dyDescent="0.35">
      <c r="A1702">
        <v>17827</v>
      </c>
      <c r="B1702" t="s">
        <v>7</v>
      </c>
      <c r="C1702">
        <v>7</v>
      </c>
      <c r="D1702">
        <v>234</v>
      </c>
      <c r="E1702" t="s">
        <v>8</v>
      </c>
      <c r="F1702" t="s">
        <v>9</v>
      </c>
      <c r="G1702" t="s">
        <v>16</v>
      </c>
      <c r="H1702">
        <v>0</v>
      </c>
    </row>
    <row r="1703" spans="1:8" x14ac:dyDescent="0.35">
      <c r="A1703">
        <v>17162</v>
      </c>
      <c r="B1703" t="s">
        <v>7</v>
      </c>
      <c r="C1703">
        <v>5</v>
      </c>
      <c r="D1703">
        <v>254</v>
      </c>
      <c r="E1703" t="s">
        <v>8</v>
      </c>
      <c r="F1703" t="s">
        <v>13</v>
      </c>
      <c r="G1703" t="s">
        <v>10</v>
      </c>
      <c r="H1703">
        <v>0</v>
      </c>
    </row>
    <row r="1704" spans="1:8" x14ac:dyDescent="0.35">
      <c r="A1704">
        <v>12656</v>
      </c>
      <c r="B1704" t="s">
        <v>11</v>
      </c>
      <c r="C1704">
        <v>5</v>
      </c>
      <c r="D1704">
        <v>336</v>
      </c>
      <c r="E1704" t="s">
        <v>8</v>
      </c>
      <c r="F1704" t="s">
        <v>13</v>
      </c>
      <c r="G1704" t="s">
        <v>16</v>
      </c>
      <c r="H1704">
        <v>0</v>
      </c>
    </row>
    <row r="1705" spans="1:8" x14ac:dyDescent="0.35">
      <c r="A1705">
        <v>13932</v>
      </c>
      <c r="B1705" t="s">
        <v>11</v>
      </c>
      <c r="C1705">
        <v>3</v>
      </c>
      <c r="D1705">
        <v>213</v>
      </c>
      <c r="E1705" t="s">
        <v>8</v>
      </c>
      <c r="F1705" t="s">
        <v>9</v>
      </c>
      <c r="G1705" t="s">
        <v>12</v>
      </c>
      <c r="H1705">
        <v>0</v>
      </c>
    </row>
    <row r="1706" spans="1:8" x14ac:dyDescent="0.35">
      <c r="A1706">
        <v>10798</v>
      </c>
      <c r="B1706" t="s">
        <v>7</v>
      </c>
      <c r="C1706">
        <v>3</v>
      </c>
      <c r="D1706">
        <v>240</v>
      </c>
      <c r="E1706" t="s">
        <v>8</v>
      </c>
      <c r="F1706" t="s">
        <v>13</v>
      </c>
      <c r="G1706" t="s">
        <v>12</v>
      </c>
      <c r="H1706">
        <v>0</v>
      </c>
    </row>
    <row r="1707" spans="1:8" x14ac:dyDescent="0.35">
      <c r="A1707">
        <v>11158</v>
      </c>
      <c r="B1707" t="s">
        <v>7</v>
      </c>
      <c r="C1707">
        <v>9</v>
      </c>
      <c r="D1707">
        <v>393</v>
      </c>
      <c r="E1707" t="s">
        <v>8</v>
      </c>
      <c r="F1707" t="s">
        <v>9</v>
      </c>
      <c r="G1707" t="s">
        <v>16</v>
      </c>
      <c r="H1707">
        <v>0</v>
      </c>
    </row>
    <row r="1708" spans="1:8" x14ac:dyDescent="0.35">
      <c r="A1708">
        <v>16566</v>
      </c>
      <c r="B1708" t="s">
        <v>7</v>
      </c>
      <c r="C1708">
        <v>3</v>
      </c>
      <c r="D1708">
        <v>190</v>
      </c>
      <c r="E1708" t="s">
        <v>15</v>
      </c>
      <c r="F1708" t="s">
        <v>9</v>
      </c>
      <c r="G1708" t="s">
        <v>10</v>
      </c>
      <c r="H1708">
        <v>1</v>
      </c>
    </row>
    <row r="1709" spans="1:8" x14ac:dyDescent="0.35">
      <c r="A1709">
        <v>12449</v>
      </c>
      <c r="B1709" t="s">
        <v>11</v>
      </c>
      <c r="C1709">
        <v>10</v>
      </c>
      <c r="D1709">
        <v>306</v>
      </c>
      <c r="E1709" t="s">
        <v>8</v>
      </c>
      <c r="F1709" t="s">
        <v>13</v>
      </c>
      <c r="G1709" t="s">
        <v>10</v>
      </c>
      <c r="H1709">
        <v>0</v>
      </c>
    </row>
    <row r="1710" spans="1:8" x14ac:dyDescent="0.35">
      <c r="A1710">
        <v>16059</v>
      </c>
      <c r="B1710" t="s">
        <v>7</v>
      </c>
      <c r="C1710">
        <v>5</v>
      </c>
      <c r="D1710">
        <v>364</v>
      </c>
      <c r="E1710" t="s">
        <v>15</v>
      </c>
      <c r="F1710" t="s">
        <v>13</v>
      </c>
      <c r="G1710" t="s">
        <v>16</v>
      </c>
      <c r="H1710">
        <v>1</v>
      </c>
    </row>
    <row r="1711" spans="1:8" x14ac:dyDescent="0.35">
      <c r="A1711">
        <v>11016</v>
      </c>
      <c r="B1711" t="s">
        <v>7</v>
      </c>
      <c r="C1711">
        <v>11</v>
      </c>
      <c r="D1711">
        <v>219</v>
      </c>
      <c r="E1711" t="s">
        <v>8</v>
      </c>
      <c r="F1711" t="s">
        <v>9</v>
      </c>
      <c r="G1711" t="s">
        <v>14</v>
      </c>
      <c r="H1711">
        <v>0</v>
      </c>
    </row>
    <row r="1712" spans="1:8" x14ac:dyDescent="0.35">
      <c r="A1712">
        <v>10352</v>
      </c>
      <c r="B1712" t="s">
        <v>7</v>
      </c>
      <c r="C1712">
        <v>14</v>
      </c>
      <c r="D1712">
        <v>299</v>
      </c>
      <c r="E1712" t="s">
        <v>15</v>
      </c>
      <c r="F1712" t="s">
        <v>13</v>
      </c>
      <c r="G1712" t="s">
        <v>14</v>
      </c>
      <c r="H1712">
        <v>1</v>
      </c>
    </row>
    <row r="1713" spans="1:8" x14ac:dyDescent="0.35">
      <c r="A1713">
        <v>14494</v>
      </c>
      <c r="B1713" t="s">
        <v>11</v>
      </c>
      <c r="C1713">
        <v>4</v>
      </c>
      <c r="D1713">
        <v>87</v>
      </c>
      <c r="E1713" t="s">
        <v>8</v>
      </c>
      <c r="F1713" t="s">
        <v>13</v>
      </c>
      <c r="G1713" t="s">
        <v>10</v>
      </c>
      <c r="H1713">
        <v>0</v>
      </c>
    </row>
    <row r="1714" spans="1:8" x14ac:dyDescent="0.35">
      <c r="A1714">
        <v>19643</v>
      </c>
      <c r="B1714" t="s">
        <v>11</v>
      </c>
      <c r="C1714">
        <v>4</v>
      </c>
      <c r="D1714">
        <v>122</v>
      </c>
      <c r="E1714" t="s">
        <v>8</v>
      </c>
      <c r="F1714" t="s">
        <v>9</v>
      </c>
      <c r="G1714" t="s">
        <v>12</v>
      </c>
      <c r="H1714">
        <v>0</v>
      </c>
    </row>
    <row r="1715" spans="1:8" x14ac:dyDescent="0.35">
      <c r="A1715">
        <v>14058</v>
      </c>
      <c r="B1715" t="s">
        <v>7</v>
      </c>
      <c r="C1715">
        <v>1</v>
      </c>
      <c r="D1715">
        <v>41</v>
      </c>
      <c r="E1715" t="s">
        <v>8</v>
      </c>
      <c r="F1715" t="s">
        <v>13</v>
      </c>
      <c r="G1715" t="s">
        <v>16</v>
      </c>
      <c r="H1715">
        <v>0</v>
      </c>
    </row>
    <row r="1716" spans="1:8" x14ac:dyDescent="0.35">
      <c r="A1716">
        <v>13756</v>
      </c>
      <c r="B1716" t="s">
        <v>7</v>
      </c>
      <c r="C1716">
        <v>3</v>
      </c>
      <c r="D1716">
        <v>52</v>
      </c>
      <c r="E1716" t="s">
        <v>8</v>
      </c>
      <c r="F1716" t="s">
        <v>9</v>
      </c>
      <c r="G1716" t="s">
        <v>16</v>
      </c>
      <c r="H1716">
        <v>0</v>
      </c>
    </row>
    <row r="1717" spans="1:8" x14ac:dyDescent="0.35">
      <c r="A1717">
        <v>12239</v>
      </c>
      <c r="B1717" t="s">
        <v>11</v>
      </c>
      <c r="C1717">
        <v>4</v>
      </c>
      <c r="D1717">
        <v>344</v>
      </c>
      <c r="E1717" t="s">
        <v>8</v>
      </c>
      <c r="F1717" t="s">
        <v>13</v>
      </c>
      <c r="G1717" t="s">
        <v>10</v>
      </c>
      <c r="H1717">
        <v>0</v>
      </c>
    </row>
    <row r="1718" spans="1:8" x14ac:dyDescent="0.35">
      <c r="A1718">
        <v>14853</v>
      </c>
      <c r="B1718" t="s">
        <v>11</v>
      </c>
      <c r="C1718">
        <v>2</v>
      </c>
      <c r="D1718">
        <v>90</v>
      </c>
      <c r="E1718" t="s">
        <v>8</v>
      </c>
      <c r="F1718" t="s">
        <v>13</v>
      </c>
      <c r="G1718" t="s">
        <v>16</v>
      </c>
      <c r="H1718">
        <v>0</v>
      </c>
    </row>
    <row r="1719" spans="1:8" x14ac:dyDescent="0.35">
      <c r="A1719">
        <v>12184</v>
      </c>
      <c r="B1719" t="s">
        <v>11</v>
      </c>
      <c r="C1719">
        <v>9</v>
      </c>
      <c r="D1719">
        <v>129</v>
      </c>
      <c r="E1719" t="s">
        <v>8</v>
      </c>
      <c r="F1719" t="s">
        <v>13</v>
      </c>
      <c r="G1719" t="s">
        <v>16</v>
      </c>
      <c r="H1719">
        <v>0</v>
      </c>
    </row>
    <row r="1720" spans="1:8" x14ac:dyDescent="0.35">
      <c r="A1720">
        <v>13785</v>
      </c>
      <c r="B1720" t="s">
        <v>7</v>
      </c>
      <c r="C1720">
        <v>3</v>
      </c>
      <c r="D1720">
        <v>163</v>
      </c>
      <c r="E1720" t="s">
        <v>8</v>
      </c>
      <c r="F1720" t="s">
        <v>13</v>
      </c>
      <c r="G1720" t="s">
        <v>16</v>
      </c>
      <c r="H1720">
        <v>0</v>
      </c>
    </row>
    <row r="1721" spans="1:8" x14ac:dyDescent="0.35">
      <c r="A1721">
        <v>15404</v>
      </c>
      <c r="B1721" t="s">
        <v>7</v>
      </c>
      <c r="C1721">
        <v>1</v>
      </c>
      <c r="D1721">
        <v>289</v>
      </c>
      <c r="E1721" t="s">
        <v>15</v>
      </c>
      <c r="F1721" t="s">
        <v>9</v>
      </c>
      <c r="G1721" t="s">
        <v>10</v>
      </c>
      <c r="H1721">
        <v>1</v>
      </c>
    </row>
    <row r="1722" spans="1:8" x14ac:dyDescent="0.35">
      <c r="A1722">
        <v>13602</v>
      </c>
      <c r="B1722" t="s">
        <v>7</v>
      </c>
      <c r="C1722">
        <v>8</v>
      </c>
      <c r="D1722">
        <v>337</v>
      </c>
      <c r="E1722" t="s">
        <v>8</v>
      </c>
      <c r="F1722" t="s">
        <v>13</v>
      </c>
      <c r="G1722" t="s">
        <v>16</v>
      </c>
      <c r="H1722">
        <v>0</v>
      </c>
    </row>
    <row r="1723" spans="1:8" x14ac:dyDescent="0.35">
      <c r="A1723">
        <v>12865</v>
      </c>
      <c r="B1723" t="s">
        <v>11</v>
      </c>
      <c r="C1723">
        <v>7</v>
      </c>
      <c r="D1723">
        <v>373</v>
      </c>
      <c r="E1723" t="s">
        <v>8</v>
      </c>
      <c r="F1723" t="s">
        <v>13</v>
      </c>
      <c r="G1723" t="s">
        <v>14</v>
      </c>
      <c r="H1723">
        <v>0</v>
      </c>
    </row>
    <row r="1724" spans="1:8" x14ac:dyDescent="0.35">
      <c r="A1724">
        <v>13664</v>
      </c>
      <c r="B1724" t="s">
        <v>7</v>
      </c>
      <c r="C1724">
        <v>9</v>
      </c>
      <c r="D1724">
        <v>266</v>
      </c>
      <c r="E1724" t="s">
        <v>8</v>
      </c>
      <c r="F1724" t="s">
        <v>9</v>
      </c>
      <c r="G1724" t="s">
        <v>16</v>
      </c>
      <c r="H1724">
        <v>0</v>
      </c>
    </row>
    <row r="1725" spans="1:8" x14ac:dyDescent="0.35">
      <c r="A1725">
        <v>12142</v>
      </c>
      <c r="B1725" t="s">
        <v>7</v>
      </c>
      <c r="C1725">
        <v>12</v>
      </c>
      <c r="D1725">
        <v>185</v>
      </c>
      <c r="E1725" t="s">
        <v>8</v>
      </c>
      <c r="F1725" t="s">
        <v>9</v>
      </c>
      <c r="G1725" t="s">
        <v>16</v>
      </c>
      <c r="H1725">
        <v>0</v>
      </c>
    </row>
    <row r="1726" spans="1:8" x14ac:dyDescent="0.35">
      <c r="A1726">
        <v>13282</v>
      </c>
      <c r="B1726" t="s">
        <v>11</v>
      </c>
      <c r="C1726">
        <v>3</v>
      </c>
      <c r="D1726">
        <v>320</v>
      </c>
      <c r="E1726" t="s">
        <v>8</v>
      </c>
      <c r="F1726" t="s">
        <v>13</v>
      </c>
      <c r="G1726" t="s">
        <v>14</v>
      </c>
      <c r="H1726">
        <v>0</v>
      </c>
    </row>
    <row r="1727" spans="1:8" x14ac:dyDescent="0.35">
      <c r="A1727">
        <v>16245</v>
      </c>
      <c r="B1727" t="s">
        <v>7</v>
      </c>
      <c r="C1727">
        <v>10</v>
      </c>
      <c r="D1727">
        <v>272</v>
      </c>
      <c r="E1727" t="s">
        <v>8</v>
      </c>
      <c r="F1727" t="s">
        <v>9</v>
      </c>
      <c r="G1727" t="s">
        <v>10</v>
      </c>
      <c r="H1727">
        <v>0</v>
      </c>
    </row>
    <row r="1728" spans="1:8" x14ac:dyDescent="0.35">
      <c r="A1728">
        <v>14950</v>
      </c>
      <c r="B1728" t="s">
        <v>7</v>
      </c>
      <c r="C1728">
        <v>5</v>
      </c>
      <c r="D1728">
        <v>325</v>
      </c>
      <c r="E1728" t="s">
        <v>15</v>
      </c>
      <c r="F1728" t="s">
        <v>13</v>
      </c>
      <c r="G1728" t="s">
        <v>12</v>
      </c>
      <c r="H1728">
        <v>1</v>
      </c>
    </row>
    <row r="1729" spans="1:8" x14ac:dyDescent="0.35">
      <c r="A1729">
        <v>13128</v>
      </c>
      <c r="B1729" t="s">
        <v>7</v>
      </c>
      <c r="C1729">
        <v>13</v>
      </c>
      <c r="D1729">
        <v>238</v>
      </c>
      <c r="E1729" t="s">
        <v>8</v>
      </c>
      <c r="F1729" t="s">
        <v>9</v>
      </c>
      <c r="G1729" t="s">
        <v>12</v>
      </c>
      <c r="H1729">
        <v>0</v>
      </c>
    </row>
    <row r="1730" spans="1:8" x14ac:dyDescent="0.35">
      <c r="A1730">
        <v>14594</v>
      </c>
      <c r="B1730" t="s">
        <v>7</v>
      </c>
      <c r="C1730">
        <v>9</v>
      </c>
      <c r="D1730">
        <v>212</v>
      </c>
      <c r="E1730" t="s">
        <v>8</v>
      </c>
      <c r="F1730" t="s">
        <v>13</v>
      </c>
      <c r="G1730" t="s">
        <v>12</v>
      </c>
      <c r="H1730">
        <v>0</v>
      </c>
    </row>
    <row r="1731" spans="1:8" x14ac:dyDescent="0.35">
      <c r="A1731">
        <v>16646</v>
      </c>
      <c r="B1731" t="s">
        <v>11</v>
      </c>
      <c r="C1731">
        <v>6</v>
      </c>
      <c r="D1731">
        <v>51</v>
      </c>
      <c r="E1731" t="s">
        <v>8</v>
      </c>
      <c r="F1731" t="s">
        <v>9</v>
      </c>
      <c r="G1731" t="s">
        <v>14</v>
      </c>
      <c r="H1731">
        <v>0</v>
      </c>
    </row>
    <row r="1732" spans="1:8" x14ac:dyDescent="0.35">
      <c r="A1732">
        <v>19840</v>
      </c>
      <c r="B1732" t="s">
        <v>7</v>
      </c>
      <c r="C1732">
        <v>14</v>
      </c>
      <c r="D1732">
        <v>252</v>
      </c>
      <c r="E1732" t="s">
        <v>8</v>
      </c>
      <c r="F1732" t="s">
        <v>13</v>
      </c>
      <c r="G1732" t="s">
        <v>10</v>
      </c>
      <c r="H1732">
        <v>0</v>
      </c>
    </row>
    <row r="1733" spans="1:8" x14ac:dyDescent="0.35">
      <c r="A1733">
        <v>15562</v>
      </c>
      <c r="B1733" t="s">
        <v>11</v>
      </c>
      <c r="C1733">
        <v>11</v>
      </c>
      <c r="D1733">
        <v>321</v>
      </c>
      <c r="E1733" t="s">
        <v>8</v>
      </c>
      <c r="F1733" t="s">
        <v>9</v>
      </c>
      <c r="G1733" t="s">
        <v>14</v>
      </c>
      <c r="H1733">
        <v>0</v>
      </c>
    </row>
    <row r="1734" spans="1:8" x14ac:dyDescent="0.35">
      <c r="A1734">
        <v>16102</v>
      </c>
      <c r="B1734" t="s">
        <v>7</v>
      </c>
      <c r="C1734">
        <v>4</v>
      </c>
      <c r="D1734">
        <v>403</v>
      </c>
      <c r="E1734" t="s">
        <v>8</v>
      </c>
      <c r="F1734" t="s">
        <v>9</v>
      </c>
      <c r="G1734" t="s">
        <v>14</v>
      </c>
      <c r="H1734">
        <v>0</v>
      </c>
    </row>
    <row r="1735" spans="1:8" x14ac:dyDescent="0.35">
      <c r="A1735">
        <v>11626</v>
      </c>
      <c r="B1735" t="s">
        <v>11</v>
      </c>
      <c r="C1735">
        <v>2</v>
      </c>
      <c r="D1735">
        <v>430</v>
      </c>
      <c r="E1735" t="s">
        <v>8</v>
      </c>
      <c r="F1735" t="s">
        <v>13</v>
      </c>
      <c r="G1735" t="s">
        <v>16</v>
      </c>
      <c r="H1735">
        <v>0</v>
      </c>
    </row>
    <row r="1736" spans="1:8" x14ac:dyDescent="0.35">
      <c r="A1736">
        <v>11180</v>
      </c>
      <c r="B1736" t="s">
        <v>11</v>
      </c>
      <c r="C1736">
        <v>11</v>
      </c>
      <c r="D1736">
        <v>71</v>
      </c>
      <c r="E1736" t="s">
        <v>8</v>
      </c>
      <c r="F1736" t="s">
        <v>9</v>
      </c>
      <c r="G1736" t="s">
        <v>10</v>
      </c>
      <c r="H1736">
        <v>0</v>
      </c>
    </row>
    <row r="1737" spans="1:8" x14ac:dyDescent="0.35">
      <c r="A1737">
        <v>19485</v>
      </c>
      <c r="B1737" t="s">
        <v>7</v>
      </c>
      <c r="C1737">
        <v>1</v>
      </c>
      <c r="D1737">
        <v>449</v>
      </c>
      <c r="E1737" t="s">
        <v>15</v>
      </c>
      <c r="F1737" t="s">
        <v>13</v>
      </c>
      <c r="G1737" t="s">
        <v>14</v>
      </c>
      <c r="H1737">
        <v>1</v>
      </c>
    </row>
    <row r="1738" spans="1:8" x14ac:dyDescent="0.35">
      <c r="A1738">
        <v>14637</v>
      </c>
      <c r="B1738" t="s">
        <v>11</v>
      </c>
      <c r="C1738">
        <v>6</v>
      </c>
      <c r="D1738">
        <v>377</v>
      </c>
      <c r="E1738" t="s">
        <v>8</v>
      </c>
      <c r="F1738" t="s">
        <v>13</v>
      </c>
      <c r="G1738" t="s">
        <v>14</v>
      </c>
      <c r="H1738">
        <v>0</v>
      </c>
    </row>
    <row r="1739" spans="1:8" x14ac:dyDescent="0.35">
      <c r="A1739">
        <v>10150</v>
      </c>
      <c r="B1739" t="s">
        <v>7</v>
      </c>
      <c r="C1739">
        <v>4</v>
      </c>
      <c r="D1739">
        <v>101</v>
      </c>
      <c r="E1739" t="s">
        <v>15</v>
      </c>
      <c r="F1739" t="s">
        <v>13</v>
      </c>
      <c r="G1739" t="s">
        <v>16</v>
      </c>
      <c r="H1739">
        <v>1</v>
      </c>
    </row>
    <row r="1740" spans="1:8" x14ac:dyDescent="0.35">
      <c r="A1740">
        <v>18809</v>
      </c>
      <c r="B1740" t="s">
        <v>7</v>
      </c>
      <c r="C1740">
        <v>13</v>
      </c>
      <c r="D1740">
        <v>200</v>
      </c>
      <c r="E1740" t="s">
        <v>8</v>
      </c>
      <c r="F1740" t="s">
        <v>9</v>
      </c>
      <c r="G1740" t="s">
        <v>10</v>
      </c>
      <c r="H1740">
        <v>0</v>
      </c>
    </row>
    <row r="1741" spans="1:8" x14ac:dyDescent="0.35">
      <c r="A1741">
        <v>15540</v>
      </c>
      <c r="B1741" t="s">
        <v>7</v>
      </c>
      <c r="C1741">
        <v>1</v>
      </c>
      <c r="D1741">
        <v>394</v>
      </c>
      <c r="E1741" t="s">
        <v>8</v>
      </c>
      <c r="F1741" t="s">
        <v>13</v>
      </c>
      <c r="G1741" t="s">
        <v>10</v>
      </c>
      <c r="H1741">
        <v>0</v>
      </c>
    </row>
    <row r="1742" spans="1:8" x14ac:dyDescent="0.35">
      <c r="A1742">
        <v>15813</v>
      </c>
      <c r="B1742" t="s">
        <v>7</v>
      </c>
      <c r="C1742">
        <v>13</v>
      </c>
      <c r="D1742">
        <v>435</v>
      </c>
      <c r="E1742" t="s">
        <v>8</v>
      </c>
      <c r="F1742" t="s">
        <v>13</v>
      </c>
      <c r="G1742" t="s">
        <v>12</v>
      </c>
      <c r="H1742">
        <v>0</v>
      </c>
    </row>
    <row r="1743" spans="1:8" x14ac:dyDescent="0.35">
      <c r="A1743">
        <v>13994</v>
      </c>
      <c r="B1743" t="s">
        <v>11</v>
      </c>
      <c r="C1743">
        <v>5</v>
      </c>
      <c r="D1743">
        <v>69</v>
      </c>
      <c r="E1743" t="s">
        <v>8</v>
      </c>
      <c r="F1743" t="s">
        <v>9</v>
      </c>
      <c r="G1743" t="s">
        <v>14</v>
      </c>
      <c r="H1743">
        <v>0</v>
      </c>
    </row>
    <row r="1744" spans="1:8" x14ac:dyDescent="0.35">
      <c r="A1744">
        <v>10599</v>
      </c>
      <c r="B1744" t="s">
        <v>11</v>
      </c>
      <c r="C1744">
        <v>10</v>
      </c>
      <c r="D1744">
        <v>353</v>
      </c>
      <c r="E1744" t="s">
        <v>8</v>
      </c>
      <c r="F1744" t="s">
        <v>13</v>
      </c>
      <c r="G1744" t="s">
        <v>16</v>
      </c>
      <c r="H1744">
        <v>0</v>
      </c>
    </row>
    <row r="1745" spans="1:8" x14ac:dyDescent="0.35">
      <c r="A1745">
        <v>16925</v>
      </c>
      <c r="B1745" t="s">
        <v>7</v>
      </c>
      <c r="C1745">
        <v>8</v>
      </c>
      <c r="D1745">
        <v>386</v>
      </c>
      <c r="E1745" t="s">
        <v>8</v>
      </c>
      <c r="F1745" t="s">
        <v>13</v>
      </c>
      <c r="G1745" t="s">
        <v>16</v>
      </c>
      <c r="H1745">
        <v>0</v>
      </c>
    </row>
    <row r="1746" spans="1:8" x14ac:dyDescent="0.35">
      <c r="A1746">
        <v>19891</v>
      </c>
      <c r="B1746" t="s">
        <v>7</v>
      </c>
      <c r="C1746">
        <v>7</v>
      </c>
      <c r="D1746">
        <v>436</v>
      </c>
      <c r="E1746" t="s">
        <v>8</v>
      </c>
      <c r="F1746" t="s">
        <v>9</v>
      </c>
      <c r="G1746" t="s">
        <v>12</v>
      </c>
      <c r="H1746">
        <v>0</v>
      </c>
    </row>
    <row r="1747" spans="1:8" x14ac:dyDescent="0.35">
      <c r="A1747">
        <v>18787</v>
      </c>
      <c r="B1747" t="s">
        <v>7</v>
      </c>
      <c r="C1747">
        <v>5</v>
      </c>
      <c r="D1747">
        <v>76</v>
      </c>
      <c r="E1747" t="s">
        <v>8</v>
      </c>
      <c r="F1747" t="s">
        <v>9</v>
      </c>
      <c r="G1747" t="s">
        <v>14</v>
      </c>
      <c r="H1747">
        <v>0</v>
      </c>
    </row>
    <row r="1748" spans="1:8" x14ac:dyDescent="0.35">
      <c r="A1748">
        <v>18992</v>
      </c>
      <c r="B1748" t="s">
        <v>7</v>
      </c>
      <c r="C1748">
        <v>11</v>
      </c>
      <c r="D1748">
        <v>411</v>
      </c>
      <c r="E1748" t="s">
        <v>8</v>
      </c>
      <c r="F1748" t="s">
        <v>9</v>
      </c>
      <c r="G1748" t="s">
        <v>10</v>
      </c>
      <c r="H1748">
        <v>0</v>
      </c>
    </row>
    <row r="1749" spans="1:8" x14ac:dyDescent="0.35">
      <c r="A1749">
        <v>13862</v>
      </c>
      <c r="B1749" t="s">
        <v>11</v>
      </c>
      <c r="C1749">
        <v>5</v>
      </c>
      <c r="D1749">
        <v>313</v>
      </c>
      <c r="E1749" t="s">
        <v>8</v>
      </c>
      <c r="F1749" t="s">
        <v>13</v>
      </c>
      <c r="G1749" t="s">
        <v>16</v>
      </c>
      <c r="H1749">
        <v>0</v>
      </c>
    </row>
    <row r="1750" spans="1:8" x14ac:dyDescent="0.35">
      <c r="A1750">
        <v>18421</v>
      </c>
      <c r="B1750" t="s">
        <v>7</v>
      </c>
      <c r="C1750">
        <v>9</v>
      </c>
      <c r="D1750">
        <v>203</v>
      </c>
      <c r="E1750" t="s">
        <v>8</v>
      </c>
      <c r="F1750" t="s">
        <v>13</v>
      </c>
      <c r="G1750" t="s">
        <v>14</v>
      </c>
      <c r="H1750">
        <v>0</v>
      </c>
    </row>
    <row r="1751" spans="1:8" x14ac:dyDescent="0.35">
      <c r="A1751">
        <v>13471</v>
      </c>
      <c r="B1751" t="s">
        <v>11</v>
      </c>
      <c r="C1751">
        <v>4</v>
      </c>
      <c r="D1751">
        <v>72</v>
      </c>
      <c r="E1751" t="s">
        <v>8</v>
      </c>
      <c r="F1751" t="s">
        <v>9</v>
      </c>
      <c r="G1751" t="s">
        <v>14</v>
      </c>
      <c r="H1751">
        <v>0</v>
      </c>
    </row>
    <row r="1752" spans="1:8" x14ac:dyDescent="0.35">
      <c r="A1752">
        <v>12412</v>
      </c>
      <c r="B1752" t="s">
        <v>11</v>
      </c>
      <c r="C1752">
        <v>10</v>
      </c>
      <c r="D1752">
        <v>192</v>
      </c>
      <c r="E1752" t="s">
        <v>8</v>
      </c>
      <c r="F1752" t="s">
        <v>9</v>
      </c>
      <c r="G1752" t="s">
        <v>10</v>
      </c>
      <c r="H1752">
        <v>0</v>
      </c>
    </row>
    <row r="1753" spans="1:8" x14ac:dyDescent="0.35">
      <c r="A1753">
        <v>15496</v>
      </c>
      <c r="B1753" t="s">
        <v>11</v>
      </c>
      <c r="C1753">
        <v>13</v>
      </c>
      <c r="D1753">
        <v>415</v>
      </c>
      <c r="E1753" t="s">
        <v>8</v>
      </c>
      <c r="F1753" t="s">
        <v>9</v>
      </c>
      <c r="G1753" t="s">
        <v>14</v>
      </c>
      <c r="H1753">
        <v>0</v>
      </c>
    </row>
    <row r="1754" spans="1:8" x14ac:dyDescent="0.35">
      <c r="A1754">
        <v>15701</v>
      </c>
      <c r="B1754" t="s">
        <v>11</v>
      </c>
      <c r="C1754">
        <v>2</v>
      </c>
      <c r="D1754">
        <v>352</v>
      </c>
      <c r="E1754" t="s">
        <v>8</v>
      </c>
      <c r="F1754" t="s">
        <v>13</v>
      </c>
      <c r="G1754" t="s">
        <v>12</v>
      </c>
      <c r="H1754">
        <v>0</v>
      </c>
    </row>
    <row r="1755" spans="1:8" x14ac:dyDescent="0.35">
      <c r="A1755">
        <v>14017</v>
      </c>
      <c r="B1755" t="s">
        <v>7</v>
      </c>
      <c r="C1755">
        <v>1</v>
      </c>
      <c r="D1755">
        <v>411</v>
      </c>
      <c r="E1755" t="s">
        <v>8</v>
      </c>
      <c r="F1755" t="s">
        <v>13</v>
      </c>
      <c r="G1755" t="s">
        <v>14</v>
      </c>
      <c r="H1755">
        <v>0</v>
      </c>
    </row>
    <row r="1756" spans="1:8" x14ac:dyDescent="0.35">
      <c r="A1756">
        <v>16225</v>
      </c>
      <c r="B1756" t="s">
        <v>7</v>
      </c>
      <c r="C1756">
        <v>7</v>
      </c>
      <c r="D1756">
        <v>44</v>
      </c>
      <c r="E1756" t="s">
        <v>8</v>
      </c>
      <c r="F1756" t="s">
        <v>9</v>
      </c>
      <c r="G1756" t="s">
        <v>12</v>
      </c>
      <c r="H1756">
        <v>0</v>
      </c>
    </row>
    <row r="1757" spans="1:8" x14ac:dyDescent="0.35">
      <c r="A1757">
        <v>14925</v>
      </c>
      <c r="B1757" t="s">
        <v>11</v>
      </c>
      <c r="C1757">
        <v>3</v>
      </c>
      <c r="D1757">
        <v>101</v>
      </c>
      <c r="E1757" t="s">
        <v>8</v>
      </c>
      <c r="F1757" t="s">
        <v>13</v>
      </c>
      <c r="G1757" t="s">
        <v>14</v>
      </c>
      <c r="H1757">
        <v>0</v>
      </c>
    </row>
    <row r="1758" spans="1:8" x14ac:dyDescent="0.35">
      <c r="A1758">
        <v>19099</v>
      </c>
      <c r="B1758" t="s">
        <v>7</v>
      </c>
      <c r="C1758">
        <v>4</v>
      </c>
      <c r="D1758">
        <v>340</v>
      </c>
      <c r="E1758" t="s">
        <v>8</v>
      </c>
      <c r="F1758" t="s">
        <v>9</v>
      </c>
      <c r="G1758" t="s">
        <v>14</v>
      </c>
      <c r="H1758">
        <v>0</v>
      </c>
    </row>
    <row r="1759" spans="1:8" x14ac:dyDescent="0.35">
      <c r="A1759">
        <v>15727</v>
      </c>
      <c r="B1759" t="s">
        <v>7</v>
      </c>
      <c r="C1759">
        <v>8</v>
      </c>
      <c r="D1759">
        <v>177</v>
      </c>
      <c r="E1759" t="s">
        <v>8</v>
      </c>
      <c r="F1759" t="s">
        <v>13</v>
      </c>
      <c r="G1759" t="s">
        <v>16</v>
      </c>
      <c r="H1759">
        <v>0</v>
      </c>
    </row>
    <row r="1760" spans="1:8" x14ac:dyDescent="0.35">
      <c r="A1760">
        <v>11485</v>
      </c>
      <c r="B1760" t="s">
        <v>7</v>
      </c>
      <c r="C1760">
        <v>4</v>
      </c>
      <c r="D1760">
        <v>324</v>
      </c>
      <c r="E1760" t="s">
        <v>15</v>
      </c>
      <c r="F1760" t="s">
        <v>13</v>
      </c>
      <c r="G1760" t="s">
        <v>10</v>
      </c>
      <c r="H1760">
        <v>1</v>
      </c>
    </row>
    <row r="1761" spans="1:8" x14ac:dyDescent="0.35">
      <c r="A1761">
        <v>13457</v>
      </c>
      <c r="B1761" t="s">
        <v>7</v>
      </c>
      <c r="C1761">
        <v>12</v>
      </c>
      <c r="D1761">
        <v>152</v>
      </c>
      <c r="E1761" t="s">
        <v>8</v>
      </c>
      <c r="F1761" t="s">
        <v>13</v>
      </c>
      <c r="G1761" t="s">
        <v>10</v>
      </c>
      <c r="H1761">
        <v>0</v>
      </c>
    </row>
    <row r="1762" spans="1:8" x14ac:dyDescent="0.35">
      <c r="A1762">
        <v>18452</v>
      </c>
      <c r="B1762" t="s">
        <v>11</v>
      </c>
      <c r="C1762">
        <v>3</v>
      </c>
      <c r="D1762">
        <v>51</v>
      </c>
      <c r="E1762" t="s">
        <v>8</v>
      </c>
      <c r="F1762" t="s">
        <v>9</v>
      </c>
      <c r="G1762" t="s">
        <v>12</v>
      </c>
      <c r="H1762">
        <v>0</v>
      </c>
    </row>
    <row r="1763" spans="1:8" x14ac:dyDescent="0.35">
      <c r="A1763">
        <v>12502</v>
      </c>
      <c r="B1763" t="s">
        <v>7</v>
      </c>
      <c r="C1763">
        <v>5</v>
      </c>
      <c r="D1763">
        <v>212</v>
      </c>
      <c r="E1763" t="s">
        <v>8</v>
      </c>
      <c r="F1763" t="s">
        <v>13</v>
      </c>
      <c r="G1763" t="s">
        <v>12</v>
      </c>
      <c r="H1763">
        <v>0</v>
      </c>
    </row>
    <row r="1764" spans="1:8" x14ac:dyDescent="0.35">
      <c r="A1764">
        <v>14050</v>
      </c>
      <c r="B1764" t="s">
        <v>11</v>
      </c>
      <c r="C1764">
        <v>10</v>
      </c>
      <c r="D1764">
        <v>405</v>
      </c>
      <c r="E1764" t="s">
        <v>8</v>
      </c>
      <c r="F1764" t="s">
        <v>13</v>
      </c>
      <c r="G1764" t="s">
        <v>10</v>
      </c>
      <c r="H1764">
        <v>0</v>
      </c>
    </row>
    <row r="1765" spans="1:8" x14ac:dyDescent="0.35">
      <c r="A1765">
        <v>15568</v>
      </c>
      <c r="B1765" t="s">
        <v>7</v>
      </c>
      <c r="C1765">
        <v>9</v>
      </c>
      <c r="D1765">
        <v>176</v>
      </c>
      <c r="E1765" t="s">
        <v>8</v>
      </c>
      <c r="F1765" t="s">
        <v>13</v>
      </c>
      <c r="G1765" t="s">
        <v>16</v>
      </c>
      <c r="H1765">
        <v>0</v>
      </c>
    </row>
    <row r="1766" spans="1:8" x14ac:dyDescent="0.35">
      <c r="A1766">
        <v>17054</v>
      </c>
      <c r="B1766" t="s">
        <v>11</v>
      </c>
      <c r="C1766">
        <v>4</v>
      </c>
      <c r="D1766">
        <v>262</v>
      </c>
      <c r="E1766" t="s">
        <v>8</v>
      </c>
      <c r="F1766" t="s">
        <v>9</v>
      </c>
      <c r="G1766" t="s">
        <v>12</v>
      </c>
      <c r="H1766">
        <v>0</v>
      </c>
    </row>
    <row r="1767" spans="1:8" x14ac:dyDescent="0.35">
      <c r="A1767">
        <v>12226</v>
      </c>
      <c r="B1767" t="s">
        <v>7</v>
      </c>
      <c r="C1767">
        <v>10</v>
      </c>
      <c r="D1767">
        <v>359</v>
      </c>
      <c r="E1767" t="s">
        <v>8</v>
      </c>
      <c r="F1767" t="s">
        <v>13</v>
      </c>
      <c r="G1767" t="s">
        <v>12</v>
      </c>
      <c r="H1767">
        <v>0</v>
      </c>
    </row>
    <row r="1768" spans="1:8" x14ac:dyDescent="0.35">
      <c r="A1768">
        <v>12987</v>
      </c>
      <c r="B1768" t="s">
        <v>11</v>
      </c>
      <c r="C1768">
        <v>5</v>
      </c>
      <c r="D1768">
        <v>148</v>
      </c>
      <c r="E1768" t="s">
        <v>8</v>
      </c>
      <c r="F1768" t="s">
        <v>13</v>
      </c>
      <c r="G1768" t="s">
        <v>16</v>
      </c>
      <c r="H1768">
        <v>0</v>
      </c>
    </row>
    <row r="1769" spans="1:8" x14ac:dyDescent="0.35">
      <c r="A1769">
        <v>11237</v>
      </c>
      <c r="B1769" t="s">
        <v>11</v>
      </c>
      <c r="C1769">
        <v>13</v>
      </c>
      <c r="D1769">
        <v>364</v>
      </c>
      <c r="E1769" t="s">
        <v>15</v>
      </c>
      <c r="F1769" t="s">
        <v>13</v>
      </c>
      <c r="G1769" t="s">
        <v>12</v>
      </c>
      <c r="H1769">
        <v>1</v>
      </c>
    </row>
    <row r="1770" spans="1:8" x14ac:dyDescent="0.35">
      <c r="A1770">
        <v>14011</v>
      </c>
      <c r="B1770" t="s">
        <v>11</v>
      </c>
      <c r="C1770">
        <v>1</v>
      </c>
      <c r="D1770">
        <v>348</v>
      </c>
      <c r="E1770" t="s">
        <v>8</v>
      </c>
      <c r="F1770" t="s">
        <v>13</v>
      </c>
      <c r="G1770" t="s">
        <v>12</v>
      </c>
      <c r="H1770">
        <v>0</v>
      </c>
    </row>
    <row r="1771" spans="1:8" x14ac:dyDescent="0.35">
      <c r="A1771">
        <v>16057</v>
      </c>
      <c r="B1771" t="s">
        <v>11</v>
      </c>
      <c r="C1771">
        <v>13</v>
      </c>
      <c r="D1771">
        <v>133</v>
      </c>
      <c r="E1771" t="s">
        <v>8</v>
      </c>
      <c r="F1771" t="s">
        <v>9</v>
      </c>
      <c r="G1771" t="s">
        <v>16</v>
      </c>
      <c r="H1771">
        <v>0</v>
      </c>
    </row>
    <row r="1772" spans="1:8" x14ac:dyDescent="0.35">
      <c r="A1772">
        <v>13314</v>
      </c>
      <c r="B1772" t="s">
        <v>11</v>
      </c>
      <c r="C1772">
        <v>2</v>
      </c>
      <c r="D1772">
        <v>363</v>
      </c>
      <c r="E1772" t="s">
        <v>8</v>
      </c>
      <c r="F1772" t="s">
        <v>13</v>
      </c>
      <c r="G1772" t="s">
        <v>12</v>
      </c>
      <c r="H1772">
        <v>0</v>
      </c>
    </row>
    <row r="1773" spans="1:8" x14ac:dyDescent="0.35">
      <c r="A1773">
        <v>19126</v>
      </c>
      <c r="B1773" t="s">
        <v>11</v>
      </c>
      <c r="C1773">
        <v>9</v>
      </c>
      <c r="D1773">
        <v>434</v>
      </c>
      <c r="E1773" t="s">
        <v>8</v>
      </c>
      <c r="F1773" t="s">
        <v>9</v>
      </c>
      <c r="G1773" t="s">
        <v>12</v>
      </c>
      <c r="H1773">
        <v>0</v>
      </c>
    </row>
    <row r="1774" spans="1:8" x14ac:dyDescent="0.35">
      <c r="A1774">
        <v>12885</v>
      </c>
      <c r="B1774" t="s">
        <v>11</v>
      </c>
      <c r="C1774">
        <v>1</v>
      </c>
      <c r="D1774">
        <v>282</v>
      </c>
      <c r="E1774" t="s">
        <v>8</v>
      </c>
      <c r="F1774" t="s">
        <v>13</v>
      </c>
      <c r="G1774" t="s">
        <v>12</v>
      </c>
      <c r="H1774">
        <v>0</v>
      </c>
    </row>
    <row r="1775" spans="1:8" x14ac:dyDescent="0.35">
      <c r="A1775">
        <v>18623</v>
      </c>
      <c r="B1775" t="s">
        <v>11</v>
      </c>
      <c r="C1775">
        <v>6</v>
      </c>
      <c r="D1775">
        <v>396</v>
      </c>
      <c r="E1775" t="s">
        <v>8</v>
      </c>
      <c r="F1775" t="s">
        <v>9</v>
      </c>
      <c r="G1775" t="s">
        <v>14</v>
      </c>
      <c r="H1775">
        <v>0</v>
      </c>
    </row>
    <row r="1776" spans="1:8" x14ac:dyDescent="0.35">
      <c r="A1776">
        <v>13067</v>
      </c>
      <c r="B1776" t="s">
        <v>11</v>
      </c>
      <c r="C1776">
        <v>5</v>
      </c>
      <c r="D1776">
        <v>312</v>
      </c>
      <c r="E1776" t="s">
        <v>8</v>
      </c>
      <c r="F1776" t="s">
        <v>13</v>
      </c>
      <c r="G1776" t="s">
        <v>12</v>
      </c>
      <c r="H1776">
        <v>0</v>
      </c>
    </row>
    <row r="1777" spans="1:8" x14ac:dyDescent="0.35">
      <c r="A1777">
        <v>15165</v>
      </c>
      <c r="B1777" t="s">
        <v>7</v>
      </c>
      <c r="C1777">
        <v>1</v>
      </c>
      <c r="D1777">
        <v>272</v>
      </c>
      <c r="E1777" t="s">
        <v>8</v>
      </c>
      <c r="F1777" t="s">
        <v>9</v>
      </c>
      <c r="G1777" t="s">
        <v>12</v>
      </c>
      <c r="H1777">
        <v>0</v>
      </c>
    </row>
    <row r="1778" spans="1:8" x14ac:dyDescent="0.35">
      <c r="A1778">
        <v>18007</v>
      </c>
      <c r="B1778" t="s">
        <v>7</v>
      </c>
      <c r="C1778">
        <v>13</v>
      </c>
      <c r="D1778">
        <v>180</v>
      </c>
      <c r="E1778" t="s">
        <v>8</v>
      </c>
      <c r="F1778" t="s">
        <v>9</v>
      </c>
      <c r="G1778" t="s">
        <v>10</v>
      </c>
      <c r="H1778">
        <v>0</v>
      </c>
    </row>
    <row r="1779" spans="1:8" x14ac:dyDescent="0.35">
      <c r="A1779">
        <v>15384</v>
      </c>
      <c r="B1779" t="s">
        <v>11</v>
      </c>
      <c r="C1779">
        <v>9</v>
      </c>
      <c r="D1779">
        <v>71</v>
      </c>
      <c r="E1779" t="s">
        <v>8</v>
      </c>
      <c r="F1779" t="s">
        <v>13</v>
      </c>
      <c r="G1779" t="s">
        <v>16</v>
      </c>
      <c r="H1779">
        <v>0</v>
      </c>
    </row>
    <row r="1780" spans="1:8" x14ac:dyDescent="0.35">
      <c r="A1780">
        <v>10208</v>
      </c>
      <c r="B1780" t="s">
        <v>11</v>
      </c>
      <c r="C1780">
        <v>1</v>
      </c>
      <c r="D1780">
        <v>341</v>
      </c>
      <c r="E1780" t="s">
        <v>15</v>
      </c>
      <c r="F1780" t="s">
        <v>9</v>
      </c>
      <c r="G1780" t="s">
        <v>16</v>
      </c>
      <c r="H1780">
        <v>1</v>
      </c>
    </row>
    <row r="1781" spans="1:8" x14ac:dyDescent="0.35">
      <c r="A1781">
        <v>16770</v>
      </c>
      <c r="B1781" t="s">
        <v>11</v>
      </c>
      <c r="C1781">
        <v>11</v>
      </c>
      <c r="D1781">
        <v>318</v>
      </c>
      <c r="E1781" t="s">
        <v>8</v>
      </c>
      <c r="F1781" t="s">
        <v>9</v>
      </c>
      <c r="G1781" t="s">
        <v>12</v>
      </c>
      <c r="H1781">
        <v>0</v>
      </c>
    </row>
    <row r="1782" spans="1:8" x14ac:dyDescent="0.35">
      <c r="A1782">
        <v>10722</v>
      </c>
      <c r="B1782" t="s">
        <v>11</v>
      </c>
      <c r="C1782">
        <v>3</v>
      </c>
      <c r="D1782">
        <v>320</v>
      </c>
      <c r="E1782" t="s">
        <v>8</v>
      </c>
      <c r="F1782" t="s">
        <v>9</v>
      </c>
      <c r="G1782" t="s">
        <v>14</v>
      </c>
      <c r="H1782">
        <v>0</v>
      </c>
    </row>
    <row r="1783" spans="1:8" x14ac:dyDescent="0.35">
      <c r="A1783">
        <v>13136</v>
      </c>
      <c r="B1783" t="s">
        <v>7</v>
      </c>
      <c r="C1783">
        <v>1</v>
      </c>
      <c r="D1783">
        <v>115</v>
      </c>
      <c r="E1783" t="s">
        <v>8</v>
      </c>
      <c r="F1783" t="s">
        <v>9</v>
      </c>
      <c r="G1783" t="s">
        <v>16</v>
      </c>
      <c r="H1783">
        <v>0</v>
      </c>
    </row>
    <row r="1784" spans="1:8" x14ac:dyDescent="0.35">
      <c r="A1784">
        <v>14137</v>
      </c>
      <c r="B1784" t="s">
        <v>11</v>
      </c>
      <c r="C1784">
        <v>8</v>
      </c>
      <c r="D1784">
        <v>180</v>
      </c>
      <c r="E1784" t="s">
        <v>8</v>
      </c>
      <c r="F1784" t="s">
        <v>9</v>
      </c>
      <c r="G1784" t="s">
        <v>10</v>
      </c>
      <c r="H1784">
        <v>0</v>
      </c>
    </row>
    <row r="1785" spans="1:8" x14ac:dyDescent="0.35">
      <c r="A1785">
        <v>16601</v>
      </c>
      <c r="B1785" t="s">
        <v>7</v>
      </c>
      <c r="C1785">
        <v>12</v>
      </c>
      <c r="D1785">
        <v>338</v>
      </c>
      <c r="E1785" t="s">
        <v>8</v>
      </c>
      <c r="F1785" t="s">
        <v>13</v>
      </c>
      <c r="G1785" t="s">
        <v>10</v>
      </c>
      <c r="H1785">
        <v>0</v>
      </c>
    </row>
    <row r="1786" spans="1:8" x14ac:dyDescent="0.35">
      <c r="A1786">
        <v>10055</v>
      </c>
      <c r="B1786" t="s">
        <v>7</v>
      </c>
      <c r="C1786">
        <v>8</v>
      </c>
      <c r="D1786">
        <v>250</v>
      </c>
      <c r="E1786" t="s">
        <v>15</v>
      </c>
      <c r="F1786" t="s">
        <v>9</v>
      </c>
      <c r="G1786" t="s">
        <v>12</v>
      </c>
      <c r="H1786">
        <v>1</v>
      </c>
    </row>
    <row r="1787" spans="1:8" x14ac:dyDescent="0.35">
      <c r="A1787">
        <v>13088</v>
      </c>
      <c r="B1787" t="s">
        <v>11</v>
      </c>
      <c r="C1787">
        <v>14</v>
      </c>
      <c r="D1787">
        <v>331</v>
      </c>
      <c r="E1787" t="s">
        <v>8</v>
      </c>
      <c r="F1787" t="s">
        <v>9</v>
      </c>
      <c r="G1787" t="s">
        <v>12</v>
      </c>
      <c r="H1787">
        <v>0</v>
      </c>
    </row>
    <row r="1788" spans="1:8" x14ac:dyDescent="0.35">
      <c r="A1788">
        <v>15955</v>
      </c>
      <c r="B1788" t="s">
        <v>7</v>
      </c>
      <c r="C1788">
        <v>4</v>
      </c>
      <c r="D1788">
        <v>65</v>
      </c>
      <c r="E1788" t="s">
        <v>15</v>
      </c>
      <c r="F1788" t="s">
        <v>9</v>
      </c>
      <c r="G1788" t="s">
        <v>16</v>
      </c>
      <c r="H1788">
        <v>1</v>
      </c>
    </row>
    <row r="1789" spans="1:8" x14ac:dyDescent="0.35">
      <c r="A1789">
        <v>12457</v>
      </c>
      <c r="B1789" t="s">
        <v>7</v>
      </c>
      <c r="C1789">
        <v>1</v>
      </c>
      <c r="D1789">
        <v>281</v>
      </c>
      <c r="E1789" t="s">
        <v>8</v>
      </c>
      <c r="F1789" t="s">
        <v>9</v>
      </c>
      <c r="G1789" t="s">
        <v>16</v>
      </c>
      <c r="H1789">
        <v>0</v>
      </c>
    </row>
    <row r="1790" spans="1:8" x14ac:dyDescent="0.35">
      <c r="A1790">
        <v>14973</v>
      </c>
      <c r="B1790" t="s">
        <v>7</v>
      </c>
      <c r="C1790">
        <v>13</v>
      </c>
      <c r="D1790">
        <v>83</v>
      </c>
      <c r="E1790" t="s">
        <v>8</v>
      </c>
      <c r="F1790" t="s">
        <v>9</v>
      </c>
      <c r="G1790" t="s">
        <v>10</v>
      </c>
      <c r="H1790">
        <v>0</v>
      </c>
    </row>
    <row r="1791" spans="1:8" x14ac:dyDescent="0.35">
      <c r="A1791">
        <v>14652</v>
      </c>
      <c r="B1791" t="s">
        <v>7</v>
      </c>
      <c r="C1791">
        <v>7</v>
      </c>
      <c r="D1791">
        <v>370</v>
      </c>
      <c r="E1791" t="s">
        <v>8</v>
      </c>
      <c r="F1791" t="s">
        <v>13</v>
      </c>
      <c r="G1791" t="s">
        <v>16</v>
      </c>
      <c r="H1791">
        <v>0</v>
      </c>
    </row>
    <row r="1792" spans="1:8" x14ac:dyDescent="0.35">
      <c r="A1792">
        <v>17147</v>
      </c>
      <c r="B1792" t="s">
        <v>11</v>
      </c>
      <c r="C1792">
        <v>7</v>
      </c>
      <c r="D1792">
        <v>114</v>
      </c>
      <c r="E1792" t="s">
        <v>8</v>
      </c>
      <c r="F1792" t="s">
        <v>9</v>
      </c>
      <c r="G1792" t="s">
        <v>10</v>
      </c>
      <c r="H1792">
        <v>0</v>
      </c>
    </row>
    <row r="1793" spans="1:8" x14ac:dyDescent="0.35">
      <c r="A1793">
        <v>16097</v>
      </c>
      <c r="B1793" t="s">
        <v>7</v>
      </c>
      <c r="C1793">
        <v>10</v>
      </c>
      <c r="D1793">
        <v>349</v>
      </c>
      <c r="E1793" t="s">
        <v>8</v>
      </c>
      <c r="F1793" t="s">
        <v>13</v>
      </c>
      <c r="G1793" t="s">
        <v>16</v>
      </c>
      <c r="H1793">
        <v>0</v>
      </c>
    </row>
    <row r="1794" spans="1:8" x14ac:dyDescent="0.35">
      <c r="A1794">
        <v>18941</v>
      </c>
      <c r="B1794" t="s">
        <v>11</v>
      </c>
      <c r="C1794">
        <v>7</v>
      </c>
      <c r="D1794">
        <v>267</v>
      </c>
      <c r="E1794" t="s">
        <v>8</v>
      </c>
      <c r="F1794" t="s">
        <v>13</v>
      </c>
      <c r="G1794" t="s">
        <v>16</v>
      </c>
      <c r="H1794">
        <v>0</v>
      </c>
    </row>
    <row r="1795" spans="1:8" x14ac:dyDescent="0.35">
      <c r="A1795">
        <v>15584</v>
      </c>
      <c r="B1795" t="s">
        <v>11</v>
      </c>
      <c r="C1795">
        <v>4</v>
      </c>
      <c r="D1795">
        <v>133</v>
      </c>
      <c r="E1795" t="s">
        <v>8</v>
      </c>
      <c r="F1795" t="s">
        <v>13</v>
      </c>
      <c r="G1795" t="s">
        <v>10</v>
      </c>
      <c r="H1795">
        <v>0</v>
      </c>
    </row>
    <row r="1796" spans="1:8" x14ac:dyDescent="0.35">
      <c r="A1796">
        <v>19749</v>
      </c>
      <c r="B1796" t="s">
        <v>7</v>
      </c>
      <c r="C1796">
        <v>8</v>
      </c>
      <c r="D1796">
        <v>253</v>
      </c>
      <c r="E1796" t="s">
        <v>8</v>
      </c>
      <c r="F1796" t="s">
        <v>9</v>
      </c>
      <c r="G1796" t="s">
        <v>14</v>
      </c>
      <c r="H1796">
        <v>0</v>
      </c>
    </row>
    <row r="1797" spans="1:8" x14ac:dyDescent="0.35">
      <c r="A1797">
        <v>15239</v>
      </c>
      <c r="B1797" t="s">
        <v>7</v>
      </c>
      <c r="C1797">
        <v>14</v>
      </c>
      <c r="D1797">
        <v>365</v>
      </c>
      <c r="E1797" t="s">
        <v>15</v>
      </c>
      <c r="F1797" t="s">
        <v>9</v>
      </c>
      <c r="G1797" t="s">
        <v>16</v>
      </c>
      <c r="H1797">
        <v>1</v>
      </c>
    </row>
    <row r="1798" spans="1:8" x14ac:dyDescent="0.35">
      <c r="A1798">
        <v>14903</v>
      </c>
      <c r="B1798" t="s">
        <v>11</v>
      </c>
      <c r="C1798">
        <v>8</v>
      </c>
      <c r="D1798">
        <v>409</v>
      </c>
      <c r="E1798" t="s">
        <v>8</v>
      </c>
      <c r="F1798" t="s">
        <v>13</v>
      </c>
      <c r="G1798" t="s">
        <v>16</v>
      </c>
      <c r="H1798">
        <v>0</v>
      </c>
    </row>
    <row r="1799" spans="1:8" x14ac:dyDescent="0.35">
      <c r="A1799">
        <v>16269</v>
      </c>
      <c r="B1799" t="s">
        <v>7</v>
      </c>
      <c r="C1799">
        <v>12</v>
      </c>
      <c r="D1799">
        <v>238</v>
      </c>
      <c r="E1799" t="s">
        <v>8</v>
      </c>
      <c r="F1799" t="s">
        <v>9</v>
      </c>
      <c r="G1799" t="s">
        <v>14</v>
      </c>
      <c r="H1799">
        <v>0</v>
      </c>
    </row>
    <row r="1800" spans="1:8" x14ac:dyDescent="0.35">
      <c r="A1800">
        <v>14628</v>
      </c>
      <c r="B1800" t="s">
        <v>11</v>
      </c>
      <c r="C1800">
        <v>14</v>
      </c>
      <c r="D1800">
        <v>343</v>
      </c>
      <c r="E1800" t="s">
        <v>8</v>
      </c>
      <c r="F1800" t="s">
        <v>9</v>
      </c>
      <c r="G1800" t="s">
        <v>16</v>
      </c>
      <c r="H1800">
        <v>0</v>
      </c>
    </row>
    <row r="1801" spans="1:8" x14ac:dyDescent="0.35">
      <c r="A1801">
        <v>14260</v>
      </c>
      <c r="B1801" t="s">
        <v>7</v>
      </c>
      <c r="C1801">
        <v>10</v>
      </c>
      <c r="D1801">
        <v>299</v>
      </c>
      <c r="E1801" t="s">
        <v>8</v>
      </c>
      <c r="F1801" t="s">
        <v>9</v>
      </c>
      <c r="G1801" t="s">
        <v>10</v>
      </c>
      <c r="H1801">
        <v>0</v>
      </c>
    </row>
    <row r="1802" spans="1:8" x14ac:dyDescent="0.35">
      <c r="A1802">
        <v>16554</v>
      </c>
      <c r="B1802" t="s">
        <v>7</v>
      </c>
      <c r="C1802">
        <v>1</v>
      </c>
      <c r="D1802">
        <v>184</v>
      </c>
      <c r="E1802" t="s">
        <v>8</v>
      </c>
      <c r="F1802" t="s">
        <v>9</v>
      </c>
      <c r="G1802" t="s">
        <v>12</v>
      </c>
      <c r="H1802">
        <v>0</v>
      </c>
    </row>
    <row r="1803" spans="1:8" x14ac:dyDescent="0.35">
      <c r="A1803">
        <v>14735</v>
      </c>
      <c r="B1803" t="s">
        <v>7</v>
      </c>
      <c r="C1803">
        <v>3</v>
      </c>
      <c r="D1803">
        <v>272</v>
      </c>
      <c r="E1803" t="s">
        <v>8</v>
      </c>
      <c r="F1803" t="s">
        <v>13</v>
      </c>
      <c r="G1803" t="s">
        <v>14</v>
      </c>
      <c r="H1803">
        <v>0</v>
      </c>
    </row>
    <row r="1804" spans="1:8" x14ac:dyDescent="0.35">
      <c r="A1804">
        <v>12059</v>
      </c>
      <c r="B1804" t="s">
        <v>11</v>
      </c>
      <c r="C1804">
        <v>12</v>
      </c>
      <c r="D1804">
        <v>63</v>
      </c>
      <c r="E1804" t="s">
        <v>8</v>
      </c>
      <c r="F1804" t="s">
        <v>13</v>
      </c>
      <c r="G1804" t="s">
        <v>16</v>
      </c>
      <c r="H1804">
        <v>0</v>
      </c>
    </row>
    <row r="1805" spans="1:8" x14ac:dyDescent="0.35">
      <c r="A1805">
        <v>15378</v>
      </c>
      <c r="B1805" t="s">
        <v>7</v>
      </c>
      <c r="C1805">
        <v>4</v>
      </c>
      <c r="D1805">
        <v>367</v>
      </c>
      <c r="E1805" t="s">
        <v>8</v>
      </c>
      <c r="F1805" t="s">
        <v>9</v>
      </c>
      <c r="G1805" t="s">
        <v>10</v>
      </c>
      <c r="H1805">
        <v>0</v>
      </c>
    </row>
    <row r="1806" spans="1:8" x14ac:dyDescent="0.35">
      <c r="A1806">
        <v>12117</v>
      </c>
      <c r="B1806" t="s">
        <v>7</v>
      </c>
      <c r="C1806">
        <v>8</v>
      </c>
      <c r="D1806">
        <v>299</v>
      </c>
      <c r="E1806" t="s">
        <v>8</v>
      </c>
      <c r="F1806" t="s">
        <v>13</v>
      </c>
      <c r="G1806" t="s">
        <v>10</v>
      </c>
      <c r="H1806">
        <v>0</v>
      </c>
    </row>
    <row r="1807" spans="1:8" x14ac:dyDescent="0.35">
      <c r="A1807">
        <v>19746</v>
      </c>
      <c r="B1807" t="s">
        <v>7</v>
      </c>
      <c r="C1807">
        <v>8</v>
      </c>
      <c r="D1807">
        <v>59</v>
      </c>
      <c r="E1807" t="s">
        <v>8</v>
      </c>
      <c r="F1807" t="s">
        <v>9</v>
      </c>
      <c r="G1807" t="s">
        <v>16</v>
      </c>
      <c r="H1807">
        <v>0</v>
      </c>
    </row>
    <row r="1808" spans="1:8" x14ac:dyDescent="0.35">
      <c r="A1808">
        <v>16379</v>
      </c>
      <c r="B1808" t="s">
        <v>11</v>
      </c>
      <c r="C1808">
        <v>14</v>
      </c>
      <c r="D1808">
        <v>119</v>
      </c>
      <c r="E1808" t="s">
        <v>8</v>
      </c>
      <c r="F1808" t="s">
        <v>9</v>
      </c>
      <c r="G1808" t="s">
        <v>12</v>
      </c>
      <c r="H1808">
        <v>0</v>
      </c>
    </row>
    <row r="1809" spans="1:8" x14ac:dyDescent="0.35">
      <c r="A1809">
        <v>17410</v>
      </c>
      <c r="B1809" t="s">
        <v>7</v>
      </c>
      <c r="C1809">
        <v>9</v>
      </c>
      <c r="D1809">
        <v>153</v>
      </c>
      <c r="E1809" t="s">
        <v>8</v>
      </c>
      <c r="F1809" t="s">
        <v>9</v>
      </c>
      <c r="G1809" t="s">
        <v>14</v>
      </c>
      <c r="H1809">
        <v>0</v>
      </c>
    </row>
    <row r="1810" spans="1:8" x14ac:dyDescent="0.35">
      <c r="A1810">
        <v>19285</v>
      </c>
      <c r="B1810" t="s">
        <v>7</v>
      </c>
      <c r="C1810">
        <v>3</v>
      </c>
      <c r="D1810">
        <v>135</v>
      </c>
      <c r="E1810" t="s">
        <v>8</v>
      </c>
      <c r="F1810" t="s">
        <v>9</v>
      </c>
      <c r="G1810" t="s">
        <v>12</v>
      </c>
      <c r="H1810">
        <v>0</v>
      </c>
    </row>
    <row r="1811" spans="1:8" x14ac:dyDescent="0.35">
      <c r="A1811">
        <v>15006</v>
      </c>
      <c r="B1811" t="s">
        <v>7</v>
      </c>
      <c r="C1811">
        <v>5</v>
      </c>
      <c r="D1811">
        <v>145</v>
      </c>
      <c r="E1811" t="s">
        <v>8</v>
      </c>
      <c r="F1811" t="s">
        <v>13</v>
      </c>
      <c r="G1811" t="s">
        <v>16</v>
      </c>
      <c r="H1811">
        <v>0</v>
      </c>
    </row>
    <row r="1812" spans="1:8" x14ac:dyDescent="0.35">
      <c r="A1812">
        <v>10790</v>
      </c>
      <c r="B1812" t="s">
        <v>11</v>
      </c>
      <c r="C1812">
        <v>11</v>
      </c>
      <c r="D1812">
        <v>432</v>
      </c>
      <c r="E1812" t="s">
        <v>8</v>
      </c>
      <c r="F1812" t="s">
        <v>9</v>
      </c>
      <c r="G1812" t="s">
        <v>10</v>
      </c>
      <c r="H1812">
        <v>0</v>
      </c>
    </row>
    <row r="1813" spans="1:8" x14ac:dyDescent="0.35">
      <c r="A1813">
        <v>18898</v>
      </c>
      <c r="B1813" t="s">
        <v>7</v>
      </c>
      <c r="C1813">
        <v>3</v>
      </c>
      <c r="D1813">
        <v>222</v>
      </c>
      <c r="E1813" t="s">
        <v>8</v>
      </c>
      <c r="F1813" t="s">
        <v>13</v>
      </c>
      <c r="G1813" t="s">
        <v>12</v>
      </c>
      <c r="H1813">
        <v>0</v>
      </c>
    </row>
    <row r="1814" spans="1:8" x14ac:dyDescent="0.35">
      <c r="A1814">
        <v>15923</v>
      </c>
      <c r="B1814" t="s">
        <v>7</v>
      </c>
      <c r="C1814">
        <v>6</v>
      </c>
      <c r="D1814">
        <v>249</v>
      </c>
      <c r="E1814" t="s">
        <v>8</v>
      </c>
      <c r="F1814" t="s">
        <v>9</v>
      </c>
      <c r="G1814" t="s">
        <v>12</v>
      </c>
      <c r="H1814">
        <v>0</v>
      </c>
    </row>
    <row r="1815" spans="1:8" x14ac:dyDescent="0.35">
      <c r="A1815">
        <v>18398</v>
      </c>
      <c r="B1815" t="s">
        <v>7</v>
      </c>
      <c r="C1815">
        <v>4</v>
      </c>
      <c r="D1815">
        <v>256</v>
      </c>
      <c r="E1815" t="s">
        <v>8</v>
      </c>
      <c r="F1815" t="s">
        <v>9</v>
      </c>
      <c r="G1815" t="s">
        <v>16</v>
      </c>
      <c r="H1815">
        <v>0</v>
      </c>
    </row>
    <row r="1816" spans="1:8" x14ac:dyDescent="0.35">
      <c r="A1816">
        <v>14826</v>
      </c>
      <c r="B1816" t="s">
        <v>11</v>
      </c>
      <c r="C1816">
        <v>3</v>
      </c>
      <c r="D1816">
        <v>404</v>
      </c>
      <c r="E1816" t="s">
        <v>8</v>
      </c>
      <c r="F1816" t="s">
        <v>9</v>
      </c>
      <c r="G1816" t="s">
        <v>14</v>
      </c>
      <c r="H1816">
        <v>0</v>
      </c>
    </row>
    <row r="1817" spans="1:8" x14ac:dyDescent="0.35">
      <c r="A1817">
        <v>11431</v>
      </c>
      <c r="B1817" t="s">
        <v>7</v>
      </c>
      <c r="C1817">
        <v>13</v>
      </c>
      <c r="D1817">
        <v>425</v>
      </c>
      <c r="E1817" t="s">
        <v>8</v>
      </c>
      <c r="F1817" t="s">
        <v>9</v>
      </c>
      <c r="G1817" t="s">
        <v>16</v>
      </c>
      <c r="H1817">
        <v>0</v>
      </c>
    </row>
    <row r="1818" spans="1:8" x14ac:dyDescent="0.35">
      <c r="A1818">
        <v>18516</v>
      </c>
      <c r="B1818" t="s">
        <v>11</v>
      </c>
      <c r="C1818">
        <v>14</v>
      </c>
      <c r="D1818">
        <v>177</v>
      </c>
      <c r="E1818" t="s">
        <v>15</v>
      </c>
      <c r="F1818" t="s">
        <v>13</v>
      </c>
      <c r="G1818" t="s">
        <v>16</v>
      </c>
      <c r="H1818">
        <v>1</v>
      </c>
    </row>
    <row r="1819" spans="1:8" x14ac:dyDescent="0.35">
      <c r="A1819">
        <v>11601</v>
      </c>
      <c r="B1819" t="s">
        <v>7</v>
      </c>
      <c r="C1819">
        <v>1</v>
      </c>
      <c r="D1819">
        <v>160</v>
      </c>
      <c r="E1819" t="s">
        <v>8</v>
      </c>
      <c r="F1819" t="s">
        <v>13</v>
      </c>
      <c r="G1819" t="s">
        <v>10</v>
      </c>
      <c r="H1819">
        <v>0</v>
      </c>
    </row>
    <row r="1820" spans="1:8" x14ac:dyDescent="0.35">
      <c r="A1820">
        <v>16992</v>
      </c>
      <c r="B1820" t="s">
        <v>7</v>
      </c>
      <c r="C1820">
        <v>11</v>
      </c>
      <c r="D1820">
        <v>197</v>
      </c>
      <c r="E1820" t="s">
        <v>15</v>
      </c>
      <c r="F1820" t="s">
        <v>13</v>
      </c>
      <c r="G1820" t="s">
        <v>10</v>
      </c>
      <c r="H1820">
        <v>1</v>
      </c>
    </row>
    <row r="1821" spans="1:8" x14ac:dyDescent="0.35">
      <c r="A1821">
        <v>13782</v>
      </c>
      <c r="B1821" t="s">
        <v>11</v>
      </c>
      <c r="C1821">
        <v>12</v>
      </c>
      <c r="D1821">
        <v>357</v>
      </c>
      <c r="E1821" t="s">
        <v>8</v>
      </c>
      <c r="F1821" t="s">
        <v>13</v>
      </c>
      <c r="G1821" t="s">
        <v>12</v>
      </c>
      <c r="H1821">
        <v>0</v>
      </c>
    </row>
    <row r="1822" spans="1:8" x14ac:dyDescent="0.35">
      <c r="A1822">
        <v>19783</v>
      </c>
      <c r="B1822" t="s">
        <v>7</v>
      </c>
      <c r="C1822">
        <v>1</v>
      </c>
      <c r="D1822">
        <v>339</v>
      </c>
      <c r="E1822" t="s">
        <v>8</v>
      </c>
      <c r="F1822" t="s">
        <v>13</v>
      </c>
      <c r="G1822" t="s">
        <v>14</v>
      </c>
      <c r="H1822">
        <v>0</v>
      </c>
    </row>
    <row r="1823" spans="1:8" x14ac:dyDescent="0.35">
      <c r="A1823">
        <v>13081</v>
      </c>
      <c r="B1823" t="s">
        <v>11</v>
      </c>
      <c r="C1823">
        <v>5</v>
      </c>
      <c r="D1823">
        <v>208</v>
      </c>
      <c r="E1823" t="s">
        <v>8</v>
      </c>
      <c r="F1823" t="s">
        <v>13</v>
      </c>
      <c r="G1823" t="s">
        <v>10</v>
      </c>
      <c r="H1823">
        <v>0</v>
      </c>
    </row>
    <row r="1824" spans="1:8" x14ac:dyDescent="0.35">
      <c r="A1824">
        <v>17193</v>
      </c>
      <c r="B1824" t="s">
        <v>11</v>
      </c>
      <c r="C1824">
        <v>6</v>
      </c>
      <c r="D1824">
        <v>255</v>
      </c>
      <c r="E1824" t="s">
        <v>8</v>
      </c>
      <c r="F1824" t="s">
        <v>9</v>
      </c>
      <c r="G1824" t="s">
        <v>14</v>
      </c>
      <c r="H1824">
        <v>0</v>
      </c>
    </row>
    <row r="1825" spans="1:8" x14ac:dyDescent="0.35">
      <c r="A1825">
        <v>14386</v>
      </c>
      <c r="B1825" t="s">
        <v>7</v>
      </c>
      <c r="C1825">
        <v>7</v>
      </c>
      <c r="D1825">
        <v>110</v>
      </c>
      <c r="E1825" t="s">
        <v>8</v>
      </c>
      <c r="F1825" t="s">
        <v>13</v>
      </c>
      <c r="G1825" t="s">
        <v>14</v>
      </c>
      <c r="H1825">
        <v>0</v>
      </c>
    </row>
    <row r="1826" spans="1:8" x14ac:dyDescent="0.35">
      <c r="A1826">
        <v>18140</v>
      </c>
      <c r="B1826" t="s">
        <v>7</v>
      </c>
      <c r="C1826">
        <v>6</v>
      </c>
      <c r="D1826">
        <v>439</v>
      </c>
      <c r="E1826" t="s">
        <v>8</v>
      </c>
      <c r="F1826" t="s">
        <v>13</v>
      </c>
      <c r="G1826" t="s">
        <v>14</v>
      </c>
      <c r="H1826">
        <v>0</v>
      </c>
    </row>
    <row r="1827" spans="1:8" x14ac:dyDescent="0.35">
      <c r="A1827">
        <v>16106</v>
      </c>
      <c r="B1827" t="s">
        <v>11</v>
      </c>
      <c r="C1827">
        <v>8</v>
      </c>
      <c r="D1827">
        <v>89</v>
      </c>
      <c r="E1827" t="s">
        <v>8</v>
      </c>
      <c r="F1827" t="s">
        <v>9</v>
      </c>
      <c r="G1827" t="s">
        <v>16</v>
      </c>
      <c r="H1827">
        <v>0</v>
      </c>
    </row>
    <row r="1828" spans="1:8" x14ac:dyDescent="0.35">
      <c r="A1828">
        <v>14061</v>
      </c>
      <c r="B1828" t="s">
        <v>7</v>
      </c>
      <c r="C1828">
        <v>11</v>
      </c>
      <c r="D1828">
        <v>445</v>
      </c>
      <c r="E1828" t="s">
        <v>8</v>
      </c>
      <c r="F1828" t="s">
        <v>13</v>
      </c>
      <c r="G1828" t="s">
        <v>10</v>
      </c>
      <c r="H1828">
        <v>0</v>
      </c>
    </row>
    <row r="1829" spans="1:8" x14ac:dyDescent="0.35">
      <c r="A1829">
        <v>13846</v>
      </c>
      <c r="B1829" t="s">
        <v>11</v>
      </c>
      <c r="C1829">
        <v>3</v>
      </c>
      <c r="D1829">
        <v>96</v>
      </c>
      <c r="E1829" t="s">
        <v>8</v>
      </c>
      <c r="F1829" t="s">
        <v>9</v>
      </c>
      <c r="G1829" t="s">
        <v>16</v>
      </c>
      <c r="H1829">
        <v>0</v>
      </c>
    </row>
    <row r="1830" spans="1:8" x14ac:dyDescent="0.35">
      <c r="A1830">
        <v>16185</v>
      </c>
      <c r="B1830" t="s">
        <v>7</v>
      </c>
      <c r="C1830">
        <v>11</v>
      </c>
      <c r="D1830">
        <v>307</v>
      </c>
      <c r="E1830" t="s">
        <v>15</v>
      </c>
      <c r="F1830" t="s">
        <v>9</v>
      </c>
      <c r="G1830" t="s">
        <v>14</v>
      </c>
      <c r="H1830">
        <v>1</v>
      </c>
    </row>
    <row r="1831" spans="1:8" x14ac:dyDescent="0.35">
      <c r="A1831">
        <v>16190</v>
      </c>
      <c r="B1831" t="s">
        <v>7</v>
      </c>
      <c r="C1831">
        <v>12</v>
      </c>
      <c r="D1831">
        <v>118</v>
      </c>
      <c r="E1831" t="s">
        <v>8</v>
      </c>
      <c r="F1831" t="s">
        <v>9</v>
      </c>
      <c r="G1831" t="s">
        <v>14</v>
      </c>
      <c r="H1831">
        <v>0</v>
      </c>
    </row>
    <row r="1832" spans="1:8" x14ac:dyDescent="0.35">
      <c r="A1832">
        <v>17318</v>
      </c>
      <c r="B1832" t="s">
        <v>7</v>
      </c>
      <c r="C1832">
        <v>6</v>
      </c>
      <c r="D1832">
        <v>159</v>
      </c>
      <c r="E1832" t="s">
        <v>8</v>
      </c>
      <c r="F1832" t="s">
        <v>9</v>
      </c>
      <c r="G1832" t="s">
        <v>12</v>
      </c>
      <c r="H1832">
        <v>0</v>
      </c>
    </row>
    <row r="1833" spans="1:8" x14ac:dyDescent="0.35">
      <c r="A1833">
        <v>18371</v>
      </c>
      <c r="B1833" t="s">
        <v>11</v>
      </c>
      <c r="C1833">
        <v>14</v>
      </c>
      <c r="D1833">
        <v>351</v>
      </c>
      <c r="E1833" t="s">
        <v>8</v>
      </c>
      <c r="F1833" t="s">
        <v>9</v>
      </c>
      <c r="G1833" t="s">
        <v>16</v>
      </c>
      <c r="H1833">
        <v>0</v>
      </c>
    </row>
    <row r="1834" spans="1:8" x14ac:dyDescent="0.35">
      <c r="A1834">
        <v>14686</v>
      </c>
      <c r="B1834" t="s">
        <v>11</v>
      </c>
      <c r="C1834">
        <v>4</v>
      </c>
      <c r="D1834">
        <v>41</v>
      </c>
      <c r="E1834" t="s">
        <v>8</v>
      </c>
      <c r="F1834" t="s">
        <v>9</v>
      </c>
      <c r="G1834" t="s">
        <v>14</v>
      </c>
      <c r="H1834">
        <v>0</v>
      </c>
    </row>
    <row r="1835" spans="1:8" x14ac:dyDescent="0.35">
      <c r="A1835">
        <v>13867</v>
      </c>
      <c r="B1835" t="s">
        <v>11</v>
      </c>
      <c r="C1835">
        <v>12</v>
      </c>
      <c r="D1835">
        <v>76</v>
      </c>
      <c r="E1835" t="s">
        <v>8</v>
      </c>
      <c r="F1835" t="s">
        <v>13</v>
      </c>
      <c r="G1835" t="s">
        <v>10</v>
      </c>
      <c r="H1835">
        <v>0</v>
      </c>
    </row>
    <row r="1836" spans="1:8" x14ac:dyDescent="0.35">
      <c r="A1836">
        <v>15943</v>
      </c>
      <c r="B1836" t="s">
        <v>11</v>
      </c>
      <c r="C1836">
        <v>14</v>
      </c>
      <c r="D1836">
        <v>449</v>
      </c>
      <c r="E1836" t="s">
        <v>8</v>
      </c>
      <c r="F1836" t="s">
        <v>13</v>
      </c>
      <c r="G1836" t="s">
        <v>16</v>
      </c>
      <c r="H1836">
        <v>0</v>
      </c>
    </row>
    <row r="1837" spans="1:8" x14ac:dyDescent="0.35">
      <c r="A1837">
        <v>15282</v>
      </c>
      <c r="B1837" t="s">
        <v>11</v>
      </c>
      <c r="C1837">
        <v>2</v>
      </c>
      <c r="D1837">
        <v>299</v>
      </c>
      <c r="E1837" t="s">
        <v>8</v>
      </c>
      <c r="F1837" t="s">
        <v>13</v>
      </c>
      <c r="G1837" t="s">
        <v>16</v>
      </c>
      <c r="H1837">
        <v>0</v>
      </c>
    </row>
    <row r="1838" spans="1:8" x14ac:dyDescent="0.35">
      <c r="A1838">
        <v>11414</v>
      </c>
      <c r="B1838" t="s">
        <v>7</v>
      </c>
      <c r="C1838">
        <v>8</v>
      </c>
      <c r="D1838">
        <v>401</v>
      </c>
      <c r="E1838" t="s">
        <v>8</v>
      </c>
      <c r="F1838" t="s">
        <v>9</v>
      </c>
      <c r="G1838" t="s">
        <v>16</v>
      </c>
      <c r="H1838">
        <v>0</v>
      </c>
    </row>
    <row r="1839" spans="1:8" x14ac:dyDescent="0.35">
      <c r="A1839">
        <v>14510</v>
      </c>
      <c r="B1839" t="s">
        <v>7</v>
      </c>
      <c r="C1839">
        <v>14</v>
      </c>
      <c r="D1839">
        <v>151</v>
      </c>
      <c r="E1839" t="s">
        <v>8</v>
      </c>
      <c r="F1839" t="s">
        <v>13</v>
      </c>
      <c r="G1839" t="s">
        <v>12</v>
      </c>
      <c r="H1839">
        <v>0</v>
      </c>
    </row>
    <row r="1840" spans="1:8" x14ac:dyDescent="0.35">
      <c r="A1840">
        <v>19101</v>
      </c>
      <c r="B1840" t="s">
        <v>11</v>
      </c>
      <c r="C1840">
        <v>7</v>
      </c>
      <c r="D1840">
        <v>353</v>
      </c>
      <c r="E1840" t="s">
        <v>8</v>
      </c>
      <c r="F1840" t="s">
        <v>9</v>
      </c>
      <c r="G1840" t="s">
        <v>14</v>
      </c>
      <c r="H1840">
        <v>0</v>
      </c>
    </row>
    <row r="1841" spans="1:8" x14ac:dyDescent="0.35">
      <c r="A1841">
        <v>10132</v>
      </c>
      <c r="B1841" t="s">
        <v>7</v>
      </c>
      <c r="C1841">
        <v>7</v>
      </c>
      <c r="D1841">
        <v>174</v>
      </c>
      <c r="E1841" t="s">
        <v>8</v>
      </c>
      <c r="F1841" t="s">
        <v>13</v>
      </c>
      <c r="G1841" t="s">
        <v>10</v>
      </c>
      <c r="H1841">
        <v>0</v>
      </c>
    </row>
    <row r="1842" spans="1:8" x14ac:dyDescent="0.35">
      <c r="A1842">
        <v>12162</v>
      </c>
      <c r="B1842" t="s">
        <v>11</v>
      </c>
      <c r="C1842">
        <v>4</v>
      </c>
      <c r="D1842">
        <v>216</v>
      </c>
      <c r="E1842" t="s">
        <v>8</v>
      </c>
      <c r="F1842" t="s">
        <v>13</v>
      </c>
      <c r="G1842" t="s">
        <v>14</v>
      </c>
      <c r="H1842">
        <v>0</v>
      </c>
    </row>
    <row r="1843" spans="1:8" x14ac:dyDescent="0.35">
      <c r="A1843">
        <v>11492</v>
      </c>
      <c r="B1843" t="s">
        <v>11</v>
      </c>
      <c r="C1843">
        <v>9</v>
      </c>
      <c r="D1843">
        <v>62</v>
      </c>
      <c r="E1843" t="s">
        <v>8</v>
      </c>
      <c r="F1843" t="s">
        <v>9</v>
      </c>
      <c r="G1843" t="s">
        <v>10</v>
      </c>
      <c r="H1843">
        <v>0</v>
      </c>
    </row>
    <row r="1844" spans="1:8" x14ac:dyDescent="0.35">
      <c r="A1844">
        <v>11570</v>
      </c>
      <c r="B1844" t="s">
        <v>7</v>
      </c>
      <c r="C1844">
        <v>9</v>
      </c>
      <c r="D1844">
        <v>254</v>
      </c>
      <c r="E1844" t="s">
        <v>8</v>
      </c>
      <c r="F1844" t="s">
        <v>13</v>
      </c>
      <c r="G1844" t="s">
        <v>14</v>
      </c>
      <c r="H1844">
        <v>0</v>
      </c>
    </row>
    <row r="1845" spans="1:8" x14ac:dyDescent="0.35">
      <c r="A1845">
        <v>19778</v>
      </c>
      <c r="B1845" t="s">
        <v>11</v>
      </c>
      <c r="C1845">
        <v>6</v>
      </c>
      <c r="D1845">
        <v>393</v>
      </c>
      <c r="E1845" t="s">
        <v>8</v>
      </c>
      <c r="F1845" t="s">
        <v>13</v>
      </c>
      <c r="G1845" t="s">
        <v>14</v>
      </c>
      <c r="H1845">
        <v>0</v>
      </c>
    </row>
    <row r="1846" spans="1:8" x14ac:dyDescent="0.35">
      <c r="A1846">
        <v>11717</v>
      </c>
      <c r="B1846" t="s">
        <v>7</v>
      </c>
      <c r="C1846">
        <v>2</v>
      </c>
      <c r="D1846">
        <v>82</v>
      </c>
      <c r="E1846" t="s">
        <v>8</v>
      </c>
      <c r="F1846" t="s">
        <v>9</v>
      </c>
      <c r="G1846" t="s">
        <v>14</v>
      </c>
      <c r="H1846">
        <v>0</v>
      </c>
    </row>
    <row r="1847" spans="1:8" x14ac:dyDescent="0.35">
      <c r="A1847">
        <v>13694</v>
      </c>
      <c r="B1847" t="s">
        <v>7</v>
      </c>
      <c r="C1847">
        <v>10</v>
      </c>
      <c r="D1847">
        <v>217</v>
      </c>
      <c r="E1847" t="s">
        <v>8</v>
      </c>
      <c r="F1847" t="s">
        <v>13</v>
      </c>
      <c r="G1847" t="s">
        <v>12</v>
      </c>
      <c r="H1847">
        <v>0</v>
      </c>
    </row>
    <row r="1848" spans="1:8" x14ac:dyDescent="0.35">
      <c r="A1848">
        <v>16720</v>
      </c>
      <c r="B1848" t="s">
        <v>11</v>
      </c>
      <c r="C1848">
        <v>12</v>
      </c>
      <c r="D1848">
        <v>209</v>
      </c>
      <c r="E1848" t="s">
        <v>8</v>
      </c>
      <c r="F1848" t="s">
        <v>13</v>
      </c>
      <c r="G1848" t="s">
        <v>10</v>
      </c>
      <c r="H1848">
        <v>0</v>
      </c>
    </row>
    <row r="1849" spans="1:8" x14ac:dyDescent="0.35">
      <c r="A1849">
        <v>17771</v>
      </c>
      <c r="B1849" t="s">
        <v>11</v>
      </c>
      <c r="C1849">
        <v>4</v>
      </c>
      <c r="D1849">
        <v>435</v>
      </c>
      <c r="E1849" t="s">
        <v>8</v>
      </c>
      <c r="F1849" t="s">
        <v>9</v>
      </c>
      <c r="G1849" t="s">
        <v>16</v>
      </c>
      <c r="H1849">
        <v>0</v>
      </c>
    </row>
    <row r="1850" spans="1:8" x14ac:dyDescent="0.35">
      <c r="A1850">
        <v>19201</v>
      </c>
      <c r="B1850" t="s">
        <v>7</v>
      </c>
      <c r="C1850">
        <v>1</v>
      </c>
      <c r="D1850">
        <v>291</v>
      </c>
      <c r="E1850" t="s">
        <v>8</v>
      </c>
      <c r="F1850" t="s">
        <v>13</v>
      </c>
      <c r="G1850" t="s">
        <v>14</v>
      </c>
      <c r="H1850">
        <v>0</v>
      </c>
    </row>
    <row r="1851" spans="1:8" x14ac:dyDescent="0.35">
      <c r="A1851">
        <v>17607</v>
      </c>
      <c r="B1851" t="s">
        <v>7</v>
      </c>
      <c r="C1851">
        <v>10</v>
      </c>
      <c r="D1851">
        <v>297</v>
      </c>
      <c r="E1851" t="s">
        <v>8</v>
      </c>
      <c r="F1851" t="s">
        <v>13</v>
      </c>
      <c r="G1851" t="s">
        <v>16</v>
      </c>
      <c r="H1851">
        <v>0</v>
      </c>
    </row>
    <row r="1852" spans="1:8" x14ac:dyDescent="0.35">
      <c r="A1852">
        <v>11076</v>
      </c>
      <c r="B1852" t="s">
        <v>11</v>
      </c>
      <c r="C1852">
        <v>3</v>
      </c>
      <c r="D1852">
        <v>197</v>
      </c>
      <c r="E1852" t="s">
        <v>8</v>
      </c>
      <c r="F1852" t="s">
        <v>13</v>
      </c>
      <c r="G1852" t="s">
        <v>16</v>
      </c>
      <c r="H1852">
        <v>0</v>
      </c>
    </row>
    <row r="1853" spans="1:8" x14ac:dyDescent="0.35">
      <c r="A1853">
        <v>11398</v>
      </c>
      <c r="B1853" t="s">
        <v>7</v>
      </c>
      <c r="C1853">
        <v>2</v>
      </c>
      <c r="D1853">
        <v>57</v>
      </c>
      <c r="E1853" t="s">
        <v>8</v>
      </c>
      <c r="F1853" t="s">
        <v>13</v>
      </c>
      <c r="G1853" t="s">
        <v>12</v>
      </c>
      <c r="H1853">
        <v>0</v>
      </c>
    </row>
    <row r="1854" spans="1:8" x14ac:dyDescent="0.35">
      <c r="A1854">
        <v>14726</v>
      </c>
      <c r="B1854" t="s">
        <v>7</v>
      </c>
      <c r="C1854">
        <v>10</v>
      </c>
      <c r="D1854">
        <v>393</v>
      </c>
      <c r="E1854" t="s">
        <v>8</v>
      </c>
      <c r="F1854" t="s">
        <v>9</v>
      </c>
      <c r="G1854" t="s">
        <v>14</v>
      </c>
      <c r="H1854">
        <v>0</v>
      </c>
    </row>
    <row r="1855" spans="1:8" x14ac:dyDescent="0.35">
      <c r="A1855">
        <v>19991</v>
      </c>
      <c r="B1855" t="s">
        <v>11</v>
      </c>
      <c r="C1855">
        <v>14</v>
      </c>
      <c r="D1855">
        <v>200</v>
      </c>
      <c r="E1855" t="s">
        <v>8</v>
      </c>
      <c r="F1855" t="s">
        <v>13</v>
      </c>
      <c r="G1855" t="s">
        <v>12</v>
      </c>
      <c r="H1855">
        <v>0</v>
      </c>
    </row>
    <row r="1856" spans="1:8" x14ac:dyDescent="0.35">
      <c r="A1856">
        <v>16660</v>
      </c>
      <c r="B1856" t="s">
        <v>11</v>
      </c>
      <c r="C1856">
        <v>12</v>
      </c>
      <c r="D1856">
        <v>79</v>
      </c>
      <c r="E1856" t="s">
        <v>8</v>
      </c>
      <c r="F1856" t="s">
        <v>9</v>
      </c>
      <c r="G1856" t="s">
        <v>12</v>
      </c>
      <c r="H1856">
        <v>0</v>
      </c>
    </row>
    <row r="1857" spans="1:8" x14ac:dyDescent="0.35">
      <c r="A1857">
        <v>14164</v>
      </c>
      <c r="B1857" t="s">
        <v>11</v>
      </c>
      <c r="C1857">
        <v>14</v>
      </c>
      <c r="D1857">
        <v>357</v>
      </c>
      <c r="E1857" t="s">
        <v>8</v>
      </c>
      <c r="F1857" t="s">
        <v>13</v>
      </c>
      <c r="G1857" t="s">
        <v>10</v>
      </c>
      <c r="H1857">
        <v>0</v>
      </c>
    </row>
    <row r="1858" spans="1:8" x14ac:dyDescent="0.35">
      <c r="A1858">
        <v>10896</v>
      </c>
      <c r="B1858" t="s">
        <v>11</v>
      </c>
      <c r="C1858">
        <v>8</v>
      </c>
      <c r="D1858">
        <v>346</v>
      </c>
      <c r="E1858" t="s">
        <v>8</v>
      </c>
      <c r="F1858" t="s">
        <v>9</v>
      </c>
      <c r="G1858" t="s">
        <v>12</v>
      </c>
      <c r="H1858">
        <v>0</v>
      </c>
    </row>
    <row r="1859" spans="1:8" x14ac:dyDescent="0.35">
      <c r="A1859">
        <v>13120</v>
      </c>
      <c r="B1859" t="s">
        <v>7</v>
      </c>
      <c r="C1859">
        <v>11</v>
      </c>
      <c r="D1859">
        <v>148</v>
      </c>
      <c r="E1859" t="s">
        <v>15</v>
      </c>
      <c r="F1859" t="s">
        <v>13</v>
      </c>
      <c r="G1859" t="s">
        <v>14</v>
      </c>
      <c r="H1859">
        <v>1</v>
      </c>
    </row>
    <row r="1860" spans="1:8" x14ac:dyDescent="0.35">
      <c r="A1860">
        <v>14127</v>
      </c>
      <c r="B1860" t="s">
        <v>11</v>
      </c>
      <c r="C1860">
        <v>6</v>
      </c>
      <c r="D1860">
        <v>270</v>
      </c>
      <c r="E1860" t="s">
        <v>8</v>
      </c>
      <c r="F1860" t="s">
        <v>13</v>
      </c>
      <c r="G1860" t="s">
        <v>14</v>
      </c>
      <c r="H1860">
        <v>0</v>
      </c>
    </row>
    <row r="1861" spans="1:8" x14ac:dyDescent="0.35">
      <c r="A1861">
        <v>17690</v>
      </c>
      <c r="B1861" t="s">
        <v>11</v>
      </c>
      <c r="C1861">
        <v>13</v>
      </c>
      <c r="D1861">
        <v>134</v>
      </c>
      <c r="E1861" t="s">
        <v>8</v>
      </c>
      <c r="F1861" t="s">
        <v>13</v>
      </c>
      <c r="G1861" t="s">
        <v>14</v>
      </c>
      <c r="H1861">
        <v>0</v>
      </c>
    </row>
    <row r="1862" spans="1:8" x14ac:dyDescent="0.35">
      <c r="A1862">
        <v>18662</v>
      </c>
      <c r="B1862" t="s">
        <v>7</v>
      </c>
      <c r="C1862">
        <v>2</v>
      </c>
      <c r="D1862">
        <v>82</v>
      </c>
      <c r="E1862" t="s">
        <v>8</v>
      </c>
      <c r="F1862" t="s">
        <v>9</v>
      </c>
      <c r="G1862" t="s">
        <v>10</v>
      </c>
      <c r="H1862">
        <v>0</v>
      </c>
    </row>
    <row r="1863" spans="1:8" x14ac:dyDescent="0.35">
      <c r="A1863">
        <v>13864</v>
      </c>
      <c r="B1863" t="s">
        <v>7</v>
      </c>
      <c r="C1863">
        <v>7</v>
      </c>
      <c r="D1863">
        <v>365</v>
      </c>
      <c r="E1863" t="s">
        <v>8</v>
      </c>
      <c r="F1863" t="s">
        <v>9</v>
      </c>
      <c r="G1863" t="s">
        <v>16</v>
      </c>
      <c r="H1863">
        <v>0</v>
      </c>
    </row>
    <row r="1864" spans="1:8" x14ac:dyDescent="0.35">
      <c r="A1864">
        <v>18843</v>
      </c>
      <c r="B1864" t="s">
        <v>11</v>
      </c>
      <c r="C1864">
        <v>14</v>
      </c>
      <c r="D1864">
        <v>69</v>
      </c>
      <c r="E1864" t="s">
        <v>15</v>
      </c>
      <c r="F1864" t="s">
        <v>9</v>
      </c>
      <c r="G1864" t="s">
        <v>12</v>
      </c>
      <c r="H1864">
        <v>1</v>
      </c>
    </row>
    <row r="1865" spans="1:8" x14ac:dyDescent="0.35">
      <c r="A1865">
        <v>16695</v>
      </c>
      <c r="B1865" t="s">
        <v>11</v>
      </c>
      <c r="C1865">
        <v>9</v>
      </c>
      <c r="D1865">
        <v>96</v>
      </c>
      <c r="E1865" t="s">
        <v>8</v>
      </c>
      <c r="F1865" t="s">
        <v>9</v>
      </c>
      <c r="G1865" t="s">
        <v>12</v>
      </c>
      <c r="H1865">
        <v>0</v>
      </c>
    </row>
    <row r="1866" spans="1:8" x14ac:dyDescent="0.35">
      <c r="A1866">
        <v>17582</v>
      </c>
      <c r="B1866" t="s">
        <v>7</v>
      </c>
      <c r="C1866">
        <v>6</v>
      </c>
      <c r="D1866">
        <v>181</v>
      </c>
      <c r="E1866" t="s">
        <v>8</v>
      </c>
      <c r="F1866" t="s">
        <v>13</v>
      </c>
      <c r="G1866" t="s">
        <v>16</v>
      </c>
      <c r="H1866">
        <v>0</v>
      </c>
    </row>
    <row r="1867" spans="1:8" x14ac:dyDescent="0.35">
      <c r="A1867">
        <v>17106</v>
      </c>
      <c r="B1867" t="s">
        <v>11</v>
      </c>
      <c r="C1867">
        <v>9</v>
      </c>
      <c r="D1867">
        <v>129</v>
      </c>
      <c r="E1867" t="s">
        <v>15</v>
      </c>
      <c r="F1867" t="s">
        <v>9</v>
      </c>
      <c r="G1867" t="s">
        <v>10</v>
      </c>
      <c r="H1867">
        <v>1</v>
      </c>
    </row>
    <row r="1868" spans="1:8" x14ac:dyDescent="0.35">
      <c r="A1868">
        <v>15742</v>
      </c>
      <c r="B1868" t="s">
        <v>7</v>
      </c>
      <c r="C1868">
        <v>13</v>
      </c>
      <c r="D1868">
        <v>159</v>
      </c>
      <c r="E1868" t="s">
        <v>8</v>
      </c>
      <c r="F1868" t="s">
        <v>13</v>
      </c>
      <c r="G1868" t="s">
        <v>14</v>
      </c>
      <c r="H1868">
        <v>0</v>
      </c>
    </row>
    <row r="1869" spans="1:8" x14ac:dyDescent="0.35">
      <c r="A1869">
        <v>18630</v>
      </c>
      <c r="B1869" t="s">
        <v>7</v>
      </c>
      <c r="C1869">
        <v>7</v>
      </c>
      <c r="D1869">
        <v>207</v>
      </c>
      <c r="E1869" t="s">
        <v>8</v>
      </c>
      <c r="F1869" t="s">
        <v>9</v>
      </c>
      <c r="G1869" t="s">
        <v>16</v>
      </c>
      <c r="H1869">
        <v>0</v>
      </c>
    </row>
    <row r="1870" spans="1:8" x14ac:dyDescent="0.35">
      <c r="A1870">
        <v>19579</v>
      </c>
      <c r="B1870" t="s">
        <v>7</v>
      </c>
      <c r="C1870">
        <v>3</v>
      </c>
      <c r="D1870">
        <v>105</v>
      </c>
      <c r="E1870" t="s">
        <v>8</v>
      </c>
      <c r="F1870" t="s">
        <v>9</v>
      </c>
      <c r="G1870" t="s">
        <v>10</v>
      </c>
      <c r="H1870">
        <v>0</v>
      </c>
    </row>
    <row r="1871" spans="1:8" x14ac:dyDescent="0.35">
      <c r="A1871">
        <v>16641</v>
      </c>
      <c r="B1871" t="s">
        <v>11</v>
      </c>
      <c r="C1871">
        <v>14</v>
      </c>
      <c r="D1871">
        <v>52</v>
      </c>
      <c r="E1871" t="s">
        <v>8</v>
      </c>
      <c r="F1871" t="s">
        <v>9</v>
      </c>
      <c r="G1871" t="s">
        <v>10</v>
      </c>
      <c r="H1871">
        <v>0</v>
      </c>
    </row>
    <row r="1872" spans="1:8" x14ac:dyDescent="0.35">
      <c r="A1872">
        <v>18395</v>
      </c>
      <c r="B1872" t="s">
        <v>7</v>
      </c>
      <c r="C1872">
        <v>10</v>
      </c>
      <c r="D1872">
        <v>216</v>
      </c>
      <c r="E1872" t="s">
        <v>8</v>
      </c>
      <c r="F1872" t="s">
        <v>9</v>
      </c>
      <c r="G1872" t="s">
        <v>10</v>
      </c>
      <c r="H1872">
        <v>0</v>
      </c>
    </row>
    <row r="1873" spans="1:8" x14ac:dyDescent="0.35">
      <c r="A1873">
        <v>17264</v>
      </c>
      <c r="B1873" t="s">
        <v>7</v>
      </c>
      <c r="C1873">
        <v>4</v>
      </c>
      <c r="D1873">
        <v>405</v>
      </c>
      <c r="E1873" t="s">
        <v>8</v>
      </c>
      <c r="F1873" t="s">
        <v>13</v>
      </c>
      <c r="G1873" t="s">
        <v>16</v>
      </c>
      <c r="H1873">
        <v>0</v>
      </c>
    </row>
    <row r="1874" spans="1:8" x14ac:dyDescent="0.35">
      <c r="A1874">
        <v>18686</v>
      </c>
      <c r="B1874" t="s">
        <v>11</v>
      </c>
      <c r="C1874">
        <v>10</v>
      </c>
      <c r="D1874">
        <v>381</v>
      </c>
      <c r="E1874" t="s">
        <v>8</v>
      </c>
      <c r="F1874" t="s">
        <v>13</v>
      </c>
      <c r="G1874" t="s">
        <v>16</v>
      </c>
      <c r="H1874">
        <v>0</v>
      </c>
    </row>
    <row r="1875" spans="1:8" x14ac:dyDescent="0.35">
      <c r="A1875">
        <v>15557</v>
      </c>
      <c r="B1875" t="s">
        <v>11</v>
      </c>
      <c r="C1875">
        <v>5</v>
      </c>
      <c r="D1875">
        <v>197</v>
      </c>
      <c r="E1875" t="s">
        <v>15</v>
      </c>
      <c r="F1875" t="s">
        <v>9</v>
      </c>
      <c r="G1875" t="s">
        <v>12</v>
      </c>
      <c r="H1875">
        <v>1</v>
      </c>
    </row>
    <row r="1876" spans="1:8" x14ac:dyDescent="0.35">
      <c r="A1876">
        <v>10128</v>
      </c>
      <c r="B1876" t="s">
        <v>11</v>
      </c>
      <c r="C1876">
        <v>12</v>
      </c>
      <c r="D1876">
        <v>191</v>
      </c>
      <c r="E1876" t="s">
        <v>8</v>
      </c>
      <c r="F1876" t="s">
        <v>13</v>
      </c>
      <c r="G1876" t="s">
        <v>10</v>
      </c>
      <c r="H1876">
        <v>0</v>
      </c>
    </row>
    <row r="1877" spans="1:8" x14ac:dyDescent="0.35">
      <c r="A1877">
        <v>17189</v>
      </c>
      <c r="B1877" t="s">
        <v>7</v>
      </c>
      <c r="C1877">
        <v>5</v>
      </c>
      <c r="D1877">
        <v>239</v>
      </c>
      <c r="E1877" t="s">
        <v>8</v>
      </c>
      <c r="F1877" t="s">
        <v>13</v>
      </c>
      <c r="G1877" t="s">
        <v>10</v>
      </c>
      <c r="H1877">
        <v>0</v>
      </c>
    </row>
    <row r="1878" spans="1:8" x14ac:dyDescent="0.35">
      <c r="A1878">
        <v>13052</v>
      </c>
      <c r="B1878" t="s">
        <v>11</v>
      </c>
      <c r="C1878">
        <v>6</v>
      </c>
      <c r="D1878">
        <v>377</v>
      </c>
      <c r="E1878" t="s">
        <v>8</v>
      </c>
      <c r="F1878" t="s">
        <v>9</v>
      </c>
      <c r="G1878" t="s">
        <v>14</v>
      </c>
      <c r="H1878">
        <v>0</v>
      </c>
    </row>
    <row r="1879" spans="1:8" x14ac:dyDescent="0.35">
      <c r="A1879">
        <v>10193</v>
      </c>
      <c r="B1879" t="s">
        <v>7</v>
      </c>
      <c r="C1879">
        <v>7</v>
      </c>
      <c r="D1879">
        <v>314</v>
      </c>
      <c r="E1879" t="s">
        <v>8</v>
      </c>
      <c r="F1879" t="s">
        <v>9</v>
      </c>
      <c r="G1879" t="s">
        <v>10</v>
      </c>
      <c r="H1879">
        <v>0</v>
      </c>
    </row>
    <row r="1880" spans="1:8" x14ac:dyDescent="0.35">
      <c r="A1880">
        <v>10133</v>
      </c>
      <c r="B1880" t="s">
        <v>7</v>
      </c>
      <c r="C1880">
        <v>13</v>
      </c>
      <c r="D1880">
        <v>397</v>
      </c>
      <c r="E1880" t="s">
        <v>8</v>
      </c>
      <c r="F1880" t="s">
        <v>13</v>
      </c>
      <c r="G1880" t="s">
        <v>10</v>
      </c>
      <c r="H1880">
        <v>0</v>
      </c>
    </row>
    <row r="1881" spans="1:8" x14ac:dyDescent="0.35">
      <c r="A1881">
        <v>12098</v>
      </c>
      <c r="B1881" t="s">
        <v>11</v>
      </c>
      <c r="C1881">
        <v>8</v>
      </c>
      <c r="D1881">
        <v>401</v>
      </c>
      <c r="E1881" t="s">
        <v>8</v>
      </c>
      <c r="F1881" t="s">
        <v>13</v>
      </c>
      <c r="G1881" t="s">
        <v>10</v>
      </c>
      <c r="H1881">
        <v>0</v>
      </c>
    </row>
    <row r="1882" spans="1:8" x14ac:dyDescent="0.35">
      <c r="A1882">
        <v>10500</v>
      </c>
      <c r="B1882" t="s">
        <v>7</v>
      </c>
      <c r="C1882">
        <v>6</v>
      </c>
      <c r="D1882">
        <v>335</v>
      </c>
      <c r="E1882" t="s">
        <v>8</v>
      </c>
      <c r="F1882" t="s">
        <v>9</v>
      </c>
      <c r="G1882" t="s">
        <v>12</v>
      </c>
      <c r="H1882">
        <v>0</v>
      </c>
    </row>
    <row r="1883" spans="1:8" x14ac:dyDescent="0.35">
      <c r="A1883">
        <v>19095</v>
      </c>
      <c r="B1883" t="s">
        <v>7</v>
      </c>
      <c r="C1883">
        <v>5</v>
      </c>
      <c r="D1883">
        <v>441</v>
      </c>
      <c r="E1883" t="s">
        <v>8</v>
      </c>
      <c r="F1883" t="s">
        <v>13</v>
      </c>
      <c r="G1883" t="s">
        <v>10</v>
      </c>
      <c r="H1883">
        <v>0</v>
      </c>
    </row>
    <row r="1884" spans="1:8" x14ac:dyDescent="0.35">
      <c r="A1884">
        <v>12712</v>
      </c>
      <c r="B1884" t="s">
        <v>7</v>
      </c>
      <c r="C1884">
        <v>9</v>
      </c>
      <c r="D1884">
        <v>348</v>
      </c>
      <c r="E1884" t="s">
        <v>15</v>
      </c>
      <c r="F1884" t="s">
        <v>9</v>
      </c>
      <c r="G1884" t="s">
        <v>12</v>
      </c>
      <c r="H1884">
        <v>1</v>
      </c>
    </row>
    <row r="1885" spans="1:8" x14ac:dyDescent="0.35">
      <c r="A1885">
        <v>12752</v>
      </c>
      <c r="B1885" t="s">
        <v>11</v>
      </c>
      <c r="C1885">
        <v>13</v>
      </c>
      <c r="D1885">
        <v>422</v>
      </c>
      <c r="E1885" t="s">
        <v>8</v>
      </c>
      <c r="F1885" t="s">
        <v>9</v>
      </c>
      <c r="G1885" t="s">
        <v>14</v>
      </c>
      <c r="H1885">
        <v>0</v>
      </c>
    </row>
    <row r="1886" spans="1:8" x14ac:dyDescent="0.35">
      <c r="A1886">
        <v>12537</v>
      </c>
      <c r="B1886" t="s">
        <v>7</v>
      </c>
      <c r="C1886">
        <v>2</v>
      </c>
      <c r="D1886">
        <v>292</v>
      </c>
      <c r="E1886" t="s">
        <v>8</v>
      </c>
      <c r="F1886" t="s">
        <v>9</v>
      </c>
      <c r="G1886" t="s">
        <v>12</v>
      </c>
      <c r="H1886">
        <v>0</v>
      </c>
    </row>
    <row r="1887" spans="1:8" x14ac:dyDescent="0.35">
      <c r="A1887">
        <v>15190</v>
      </c>
      <c r="B1887" t="s">
        <v>11</v>
      </c>
      <c r="C1887">
        <v>14</v>
      </c>
      <c r="D1887">
        <v>193</v>
      </c>
      <c r="E1887" t="s">
        <v>8</v>
      </c>
      <c r="F1887" t="s">
        <v>9</v>
      </c>
      <c r="G1887" t="s">
        <v>14</v>
      </c>
      <c r="H1887">
        <v>0</v>
      </c>
    </row>
    <row r="1888" spans="1:8" x14ac:dyDescent="0.35">
      <c r="A1888">
        <v>15210</v>
      </c>
      <c r="B1888" t="s">
        <v>7</v>
      </c>
      <c r="C1888">
        <v>11</v>
      </c>
      <c r="D1888">
        <v>163</v>
      </c>
      <c r="E1888" t="s">
        <v>15</v>
      </c>
      <c r="F1888" t="s">
        <v>13</v>
      </c>
      <c r="G1888" t="s">
        <v>14</v>
      </c>
      <c r="H1888">
        <v>1</v>
      </c>
    </row>
    <row r="1889" spans="1:8" x14ac:dyDescent="0.35">
      <c r="A1889">
        <v>14043</v>
      </c>
      <c r="B1889" t="s">
        <v>11</v>
      </c>
      <c r="C1889">
        <v>3</v>
      </c>
      <c r="D1889">
        <v>393</v>
      </c>
      <c r="E1889" t="s">
        <v>8</v>
      </c>
      <c r="F1889" t="s">
        <v>13</v>
      </c>
      <c r="G1889" t="s">
        <v>16</v>
      </c>
      <c r="H1889">
        <v>0</v>
      </c>
    </row>
    <row r="1890" spans="1:8" x14ac:dyDescent="0.35">
      <c r="A1890">
        <v>13570</v>
      </c>
      <c r="B1890" t="s">
        <v>7</v>
      </c>
      <c r="C1890">
        <v>9</v>
      </c>
      <c r="D1890">
        <v>389</v>
      </c>
      <c r="E1890" t="s">
        <v>8</v>
      </c>
      <c r="F1890" t="s">
        <v>9</v>
      </c>
      <c r="G1890" t="s">
        <v>16</v>
      </c>
      <c r="H1890">
        <v>0</v>
      </c>
    </row>
    <row r="1891" spans="1:8" x14ac:dyDescent="0.35">
      <c r="A1891">
        <v>14285</v>
      </c>
      <c r="B1891" t="s">
        <v>11</v>
      </c>
      <c r="C1891">
        <v>1</v>
      </c>
      <c r="D1891">
        <v>168</v>
      </c>
      <c r="E1891" t="s">
        <v>8</v>
      </c>
      <c r="F1891" t="s">
        <v>9</v>
      </c>
      <c r="G1891" t="s">
        <v>12</v>
      </c>
      <c r="H1891">
        <v>0</v>
      </c>
    </row>
    <row r="1892" spans="1:8" x14ac:dyDescent="0.35">
      <c r="A1892">
        <v>19092</v>
      </c>
      <c r="B1892" t="s">
        <v>11</v>
      </c>
      <c r="C1892">
        <v>1</v>
      </c>
      <c r="D1892">
        <v>381</v>
      </c>
      <c r="E1892" t="s">
        <v>8</v>
      </c>
      <c r="F1892" t="s">
        <v>13</v>
      </c>
      <c r="G1892" t="s">
        <v>12</v>
      </c>
      <c r="H1892">
        <v>0</v>
      </c>
    </row>
    <row r="1893" spans="1:8" x14ac:dyDescent="0.35">
      <c r="A1893">
        <v>17936</v>
      </c>
      <c r="B1893" t="s">
        <v>7</v>
      </c>
      <c r="C1893">
        <v>4</v>
      </c>
      <c r="D1893">
        <v>231</v>
      </c>
      <c r="E1893" t="s">
        <v>8</v>
      </c>
      <c r="F1893" t="s">
        <v>13</v>
      </c>
      <c r="G1893" t="s">
        <v>12</v>
      </c>
      <c r="H1893">
        <v>0</v>
      </c>
    </row>
    <row r="1894" spans="1:8" x14ac:dyDescent="0.35">
      <c r="A1894">
        <v>19879</v>
      </c>
      <c r="B1894" t="s">
        <v>11</v>
      </c>
      <c r="C1894">
        <v>14</v>
      </c>
      <c r="D1894">
        <v>177</v>
      </c>
      <c r="E1894" t="s">
        <v>8</v>
      </c>
      <c r="F1894" t="s">
        <v>9</v>
      </c>
      <c r="G1894" t="s">
        <v>10</v>
      </c>
      <c r="H1894">
        <v>0</v>
      </c>
    </row>
    <row r="1895" spans="1:8" x14ac:dyDescent="0.35">
      <c r="A1895">
        <v>10187</v>
      </c>
      <c r="B1895" t="s">
        <v>7</v>
      </c>
      <c r="C1895">
        <v>4</v>
      </c>
      <c r="D1895">
        <v>50</v>
      </c>
      <c r="E1895" t="s">
        <v>8</v>
      </c>
      <c r="F1895" t="s">
        <v>13</v>
      </c>
      <c r="G1895" t="s">
        <v>16</v>
      </c>
      <c r="H1895">
        <v>0</v>
      </c>
    </row>
    <row r="1896" spans="1:8" x14ac:dyDescent="0.35">
      <c r="A1896">
        <v>18447</v>
      </c>
      <c r="B1896" t="s">
        <v>7</v>
      </c>
      <c r="C1896">
        <v>12</v>
      </c>
      <c r="D1896">
        <v>385</v>
      </c>
      <c r="E1896" t="s">
        <v>8</v>
      </c>
      <c r="F1896" t="s">
        <v>9</v>
      </c>
      <c r="G1896" t="s">
        <v>14</v>
      </c>
      <c r="H1896">
        <v>0</v>
      </c>
    </row>
    <row r="1897" spans="1:8" x14ac:dyDescent="0.35">
      <c r="A1897">
        <v>17600</v>
      </c>
      <c r="B1897" t="s">
        <v>7</v>
      </c>
      <c r="C1897">
        <v>13</v>
      </c>
      <c r="D1897">
        <v>444</v>
      </c>
      <c r="E1897" t="s">
        <v>8</v>
      </c>
      <c r="F1897" t="s">
        <v>13</v>
      </c>
      <c r="G1897" t="s">
        <v>12</v>
      </c>
      <c r="H1897">
        <v>0</v>
      </c>
    </row>
    <row r="1898" spans="1:8" x14ac:dyDescent="0.35">
      <c r="A1898">
        <v>11655</v>
      </c>
      <c r="B1898" t="s">
        <v>11</v>
      </c>
      <c r="C1898">
        <v>9</v>
      </c>
      <c r="D1898">
        <v>324</v>
      </c>
      <c r="E1898" t="s">
        <v>15</v>
      </c>
      <c r="F1898" t="s">
        <v>9</v>
      </c>
      <c r="G1898" t="s">
        <v>10</v>
      </c>
      <c r="H1898">
        <v>1</v>
      </c>
    </row>
    <row r="1899" spans="1:8" x14ac:dyDescent="0.35">
      <c r="A1899">
        <v>15215</v>
      </c>
      <c r="B1899" t="s">
        <v>7</v>
      </c>
      <c r="C1899">
        <v>3</v>
      </c>
      <c r="D1899">
        <v>313</v>
      </c>
      <c r="E1899" t="s">
        <v>15</v>
      </c>
      <c r="F1899" t="s">
        <v>9</v>
      </c>
      <c r="G1899" t="s">
        <v>14</v>
      </c>
      <c r="H1899">
        <v>1</v>
      </c>
    </row>
    <row r="1900" spans="1:8" x14ac:dyDescent="0.35">
      <c r="A1900">
        <v>17302</v>
      </c>
      <c r="B1900" t="s">
        <v>11</v>
      </c>
      <c r="C1900">
        <v>2</v>
      </c>
      <c r="D1900">
        <v>94</v>
      </c>
      <c r="E1900" t="s">
        <v>8</v>
      </c>
      <c r="F1900" t="s">
        <v>13</v>
      </c>
      <c r="G1900" t="s">
        <v>14</v>
      </c>
      <c r="H1900">
        <v>0</v>
      </c>
    </row>
    <row r="1901" spans="1:8" x14ac:dyDescent="0.35">
      <c r="A1901">
        <v>12590</v>
      </c>
      <c r="B1901" t="s">
        <v>7</v>
      </c>
      <c r="C1901">
        <v>14</v>
      </c>
      <c r="D1901">
        <v>275</v>
      </c>
      <c r="E1901" t="s">
        <v>15</v>
      </c>
      <c r="F1901" t="s">
        <v>9</v>
      </c>
      <c r="G1901" t="s">
        <v>16</v>
      </c>
      <c r="H1901">
        <v>1</v>
      </c>
    </row>
    <row r="1902" spans="1:8" x14ac:dyDescent="0.35">
      <c r="A1902">
        <v>12686</v>
      </c>
      <c r="B1902" t="s">
        <v>11</v>
      </c>
      <c r="C1902">
        <v>10</v>
      </c>
      <c r="D1902">
        <v>333</v>
      </c>
      <c r="E1902" t="s">
        <v>8</v>
      </c>
      <c r="F1902" t="s">
        <v>13</v>
      </c>
      <c r="G1902" t="s">
        <v>14</v>
      </c>
      <c r="H1902">
        <v>0</v>
      </c>
    </row>
    <row r="1903" spans="1:8" x14ac:dyDescent="0.35">
      <c r="A1903">
        <v>16635</v>
      </c>
      <c r="B1903" t="s">
        <v>11</v>
      </c>
      <c r="C1903">
        <v>2</v>
      </c>
      <c r="D1903">
        <v>58</v>
      </c>
      <c r="E1903" t="s">
        <v>8</v>
      </c>
      <c r="F1903" t="s">
        <v>9</v>
      </c>
      <c r="G1903" t="s">
        <v>10</v>
      </c>
      <c r="H1903">
        <v>0</v>
      </c>
    </row>
    <row r="1904" spans="1:8" x14ac:dyDescent="0.35">
      <c r="A1904">
        <v>11396</v>
      </c>
      <c r="B1904" t="s">
        <v>11</v>
      </c>
      <c r="C1904">
        <v>11</v>
      </c>
      <c r="D1904">
        <v>129</v>
      </c>
      <c r="E1904" t="s">
        <v>8</v>
      </c>
      <c r="F1904" t="s">
        <v>9</v>
      </c>
      <c r="G1904" t="s">
        <v>14</v>
      </c>
      <c r="H1904">
        <v>0</v>
      </c>
    </row>
    <row r="1905" spans="1:8" x14ac:dyDescent="0.35">
      <c r="A1905">
        <v>19135</v>
      </c>
      <c r="B1905" t="s">
        <v>11</v>
      </c>
      <c r="C1905">
        <v>14</v>
      </c>
      <c r="D1905">
        <v>391</v>
      </c>
      <c r="E1905" t="s">
        <v>8</v>
      </c>
      <c r="F1905" t="s">
        <v>13</v>
      </c>
      <c r="G1905" t="s">
        <v>10</v>
      </c>
      <c r="H1905">
        <v>0</v>
      </c>
    </row>
    <row r="1906" spans="1:8" x14ac:dyDescent="0.35">
      <c r="A1906">
        <v>12896</v>
      </c>
      <c r="B1906" t="s">
        <v>11</v>
      </c>
      <c r="C1906">
        <v>8</v>
      </c>
      <c r="D1906">
        <v>328</v>
      </c>
      <c r="E1906" t="s">
        <v>8</v>
      </c>
      <c r="F1906" t="s">
        <v>13</v>
      </c>
      <c r="G1906" t="s">
        <v>12</v>
      </c>
      <c r="H1906">
        <v>0</v>
      </c>
    </row>
    <row r="1907" spans="1:8" x14ac:dyDescent="0.35">
      <c r="A1907">
        <v>19910</v>
      </c>
      <c r="B1907" t="s">
        <v>7</v>
      </c>
      <c r="C1907">
        <v>1</v>
      </c>
      <c r="D1907">
        <v>338</v>
      </c>
      <c r="E1907" t="s">
        <v>15</v>
      </c>
      <c r="F1907" t="s">
        <v>13</v>
      </c>
      <c r="G1907" t="s">
        <v>16</v>
      </c>
      <c r="H1907">
        <v>1</v>
      </c>
    </row>
    <row r="1908" spans="1:8" x14ac:dyDescent="0.35">
      <c r="A1908">
        <v>19097</v>
      </c>
      <c r="B1908" t="s">
        <v>7</v>
      </c>
      <c r="C1908">
        <v>6</v>
      </c>
      <c r="D1908">
        <v>112</v>
      </c>
      <c r="E1908" t="s">
        <v>8</v>
      </c>
      <c r="F1908" t="s">
        <v>9</v>
      </c>
      <c r="G1908" t="s">
        <v>16</v>
      </c>
      <c r="H1908">
        <v>0</v>
      </c>
    </row>
    <row r="1909" spans="1:8" x14ac:dyDescent="0.35">
      <c r="A1909">
        <v>11144</v>
      </c>
      <c r="B1909" t="s">
        <v>11</v>
      </c>
      <c r="C1909">
        <v>3</v>
      </c>
      <c r="D1909">
        <v>182</v>
      </c>
      <c r="E1909" t="s">
        <v>8</v>
      </c>
      <c r="F1909" t="s">
        <v>9</v>
      </c>
      <c r="G1909" t="s">
        <v>12</v>
      </c>
      <c r="H1909">
        <v>0</v>
      </c>
    </row>
    <row r="1910" spans="1:8" x14ac:dyDescent="0.35">
      <c r="A1910">
        <v>12951</v>
      </c>
      <c r="B1910" t="s">
        <v>11</v>
      </c>
      <c r="C1910">
        <v>10</v>
      </c>
      <c r="D1910">
        <v>253</v>
      </c>
      <c r="E1910" t="s">
        <v>8</v>
      </c>
      <c r="F1910" t="s">
        <v>13</v>
      </c>
      <c r="G1910" t="s">
        <v>10</v>
      </c>
      <c r="H1910">
        <v>0</v>
      </c>
    </row>
    <row r="1911" spans="1:8" x14ac:dyDescent="0.35">
      <c r="A1911">
        <v>19172</v>
      </c>
      <c r="B1911" t="s">
        <v>7</v>
      </c>
      <c r="C1911">
        <v>8</v>
      </c>
      <c r="D1911">
        <v>220</v>
      </c>
      <c r="E1911" t="s">
        <v>8</v>
      </c>
      <c r="F1911" t="s">
        <v>13</v>
      </c>
      <c r="G1911" t="s">
        <v>14</v>
      </c>
      <c r="H1911">
        <v>0</v>
      </c>
    </row>
    <row r="1912" spans="1:8" x14ac:dyDescent="0.35">
      <c r="A1912">
        <v>18525</v>
      </c>
      <c r="B1912" t="s">
        <v>11</v>
      </c>
      <c r="C1912">
        <v>8</v>
      </c>
      <c r="D1912">
        <v>256</v>
      </c>
      <c r="E1912" t="s">
        <v>8</v>
      </c>
      <c r="F1912" t="s">
        <v>13</v>
      </c>
      <c r="G1912" t="s">
        <v>14</v>
      </c>
      <c r="H1912">
        <v>0</v>
      </c>
    </row>
    <row r="1913" spans="1:8" x14ac:dyDescent="0.35">
      <c r="A1913">
        <v>19129</v>
      </c>
      <c r="B1913" t="s">
        <v>11</v>
      </c>
      <c r="C1913">
        <v>1</v>
      </c>
      <c r="D1913">
        <v>434</v>
      </c>
      <c r="E1913" t="s">
        <v>8</v>
      </c>
      <c r="F1913" t="s">
        <v>13</v>
      </c>
      <c r="G1913" t="s">
        <v>14</v>
      </c>
      <c r="H1913">
        <v>0</v>
      </c>
    </row>
    <row r="1914" spans="1:8" x14ac:dyDescent="0.35">
      <c r="A1914">
        <v>10297</v>
      </c>
      <c r="B1914" t="s">
        <v>11</v>
      </c>
      <c r="C1914">
        <v>9</v>
      </c>
      <c r="D1914">
        <v>374</v>
      </c>
      <c r="E1914" t="s">
        <v>8</v>
      </c>
      <c r="F1914" t="s">
        <v>13</v>
      </c>
      <c r="G1914" t="s">
        <v>16</v>
      </c>
      <c r="H1914">
        <v>0</v>
      </c>
    </row>
    <row r="1915" spans="1:8" x14ac:dyDescent="0.35">
      <c r="A1915">
        <v>18509</v>
      </c>
      <c r="B1915" t="s">
        <v>11</v>
      </c>
      <c r="C1915">
        <v>7</v>
      </c>
      <c r="D1915">
        <v>86</v>
      </c>
      <c r="E1915" t="s">
        <v>8</v>
      </c>
      <c r="F1915" t="s">
        <v>13</v>
      </c>
      <c r="G1915" t="s">
        <v>16</v>
      </c>
      <c r="H1915">
        <v>0</v>
      </c>
    </row>
    <row r="1916" spans="1:8" x14ac:dyDescent="0.35">
      <c r="A1916">
        <v>18165</v>
      </c>
      <c r="B1916" t="s">
        <v>7</v>
      </c>
      <c r="C1916">
        <v>5</v>
      </c>
      <c r="D1916">
        <v>429</v>
      </c>
      <c r="E1916" t="s">
        <v>8</v>
      </c>
      <c r="F1916" t="s">
        <v>9</v>
      </c>
      <c r="G1916" t="s">
        <v>14</v>
      </c>
      <c r="H1916">
        <v>0</v>
      </c>
    </row>
    <row r="1917" spans="1:8" x14ac:dyDescent="0.35">
      <c r="A1917">
        <v>17444</v>
      </c>
      <c r="B1917" t="s">
        <v>7</v>
      </c>
      <c r="C1917">
        <v>3</v>
      </c>
      <c r="D1917">
        <v>285</v>
      </c>
      <c r="E1917" t="s">
        <v>8</v>
      </c>
      <c r="F1917" t="s">
        <v>9</v>
      </c>
      <c r="G1917" t="s">
        <v>12</v>
      </c>
      <c r="H1917">
        <v>0</v>
      </c>
    </row>
    <row r="1918" spans="1:8" x14ac:dyDescent="0.35">
      <c r="A1918">
        <v>12510</v>
      </c>
      <c r="B1918" t="s">
        <v>11</v>
      </c>
      <c r="C1918">
        <v>7</v>
      </c>
      <c r="D1918">
        <v>237</v>
      </c>
      <c r="E1918" t="s">
        <v>8</v>
      </c>
      <c r="F1918" t="s">
        <v>13</v>
      </c>
      <c r="G1918" t="s">
        <v>16</v>
      </c>
      <c r="H1918">
        <v>0</v>
      </c>
    </row>
    <row r="1919" spans="1:8" x14ac:dyDescent="0.35">
      <c r="A1919">
        <v>17470</v>
      </c>
      <c r="B1919" t="s">
        <v>11</v>
      </c>
      <c r="C1919">
        <v>12</v>
      </c>
      <c r="D1919">
        <v>310</v>
      </c>
      <c r="E1919" t="s">
        <v>8</v>
      </c>
      <c r="F1919" t="s">
        <v>13</v>
      </c>
      <c r="G1919" t="s">
        <v>12</v>
      </c>
      <c r="H1919">
        <v>0</v>
      </c>
    </row>
    <row r="1920" spans="1:8" x14ac:dyDescent="0.35">
      <c r="A1920">
        <v>16630</v>
      </c>
      <c r="B1920" t="s">
        <v>11</v>
      </c>
      <c r="C1920">
        <v>12</v>
      </c>
      <c r="D1920">
        <v>248</v>
      </c>
      <c r="E1920" t="s">
        <v>8</v>
      </c>
      <c r="F1920" t="s">
        <v>9</v>
      </c>
      <c r="G1920" t="s">
        <v>10</v>
      </c>
      <c r="H1920">
        <v>0</v>
      </c>
    </row>
    <row r="1921" spans="1:8" x14ac:dyDescent="0.35">
      <c r="A1921">
        <v>14385</v>
      </c>
      <c r="B1921" t="s">
        <v>11</v>
      </c>
      <c r="C1921">
        <v>4</v>
      </c>
      <c r="D1921">
        <v>53</v>
      </c>
      <c r="E1921" t="s">
        <v>8</v>
      </c>
      <c r="F1921" t="s">
        <v>9</v>
      </c>
      <c r="G1921" t="s">
        <v>14</v>
      </c>
      <c r="H1921">
        <v>0</v>
      </c>
    </row>
    <row r="1922" spans="1:8" x14ac:dyDescent="0.35">
      <c r="A1922">
        <v>17517</v>
      </c>
      <c r="B1922" t="s">
        <v>7</v>
      </c>
      <c r="C1922">
        <v>14</v>
      </c>
      <c r="D1922">
        <v>157</v>
      </c>
      <c r="E1922" t="s">
        <v>8</v>
      </c>
      <c r="F1922" t="s">
        <v>13</v>
      </c>
      <c r="G1922" t="s">
        <v>12</v>
      </c>
      <c r="H1922">
        <v>0</v>
      </c>
    </row>
    <row r="1923" spans="1:8" x14ac:dyDescent="0.35">
      <c r="A1923">
        <v>16822</v>
      </c>
      <c r="B1923" t="s">
        <v>7</v>
      </c>
      <c r="C1923">
        <v>6</v>
      </c>
      <c r="D1923">
        <v>277</v>
      </c>
      <c r="E1923" t="s">
        <v>8</v>
      </c>
      <c r="F1923" t="s">
        <v>13</v>
      </c>
      <c r="G1923" t="s">
        <v>14</v>
      </c>
      <c r="H1923">
        <v>0</v>
      </c>
    </row>
    <row r="1924" spans="1:8" x14ac:dyDescent="0.35">
      <c r="A1924">
        <v>13387</v>
      </c>
      <c r="B1924" t="s">
        <v>11</v>
      </c>
      <c r="C1924">
        <v>1</v>
      </c>
      <c r="D1924">
        <v>256</v>
      </c>
      <c r="E1924" t="s">
        <v>8</v>
      </c>
      <c r="F1924" t="s">
        <v>13</v>
      </c>
      <c r="G1924" t="s">
        <v>16</v>
      </c>
      <c r="H1924">
        <v>0</v>
      </c>
    </row>
    <row r="1925" spans="1:8" x14ac:dyDescent="0.35">
      <c r="A1925">
        <v>14464</v>
      </c>
      <c r="B1925" t="s">
        <v>7</v>
      </c>
      <c r="C1925">
        <v>14</v>
      </c>
      <c r="D1925">
        <v>430</v>
      </c>
      <c r="E1925" t="s">
        <v>8</v>
      </c>
      <c r="F1925" t="s">
        <v>9</v>
      </c>
      <c r="G1925" t="s">
        <v>10</v>
      </c>
      <c r="H1925">
        <v>0</v>
      </c>
    </row>
    <row r="1926" spans="1:8" x14ac:dyDescent="0.35">
      <c r="A1926">
        <v>18654</v>
      </c>
      <c r="B1926" t="s">
        <v>7</v>
      </c>
      <c r="C1926">
        <v>2</v>
      </c>
      <c r="D1926">
        <v>176</v>
      </c>
      <c r="E1926" t="s">
        <v>8</v>
      </c>
      <c r="F1926" t="s">
        <v>9</v>
      </c>
      <c r="G1926" t="s">
        <v>14</v>
      </c>
      <c r="H1926">
        <v>0</v>
      </c>
    </row>
    <row r="1927" spans="1:8" x14ac:dyDescent="0.35">
      <c r="A1927">
        <v>10719</v>
      </c>
      <c r="B1927" t="s">
        <v>11</v>
      </c>
      <c r="C1927">
        <v>10</v>
      </c>
      <c r="D1927">
        <v>377</v>
      </c>
      <c r="E1927" t="s">
        <v>8</v>
      </c>
      <c r="F1927" t="s">
        <v>9</v>
      </c>
      <c r="G1927" t="s">
        <v>12</v>
      </c>
      <c r="H1927">
        <v>0</v>
      </c>
    </row>
    <row r="1928" spans="1:8" x14ac:dyDescent="0.35">
      <c r="A1928">
        <v>14811</v>
      </c>
      <c r="B1928" t="s">
        <v>7</v>
      </c>
      <c r="C1928">
        <v>7</v>
      </c>
      <c r="D1928">
        <v>73</v>
      </c>
      <c r="E1928" t="s">
        <v>8</v>
      </c>
      <c r="F1928" t="s">
        <v>9</v>
      </c>
      <c r="G1928" t="s">
        <v>10</v>
      </c>
      <c r="H1928">
        <v>0</v>
      </c>
    </row>
    <row r="1929" spans="1:8" x14ac:dyDescent="0.35">
      <c r="A1929">
        <v>18997</v>
      </c>
      <c r="B1929" t="s">
        <v>11</v>
      </c>
      <c r="C1929">
        <v>11</v>
      </c>
      <c r="D1929">
        <v>222</v>
      </c>
      <c r="E1929" t="s">
        <v>8</v>
      </c>
      <c r="F1929" t="s">
        <v>13</v>
      </c>
      <c r="G1929" t="s">
        <v>14</v>
      </c>
      <c r="H1929">
        <v>0</v>
      </c>
    </row>
    <row r="1930" spans="1:8" x14ac:dyDescent="0.35">
      <c r="A1930">
        <v>16127</v>
      </c>
      <c r="B1930" t="s">
        <v>11</v>
      </c>
      <c r="C1930">
        <v>6</v>
      </c>
      <c r="D1930">
        <v>401</v>
      </c>
      <c r="E1930" t="s">
        <v>8</v>
      </c>
      <c r="F1930" t="s">
        <v>13</v>
      </c>
      <c r="G1930" t="s">
        <v>10</v>
      </c>
      <c r="H1930">
        <v>0</v>
      </c>
    </row>
    <row r="1931" spans="1:8" x14ac:dyDescent="0.35">
      <c r="A1931">
        <v>15036</v>
      </c>
      <c r="B1931" t="s">
        <v>7</v>
      </c>
      <c r="C1931">
        <v>8</v>
      </c>
      <c r="D1931">
        <v>225</v>
      </c>
      <c r="E1931" t="s">
        <v>8</v>
      </c>
      <c r="F1931" t="s">
        <v>9</v>
      </c>
      <c r="G1931" t="s">
        <v>16</v>
      </c>
      <c r="H1931">
        <v>0</v>
      </c>
    </row>
    <row r="1932" spans="1:8" x14ac:dyDescent="0.35">
      <c r="A1932">
        <v>10164</v>
      </c>
      <c r="B1932" t="s">
        <v>7</v>
      </c>
      <c r="C1932">
        <v>13</v>
      </c>
      <c r="D1932">
        <v>439</v>
      </c>
      <c r="E1932" t="s">
        <v>8</v>
      </c>
      <c r="F1932" t="s">
        <v>13</v>
      </c>
      <c r="G1932" t="s">
        <v>14</v>
      </c>
      <c r="H1932">
        <v>0</v>
      </c>
    </row>
    <row r="1933" spans="1:8" x14ac:dyDescent="0.35">
      <c r="A1933">
        <v>17813</v>
      </c>
      <c r="B1933" t="s">
        <v>7</v>
      </c>
      <c r="C1933">
        <v>2</v>
      </c>
      <c r="D1933">
        <v>370</v>
      </c>
      <c r="E1933" t="s">
        <v>15</v>
      </c>
      <c r="F1933" t="s">
        <v>9</v>
      </c>
      <c r="G1933" t="s">
        <v>16</v>
      </c>
      <c r="H1933">
        <v>1</v>
      </c>
    </row>
    <row r="1934" spans="1:8" x14ac:dyDescent="0.35">
      <c r="A1934">
        <v>19415</v>
      </c>
      <c r="B1934" t="s">
        <v>11</v>
      </c>
      <c r="C1934">
        <v>10</v>
      </c>
      <c r="D1934">
        <v>346</v>
      </c>
      <c r="E1934" t="s">
        <v>8</v>
      </c>
      <c r="F1934" t="s">
        <v>9</v>
      </c>
      <c r="G1934" t="s">
        <v>14</v>
      </c>
      <c r="H1934">
        <v>0</v>
      </c>
    </row>
    <row r="1935" spans="1:8" x14ac:dyDescent="0.35">
      <c r="A1935">
        <v>12907</v>
      </c>
      <c r="B1935" t="s">
        <v>7</v>
      </c>
      <c r="C1935">
        <v>4</v>
      </c>
      <c r="D1935">
        <v>256</v>
      </c>
      <c r="E1935" t="s">
        <v>15</v>
      </c>
      <c r="F1935" t="s">
        <v>9</v>
      </c>
      <c r="G1935" t="s">
        <v>10</v>
      </c>
      <c r="H1935">
        <v>1</v>
      </c>
    </row>
    <row r="1936" spans="1:8" x14ac:dyDescent="0.35">
      <c r="A1936">
        <v>11478</v>
      </c>
      <c r="B1936" t="s">
        <v>11</v>
      </c>
      <c r="C1936">
        <v>4</v>
      </c>
      <c r="D1936">
        <v>143</v>
      </c>
      <c r="E1936" t="s">
        <v>8</v>
      </c>
      <c r="F1936" t="s">
        <v>13</v>
      </c>
      <c r="G1936" t="s">
        <v>12</v>
      </c>
      <c r="H1936">
        <v>0</v>
      </c>
    </row>
    <row r="1937" spans="1:8" x14ac:dyDescent="0.35">
      <c r="A1937">
        <v>11641</v>
      </c>
      <c r="B1937" t="s">
        <v>11</v>
      </c>
      <c r="C1937">
        <v>8</v>
      </c>
      <c r="D1937">
        <v>61</v>
      </c>
      <c r="E1937" t="s">
        <v>8</v>
      </c>
      <c r="F1937" t="s">
        <v>9</v>
      </c>
      <c r="G1937" t="s">
        <v>12</v>
      </c>
      <c r="H1937">
        <v>0</v>
      </c>
    </row>
    <row r="1938" spans="1:8" x14ac:dyDescent="0.35">
      <c r="A1938">
        <v>19188</v>
      </c>
      <c r="B1938" t="s">
        <v>11</v>
      </c>
      <c r="C1938">
        <v>13</v>
      </c>
      <c r="D1938">
        <v>308</v>
      </c>
      <c r="E1938" t="s">
        <v>8</v>
      </c>
      <c r="F1938" t="s">
        <v>9</v>
      </c>
      <c r="G1938" t="s">
        <v>14</v>
      </c>
      <c r="H1938">
        <v>0</v>
      </c>
    </row>
    <row r="1939" spans="1:8" x14ac:dyDescent="0.35">
      <c r="A1939">
        <v>11785</v>
      </c>
      <c r="B1939" t="s">
        <v>11</v>
      </c>
      <c r="C1939">
        <v>4</v>
      </c>
      <c r="D1939">
        <v>59</v>
      </c>
      <c r="E1939" t="s">
        <v>8</v>
      </c>
      <c r="F1939" t="s">
        <v>13</v>
      </c>
      <c r="G1939" t="s">
        <v>10</v>
      </c>
      <c r="H1939">
        <v>0</v>
      </c>
    </row>
    <row r="1940" spans="1:8" x14ac:dyDescent="0.35">
      <c r="A1940">
        <v>12576</v>
      </c>
      <c r="B1940" t="s">
        <v>11</v>
      </c>
      <c r="C1940">
        <v>9</v>
      </c>
      <c r="D1940">
        <v>129</v>
      </c>
      <c r="E1940" t="s">
        <v>8</v>
      </c>
      <c r="F1940" t="s">
        <v>9</v>
      </c>
      <c r="G1940" t="s">
        <v>12</v>
      </c>
      <c r="H1940">
        <v>0</v>
      </c>
    </row>
    <row r="1941" spans="1:8" x14ac:dyDescent="0.35">
      <c r="A1941">
        <v>10156</v>
      </c>
      <c r="B1941" t="s">
        <v>7</v>
      </c>
      <c r="C1941">
        <v>2</v>
      </c>
      <c r="D1941">
        <v>65</v>
      </c>
      <c r="E1941" t="s">
        <v>8</v>
      </c>
      <c r="F1941" t="s">
        <v>13</v>
      </c>
      <c r="G1941" t="s">
        <v>10</v>
      </c>
      <c r="H1941">
        <v>0</v>
      </c>
    </row>
    <row r="1942" spans="1:8" x14ac:dyDescent="0.35">
      <c r="A1942">
        <v>12347</v>
      </c>
      <c r="B1942" t="s">
        <v>11</v>
      </c>
      <c r="C1942">
        <v>1</v>
      </c>
      <c r="D1942">
        <v>100</v>
      </c>
      <c r="E1942" t="s">
        <v>8</v>
      </c>
      <c r="F1942" t="s">
        <v>9</v>
      </c>
      <c r="G1942" t="s">
        <v>16</v>
      </c>
      <c r="H1942">
        <v>0</v>
      </c>
    </row>
    <row r="1943" spans="1:8" x14ac:dyDescent="0.35">
      <c r="A1943">
        <v>14783</v>
      </c>
      <c r="B1943" t="s">
        <v>7</v>
      </c>
      <c r="C1943">
        <v>8</v>
      </c>
      <c r="D1943">
        <v>258</v>
      </c>
      <c r="E1943" t="s">
        <v>8</v>
      </c>
      <c r="F1943" t="s">
        <v>9</v>
      </c>
      <c r="G1943" t="s">
        <v>16</v>
      </c>
      <c r="H1943">
        <v>0</v>
      </c>
    </row>
    <row r="1944" spans="1:8" x14ac:dyDescent="0.35">
      <c r="A1944">
        <v>15422</v>
      </c>
      <c r="B1944" t="s">
        <v>11</v>
      </c>
      <c r="C1944">
        <v>10</v>
      </c>
      <c r="D1944">
        <v>442</v>
      </c>
      <c r="E1944" t="s">
        <v>8</v>
      </c>
      <c r="F1944" t="s">
        <v>9</v>
      </c>
      <c r="G1944" t="s">
        <v>10</v>
      </c>
      <c r="H1944">
        <v>0</v>
      </c>
    </row>
    <row r="1945" spans="1:8" x14ac:dyDescent="0.35">
      <c r="A1945">
        <v>10394</v>
      </c>
      <c r="B1945" t="s">
        <v>11</v>
      </c>
      <c r="C1945">
        <v>7</v>
      </c>
      <c r="D1945">
        <v>89</v>
      </c>
      <c r="E1945" t="s">
        <v>8</v>
      </c>
      <c r="F1945" t="s">
        <v>13</v>
      </c>
      <c r="G1945" t="s">
        <v>10</v>
      </c>
      <c r="H1945">
        <v>0</v>
      </c>
    </row>
    <row r="1946" spans="1:8" x14ac:dyDescent="0.35">
      <c r="A1946">
        <v>18179</v>
      </c>
      <c r="B1946" t="s">
        <v>7</v>
      </c>
      <c r="C1946">
        <v>10</v>
      </c>
      <c r="D1946">
        <v>182</v>
      </c>
      <c r="E1946" t="s">
        <v>8</v>
      </c>
      <c r="F1946" t="s">
        <v>9</v>
      </c>
      <c r="G1946" t="s">
        <v>14</v>
      </c>
      <c r="H1946">
        <v>0</v>
      </c>
    </row>
    <row r="1947" spans="1:8" x14ac:dyDescent="0.35">
      <c r="A1947">
        <v>19276</v>
      </c>
      <c r="B1947" t="s">
        <v>11</v>
      </c>
      <c r="C1947">
        <v>6</v>
      </c>
      <c r="D1947">
        <v>253</v>
      </c>
      <c r="E1947" t="s">
        <v>8</v>
      </c>
      <c r="F1947" t="s">
        <v>13</v>
      </c>
      <c r="G1947" t="s">
        <v>10</v>
      </c>
      <c r="H1947">
        <v>0</v>
      </c>
    </row>
    <row r="1948" spans="1:8" x14ac:dyDescent="0.35">
      <c r="A1948">
        <v>18163</v>
      </c>
      <c r="B1948" t="s">
        <v>7</v>
      </c>
      <c r="C1948">
        <v>2</v>
      </c>
      <c r="D1948">
        <v>174</v>
      </c>
      <c r="E1948" t="s">
        <v>8</v>
      </c>
      <c r="F1948" t="s">
        <v>13</v>
      </c>
      <c r="G1948" t="s">
        <v>12</v>
      </c>
      <c r="H1948">
        <v>0</v>
      </c>
    </row>
    <row r="1949" spans="1:8" x14ac:dyDescent="0.35">
      <c r="A1949">
        <v>14331</v>
      </c>
      <c r="B1949" t="s">
        <v>7</v>
      </c>
      <c r="C1949">
        <v>2</v>
      </c>
      <c r="D1949">
        <v>149</v>
      </c>
      <c r="E1949" t="s">
        <v>8</v>
      </c>
      <c r="F1949" t="s">
        <v>9</v>
      </c>
      <c r="G1949" t="s">
        <v>10</v>
      </c>
      <c r="H1949">
        <v>0</v>
      </c>
    </row>
    <row r="1950" spans="1:8" x14ac:dyDescent="0.35">
      <c r="A1950">
        <v>17202</v>
      </c>
      <c r="B1950" t="s">
        <v>11</v>
      </c>
      <c r="C1950">
        <v>7</v>
      </c>
      <c r="D1950">
        <v>444</v>
      </c>
      <c r="E1950" t="s">
        <v>8</v>
      </c>
      <c r="F1950" t="s">
        <v>9</v>
      </c>
      <c r="G1950" t="s">
        <v>10</v>
      </c>
      <c r="H1950">
        <v>0</v>
      </c>
    </row>
    <row r="1951" spans="1:8" x14ac:dyDescent="0.35">
      <c r="A1951">
        <v>14966</v>
      </c>
      <c r="B1951" t="s">
        <v>11</v>
      </c>
      <c r="C1951">
        <v>10</v>
      </c>
      <c r="D1951">
        <v>443</v>
      </c>
      <c r="E1951" t="s">
        <v>8</v>
      </c>
      <c r="F1951" t="s">
        <v>9</v>
      </c>
      <c r="G1951" t="s">
        <v>14</v>
      </c>
      <c r="H1951">
        <v>0</v>
      </c>
    </row>
    <row r="1952" spans="1:8" x14ac:dyDescent="0.35">
      <c r="A1952">
        <v>10437</v>
      </c>
      <c r="B1952" t="s">
        <v>7</v>
      </c>
      <c r="C1952">
        <v>1</v>
      </c>
      <c r="D1952">
        <v>266</v>
      </c>
      <c r="E1952" t="s">
        <v>8</v>
      </c>
      <c r="F1952" t="s">
        <v>13</v>
      </c>
      <c r="G1952" t="s">
        <v>12</v>
      </c>
      <c r="H1952">
        <v>0</v>
      </c>
    </row>
    <row r="1953" spans="1:8" x14ac:dyDescent="0.35">
      <c r="A1953">
        <v>15360</v>
      </c>
      <c r="B1953" t="s">
        <v>7</v>
      </c>
      <c r="C1953">
        <v>6</v>
      </c>
      <c r="D1953">
        <v>387</v>
      </c>
      <c r="E1953" t="s">
        <v>8</v>
      </c>
      <c r="F1953" t="s">
        <v>13</v>
      </c>
      <c r="G1953" t="s">
        <v>10</v>
      </c>
      <c r="H1953">
        <v>0</v>
      </c>
    </row>
    <row r="1954" spans="1:8" x14ac:dyDescent="0.35">
      <c r="A1954">
        <v>17368</v>
      </c>
      <c r="B1954" t="s">
        <v>11</v>
      </c>
      <c r="C1954">
        <v>13</v>
      </c>
      <c r="D1954">
        <v>414</v>
      </c>
      <c r="E1954" t="s">
        <v>15</v>
      </c>
      <c r="F1954" t="s">
        <v>9</v>
      </c>
      <c r="G1954" t="s">
        <v>16</v>
      </c>
      <c r="H1954">
        <v>1</v>
      </c>
    </row>
    <row r="1955" spans="1:8" x14ac:dyDescent="0.35">
      <c r="A1955">
        <v>17262</v>
      </c>
      <c r="B1955" t="s">
        <v>7</v>
      </c>
      <c r="C1955">
        <v>4</v>
      </c>
      <c r="D1955">
        <v>359</v>
      </c>
      <c r="E1955" t="s">
        <v>8</v>
      </c>
      <c r="F1955" t="s">
        <v>9</v>
      </c>
      <c r="G1955" t="s">
        <v>12</v>
      </c>
      <c r="H1955">
        <v>0</v>
      </c>
    </row>
    <row r="1956" spans="1:8" x14ac:dyDescent="0.35">
      <c r="A1956">
        <v>15973</v>
      </c>
      <c r="B1956" t="s">
        <v>7</v>
      </c>
      <c r="C1956">
        <v>3</v>
      </c>
      <c r="D1956">
        <v>364</v>
      </c>
      <c r="E1956" t="s">
        <v>8</v>
      </c>
      <c r="F1956" t="s">
        <v>9</v>
      </c>
      <c r="G1956" t="s">
        <v>14</v>
      </c>
      <c r="H1956">
        <v>0</v>
      </c>
    </row>
    <row r="1957" spans="1:8" x14ac:dyDescent="0.35">
      <c r="A1957">
        <v>11559</v>
      </c>
      <c r="B1957" t="s">
        <v>11</v>
      </c>
      <c r="C1957">
        <v>12</v>
      </c>
      <c r="D1957">
        <v>104</v>
      </c>
      <c r="E1957" t="s">
        <v>8</v>
      </c>
      <c r="F1957" t="s">
        <v>13</v>
      </c>
      <c r="G1957" t="s">
        <v>14</v>
      </c>
      <c r="H1957">
        <v>0</v>
      </c>
    </row>
    <row r="1958" spans="1:8" x14ac:dyDescent="0.35">
      <c r="A1958">
        <v>14269</v>
      </c>
      <c r="B1958" t="s">
        <v>11</v>
      </c>
      <c r="C1958">
        <v>6</v>
      </c>
      <c r="D1958">
        <v>311</v>
      </c>
      <c r="E1958" t="s">
        <v>8</v>
      </c>
      <c r="F1958" t="s">
        <v>13</v>
      </c>
      <c r="G1958" t="s">
        <v>16</v>
      </c>
      <c r="H1958">
        <v>0</v>
      </c>
    </row>
    <row r="1959" spans="1:8" x14ac:dyDescent="0.35">
      <c r="A1959">
        <v>16625</v>
      </c>
      <c r="B1959" t="s">
        <v>11</v>
      </c>
      <c r="C1959">
        <v>5</v>
      </c>
      <c r="D1959">
        <v>108</v>
      </c>
      <c r="E1959" t="s">
        <v>8</v>
      </c>
      <c r="F1959" t="s">
        <v>9</v>
      </c>
      <c r="G1959" t="s">
        <v>12</v>
      </c>
      <c r="H1959">
        <v>0</v>
      </c>
    </row>
    <row r="1960" spans="1:8" x14ac:dyDescent="0.35">
      <c r="A1960">
        <v>19582</v>
      </c>
      <c r="B1960" t="s">
        <v>11</v>
      </c>
      <c r="C1960">
        <v>10</v>
      </c>
      <c r="D1960">
        <v>190</v>
      </c>
      <c r="E1960" t="s">
        <v>15</v>
      </c>
      <c r="F1960" t="s">
        <v>13</v>
      </c>
      <c r="G1960" t="s">
        <v>16</v>
      </c>
      <c r="H1960">
        <v>1</v>
      </c>
    </row>
    <row r="1961" spans="1:8" x14ac:dyDescent="0.35">
      <c r="A1961">
        <v>15643</v>
      </c>
      <c r="B1961" t="s">
        <v>7</v>
      </c>
      <c r="C1961">
        <v>13</v>
      </c>
      <c r="D1961">
        <v>146</v>
      </c>
      <c r="E1961" t="s">
        <v>8</v>
      </c>
      <c r="F1961" t="s">
        <v>13</v>
      </c>
      <c r="G1961" t="s">
        <v>10</v>
      </c>
      <c r="H1961">
        <v>0</v>
      </c>
    </row>
    <row r="1962" spans="1:8" x14ac:dyDescent="0.35">
      <c r="A1962">
        <v>19246</v>
      </c>
      <c r="B1962" t="s">
        <v>11</v>
      </c>
      <c r="C1962">
        <v>1</v>
      </c>
      <c r="D1962">
        <v>96</v>
      </c>
      <c r="E1962" t="s">
        <v>8</v>
      </c>
      <c r="F1962" t="s">
        <v>9</v>
      </c>
      <c r="G1962" t="s">
        <v>14</v>
      </c>
      <c r="H1962">
        <v>0</v>
      </c>
    </row>
    <row r="1963" spans="1:8" x14ac:dyDescent="0.35">
      <c r="A1963">
        <v>13001</v>
      </c>
      <c r="B1963" t="s">
        <v>11</v>
      </c>
      <c r="C1963">
        <v>1</v>
      </c>
      <c r="D1963">
        <v>171</v>
      </c>
      <c r="E1963" t="s">
        <v>8</v>
      </c>
      <c r="F1963" t="s">
        <v>9</v>
      </c>
      <c r="G1963" t="s">
        <v>10</v>
      </c>
      <c r="H1963">
        <v>0</v>
      </c>
    </row>
    <row r="1964" spans="1:8" x14ac:dyDescent="0.35">
      <c r="A1964">
        <v>19680</v>
      </c>
      <c r="B1964" t="s">
        <v>7</v>
      </c>
      <c r="C1964">
        <v>6</v>
      </c>
      <c r="D1964">
        <v>45</v>
      </c>
      <c r="E1964" t="s">
        <v>8</v>
      </c>
      <c r="F1964" t="s">
        <v>9</v>
      </c>
      <c r="G1964" t="s">
        <v>14</v>
      </c>
      <c r="H1964">
        <v>0</v>
      </c>
    </row>
    <row r="1965" spans="1:8" x14ac:dyDescent="0.35">
      <c r="A1965">
        <v>16529</v>
      </c>
      <c r="B1965" t="s">
        <v>11</v>
      </c>
      <c r="C1965">
        <v>13</v>
      </c>
      <c r="D1965">
        <v>48</v>
      </c>
      <c r="E1965" t="s">
        <v>8</v>
      </c>
      <c r="F1965" t="s">
        <v>13</v>
      </c>
      <c r="G1965" t="s">
        <v>14</v>
      </c>
      <c r="H1965">
        <v>0</v>
      </c>
    </row>
    <row r="1966" spans="1:8" x14ac:dyDescent="0.35">
      <c r="A1966">
        <v>18729</v>
      </c>
      <c r="B1966" t="s">
        <v>11</v>
      </c>
      <c r="C1966">
        <v>3</v>
      </c>
      <c r="D1966">
        <v>360</v>
      </c>
      <c r="E1966" t="s">
        <v>8</v>
      </c>
      <c r="F1966" t="s">
        <v>9</v>
      </c>
      <c r="G1966" t="s">
        <v>12</v>
      </c>
      <c r="H1966">
        <v>0</v>
      </c>
    </row>
    <row r="1967" spans="1:8" x14ac:dyDescent="0.35">
      <c r="A1967">
        <v>16826</v>
      </c>
      <c r="B1967" t="s">
        <v>11</v>
      </c>
      <c r="C1967">
        <v>4</v>
      </c>
      <c r="D1967">
        <v>307</v>
      </c>
      <c r="E1967" t="s">
        <v>8</v>
      </c>
      <c r="F1967" t="s">
        <v>13</v>
      </c>
      <c r="G1967" t="s">
        <v>10</v>
      </c>
      <c r="H1967">
        <v>0</v>
      </c>
    </row>
    <row r="1968" spans="1:8" x14ac:dyDescent="0.35">
      <c r="A1968">
        <v>18858</v>
      </c>
      <c r="B1968" t="s">
        <v>11</v>
      </c>
      <c r="C1968">
        <v>11</v>
      </c>
      <c r="D1968">
        <v>273</v>
      </c>
      <c r="E1968" t="s">
        <v>8</v>
      </c>
      <c r="F1968" t="s">
        <v>13</v>
      </c>
      <c r="G1968" t="s">
        <v>14</v>
      </c>
      <c r="H1968">
        <v>0</v>
      </c>
    </row>
    <row r="1969" spans="1:8" x14ac:dyDescent="0.35">
      <c r="A1969">
        <v>11617</v>
      </c>
      <c r="B1969" t="s">
        <v>7</v>
      </c>
      <c r="C1969">
        <v>13</v>
      </c>
      <c r="D1969">
        <v>395</v>
      </c>
      <c r="E1969" t="s">
        <v>8</v>
      </c>
      <c r="F1969" t="s">
        <v>9</v>
      </c>
      <c r="G1969" t="s">
        <v>16</v>
      </c>
      <c r="H1969">
        <v>0</v>
      </c>
    </row>
    <row r="1970" spans="1:8" x14ac:dyDescent="0.35">
      <c r="A1970">
        <v>14663</v>
      </c>
      <c r="B1970" t="s">
        <v>7</v>
      </c>
      <c r="C1970">
        <v>8</v>
      </c>
      <c r="D1970">
        <v>240</v>
      </c>
      <c r="E1970" t="s">
        <v>8</v>
      </c>
      <c r="F1970" t="s">
        <v>9</v>
      </c>
      <c r="G1970" t="s">
        <v>12</v>
      </c>
      <c r="H1970">
        <v>0</v>
      </c>
    </row>
    <row r="1971" spans="1:8" x14ac:dyDescent="0.35">
      <c r="A1971">
        <v>14613</v>
      </c>
      <c r="B1971" t="s">
        <v>7</v>
      </c>
      <c r="C1971">
        <v>6</v>
      </c>
      <c r="D1971">
        <v>195</v>
      </c>
      <c r="E1971" t="s">
        <v>8</v>
      </c>
      <c r="F1971" t="s">
        <v>13</v>
      </c>
      <c r="G1971" t="s">
        <v>14</v>
      </c>
      <c r="H1971">
        <v>0</v>
      </c>
    </row>
    <row r="1972" spans="1:8" x14ac:dyDescent="0.35">
      <c r="A1972">
        <v>18974</v>
      </c>
      <c r="B1972" t="s">
        <v>7</v>
      </c>
      <c r="C1972">
        <v>4</v>
      </c>
      <c r="D1972">
        <v>100</v>
      </c>
      <c r="E1972" t="s">
        <v>8</v>
      </c>
      <c r="F1972" t="s">
        <v>9</v>
      </c>
      <c r="G1972" t="s">
        <v>10</v>
      </c>
      <c r="H1972">
        <v>0</v>
      </c>
    </row>
    <row r="1973" spans="1:8" x14ac:dyDescent="0.35">
      <c r="A1973">
        <v>19975</v>
      </c>
      <c r="B1973" t="s">
        <v>11</v>
      </c>
      <c r="C1973">
        <v>6</v>
      </c>
      <c r="D1973">
        <v>317</v>
      </c>
      <c r="E1973" t="s">
        <v>8</v>
      </c>
      <c r="F1973" t="s">
        <v>9</v>
      </c>
      <c r="G1973" t="s">
        <v>16</v>
      </c>
      <c r="H1973">
        <v>0</v>
      </c>
    </row>
    <row r="1974" spans="1:8" x14ac:dyDescent="0.35">
      <c r="A1974">
        <v>18973</v>
      </c>
      <c r="B1974" t="s">
        <v>7</v>
      </c>
      <c r="C1974">
        <v>9</v>
      </c>
      <c r="D1974">
        <v>192</v>
      </c>
      <c r="E1974" t="s">
        <v>8</v>
      </c>
      <c r="F1974" t="s">
        <v>9</v>
      </c>
      <c r="G1974" t="s">
        <v>16</v>
      </c>
      <c r="H1974">
        <v>0</v>
      </c>
    </row>
    <row r="1975" spans="1:8" x14ac:dyDescent="0.35">
      <c r="A1975">
        <v>14848</v>
      </c>
      <c r="B1975" t="s">
        <v>7</v>
      </c>
      <c r="C1975">
        <v>8</v>
      </c>
      <c r="D1975">
        <v>90</v>
      </c>
      <c r="E1975" t="s">
        <v>15</v>
      </c>
      <c r="F1975" t="s">
        <v>9</v>
      </c>
      <c r="G1975" t="s">
        <v>16</v>
      </c>
      <c r="H1975">
        <v>1</v>
      </c>
    </row>
    <row r="1976" spans="1:8" x14ac:dyDescent="0.35">
      <c r="A1976">
        <v>11697</v>
      </c>
      <c r="B1976" t="s">
        <v>11</v>
      </c>
      <c r="C1976">
        <v>10</v>
      </c>
      <c r="D1976">
        <v>112</v>
      </c>
      <c r="E1976" t="s">
        <v>8</v>
      </c>
      <c r="F1976" t="s">
        <v>13</v>
      </c>
      <c r="G1976" t="s">
        <v>16</v>
      </c>
      <c r="H1976">
        <v>0</v>
      </c>
    </row>
    <row r="1977" spans="1:8" x14ac:dyDescent="0.35">
      <c r="A1977">
        <v>12305</v>
      </c>
      <c r="B1977" t="s">
        <v>7</v>
      </c>
      <c r="C1977">
        <v>9</v>
      </c>
      <c r="D1977">
        <v>65</v>
      </c>
      <c r="E1977" t="s">
        <v>8</v>
      </c>
      <c r="F1977" t="s">
        <v>13</v>
      </c>
      <c r="G1977" t="s">
        <v>16</v>
      </c>
      <c r="H1977">
        <v>0</v>
      </c>
    </row>
    <row r="1978" spans="1:8" x14ac:dyDescent="0.35">
      <c r="A1978">
        <v>11891</v>
      </c>
      <c r="B1978" t="s">
        <v>7</v>
      </c>
      <c r="C1978">
        <v>12</v>
      </c>
      <c r="D1978">
        <v>370</v>
      </c>
      <c r="E1978" t="s">
        <v>8</v>
      </c>
      <c r="F1978" t="s">
        <v>13</v>
      </c>
      <c r="G1978" t="s">
        <v>16</v>
      </c>
      <c r="H1978">
        <v>0</v>
      </c>
    </row>
    <row r="1979" spans="1:8" x14ac:dyDescent="0.35">
      <c r="A1979">
        <v>10407</v>
      </c>
      <c r="B1979" t="s">
        <v>7</v>
      </c>
      <c r="C1979">
        <v>1</v>
      </c>
      <c r="D1979">
        <v>287</v>
      </c>
      <c r="E1979" t="s">
        <v>8</v>
      </c>
      <c r="F1979" t="s">
        <v>9</v>
      </c>
      <c r="G1979" t="s">
        <v>10</v>
      </c>
      <c r="H1979">
        <v>0</v>
      </c>
    </row>
    <row r="1980" spans="1:8" x14ac:dyDescent="0.35">
      <c r="A1980">
        <v>15272</v>
      </c>
      <c r="B1980" t="s">
        <v>7</v>
      </c>
      <c r="C1980">
        <v>1</v>
      </c>
      <c r="D1980">
        <v>148</v>
      </c>
      <c r="E1980" t="s">
        <v>8</v>
      </c>
      <c r="F1980" t="s">
        <v>9</v>
      </c>
      <c r="G1980" t="s">
        <v>16</v>
      </c>
      <c r="H1980">
        <v>0</v>
      </c>
    </row>
    <row r="1981" spans="1:8" x14ac:dyDescent="0.35">
      <c r="A1981">
        <v>19523</v>
      </c>
      <c r="B1981" t="s">
        <v>7</v>
      </c>
      <c r="C1981">
        <v>8</v>
      </c>
      <c r="D1981">
        <v>279</v>
      </c>
      <c r="E1981" t="s">
        <v>8</v>
      </c>
      <c r="F1981" t="s">
        <v>9</v>
      </c>
      <c r="G1981" t="s">
        <v>12</v>
      </c>
      <c r="H1981">
        <v>0</v>
      </c>
    </row>
    <row r="1982" spans="1:8" x14ac:dyDescent="0.35">
      <c r="A1982">
        <v>15302</v>
      </c>
      <c r="B1982" t="s">
        <v>7</v>
      </c>
      <c r="C1982">
        <v>9</v>
      </c>
      <c r="D1982">
        <v>380</v>
      </c>
      <c r="E1982" t="s">
        <v>8</v>
      </c>
      <c r="F1982" t="s">
        <v>13</v>
      </c>
      <c r="G1982" t="s">
        <v>16</v>
      </c>
      <c r="H1982">
        <v>0</v>
      </c>
    </row>
    <row r="1983" spans="1:8" x14ac:dyDescent="0.35">
      <c r="A1983">
        <v>10524</v>
      </c>
      <c r="B1983" t="s">
        <v>7</v>
      </c>
      <c r="C1983">
        <v>6</v>
      </c>
      <c r="D1983">
        <v>330</v>
      </c>
      <c r="E1983" t="s">
        <v>8</v>
      </c>
      <c r="F1983" t="s">
        <v>13</v>
      </c>
      <c r="G1983" t="s">
        <v>12</v>
      </c>
      <c r="H1983">
        <v>0</v>
      </c>
    </row>
    <row r="1984" spans="1:8" x14ac:dyDescent="0.35">
      <c r="A1984">
        <v>14832</v>
      </c>
      <c r="B1984" t="s">
        <v>11</v>
      </c>
      <c r="C1984">
        <v>6</v>
      </c>
      <c r="D1984">
        <v>126</v>
      </c>
      <c r="E1984" t="s">
        <v>8</v>
      </c>
      <c r="F1984" t="s">
        <v>13</v>
      </c>
      <c r="G1984" t="s">
        <v>16</v>
      </c>
      <c r="H1984">
        <v>0</v>
      </c>
    </row>
    <row r="1985" spans="1:8" x14ac:dyDescent="0.35">
      <c r="A1985">
        <v>15458</v>
      </c>
      <c r="B1985" t="s">
        <v>7</v>
      </c>
      <c r="C1985">
        <v>1</v>
      </c>
      <c r="D1985">
        <v>84</v>
      </c>
      <c r="E1985" t="s">
        <v>8</v>
      </c>
      <c r="F1985" t="s">
        <v>13</v>
      </c>
      <c r="G1985" t="s">
        <v>10</v>
      </c>
      <c r="H1985">
        <v>0</v>
      </c>
    </row>
    <row r="1986" spans="1:8" x14ac:dyDescent="0.35">
      <c r="A1986">
        <v>17158</v>
      </c>
      <c r="B1986" t="s">
        <v>7</v>
      </c>
      <c r="C1986">
        <v>9</v>
      </c>
      <c r="D1986">
        <v>367</v>
      </c>
      <c r="E1986" t="s">
        <v>8</v>
      </c>
      <c r="F1986" t="s">
        <v>9</v>
      </c>
      <c r="G1986" t="s">
        <v>14</v>
      </c>
      <c r="H1986">
        <v>0</v>
      </c>
    </row>
    <row r="1987" spans="1:8" x14ac:dyDescent="0.35">
      <c r="A1987">
        <v>17379</v>
      </c>
      <c r="B1987" t="s">
        <v>11</v>
      </c>
      <c r="C1987">
        <v>11</v>
      </c>
      <c r="D1987">
        <v>88</v>
      </c>
      <c r="E1987" t="s">
        <v>8</v>
      </c>
      <c r="F1987" t="s">
        <v>13</v>
      </c>
      <c r="G1987" t="s">
        <v>10</v>
      </c>
      <c r="H1987">
        <v>0</v>
      </c>
    </row>
    <row r="1988" spans="1:8" x14ac:dyDescent="0.35">
      <c r="A1988">
        <v>11061</v>
      </c>
      <c r="B1988" t="s">
        <v>11</v>
      </c>
      <c r="C1988">
        <v>8</v>
      </c>
      <c r="D1988">
        <v>440</v>
      </c>
      <c r="E1988" t="s">
        <v>8</v>
      </c>
      <c r="F1988" t="s">
        <v>13</v>
      </c>
      <c r="G1988" t="s">
        <v>10</v>
      </c>
      <c r="H1988">
        <v>0</v>
      </c>
    </row>
    <row r="1989" spans="1:8" x14ac:dyDescent="0.35">
      <c r="A1989">
        <v>12520</v>
      </c>
      <c r="B1989" t="s">
        <v>7</v>
      </c>
      <c r="C1989">
        <v>1</v>
      </c>
      <c r="D1989">
        <v>291</v>
      </c>
      <c r="E1989" t="s">
        <v>8</v>
      </c>
      <c r="F1989" t="s">
        <v>13</v>
      </c>
      <c r="G1989" t="s">
        <v>16</v>
      </c>
      <c r="H1989">
        <v>0</v>
      </c>
    </row>
    <row r="1990" spans="1:8" x14ac:dyDescent="0.35">
      <c r="A1990">
        <v>13583</v>
      </c>
      <c r="B1990" t="s">
        <v>11</v>
      </c>
      <c r="C1990">
        <v>7</v>
      </c>
      <c r="D1990">
        <v>238</v>
      </c>
      <c r="E1990" t="s">
        <v>8</v>
      </c>
      <c r="F1990" t="s">
        <v>9</v>
      </c>
      <c r="G1990" t="s">
        <v>10</v>
      </c>
      <c r="H1990">
        <v>0</v>
      </c>
    </row>
    <row r="1991" spans="1:8" x14ac:dyDescent="0.35">
      <c r="A1991">
        <v>15854</v>
      </c>
      <c r="B1991" t="s">
        <v>11</v>
      </c>
      <c r="C1991">
        <v>7</v>
      </c>
      <c r="D1991">
        <v>215</v>
      </c>
      <c r="E1991" t="s">
        <v>8</v>
      </c>
      <c r="F1991" t="s">
        <v>13</v>
      </c>
      <c r="G1991" t="s">
        <v>10</v>
      </c>
      <c r="H1991">
        <v>0</v>
      </c>
    </row>
    <row r="1992" spans="1:8" x14ac:dyDescent="0.35">
      <c r="A1992">
        <v>13331</v>
      </c>
      <c r="B1992" t="s">
        <v>11</v>
      </c>
      <c r="C1992">
        <v>7</v>
      </c>
      <c r="D1992">
        <v>102</v>
      </c>
      <c r="E1992" t="s">
        <v>8</v>
      </c>
      <c r="F1992" t="s">
        <v>9</v>
      </c>
      <c r="G1992" t="s">
        <v>16</v>
      </c>
      <c r="H1992">
        <v>0</v>
      </c>
    </row>
    <row r="1993" spans="1:8" x14ac:dyDescent="0.35">
      <c r="A1993">
        <v>14258</v>
      </c>
      <c r="B1993" t="s">
        <v>11</v>
      </c>
      <c r="C1993">
        <v>4</v>
      </c>
      <c r="D1993">
        <v>92</v>
      </c>
      <c r="E1993" t="s">
        <v>8</v>
      </c>
      <c r="F1993" t="s">
        <v>13</v>
      </c>
      <c r="G1993" t="s">
        <v>12</v>
      </c>
      <c r="H1993">
        <v>0</v>
      </c>
    </row>
    <row r="1994" spans="1:8" x14ac:dyDescent="0.35">
      <c r="A1994">
        <v>14943</v>
      </c>
      <c r="B1994" t="s">
        <v>11</v>
      </c>
      <c r="C1994">
        <v>8</v>
      </c>
      <c r="D1994">
        <v>104</v>
      </c>
      <c r="E1994" t="s">
        <v>8</v>
      </c>
      <c r="F1994" t="s">
        <v>13</v>
      </c>
      <c r="G1994" t="s">
        <v>14</v>
      </c>
      <c r="H1994">
        <v>0</v>
      </c>
    </row>
    <row r="1995" spans="1:8" x14ac:dyDescent="0.35">
      <c r="A1995">
        <v>10694</v>
      </c>
      <c r="B1995" t="s">
        <v>11</v>
      </c>
      <c r="C1995">
        <v>8</v>
      </c>
      <c r="D1995">
        <v>426</v>
      </c>
      <c r="E1995" t="s">
        <v>8</v>
      </c>
      <c r="F1995" t="s">
        <v>9</v>
      </c>
      <c r="G1995" t="s">
        <v>14</v>
      </c>
      <c r="H1995">
        <v>0</v>
      </c>
    </row>
    <row r="1996" spans="1:8" x14ac:dyDescent="0.35">
      <c r="A1996">
        <v>16191</v>
      </c>
      <c r="B1996" t="s">
        <v>11</v>
      </c>
      <c r="C1996">
        <v>3</v>
      </c>
      <c r="D1996">
        <v>153</v>
      </c>
      <c r="E1996" t="s">
        <v>8</v>
      </c>
      <c r="F1996" t="s">
        <v>13</v>
      </c>
      <c r="G1996" t="s">
        <v>10</v>
      </c>
      <c r="H1996">
        <v>0</v>
      </c>
    </row>
    <row r="1997" spans="1:8" x14ac:dyDescent="0.35">
      <c r="A1997">
        <v>17992</v>
      </c>
      <c r="B1997" t="s">
        <v>7</v>
      </c>
      <c r="C1997">
        <v>7</v>
      </c>
      <c r="D1997">
        <v>321</v>
      </c>
      <c r="E1997" t="s">
        <v>8</v>
      </c>
      <c r="F1997" t="s">
        <v>13</v>
      </c>
      <c r="G1997" t="s">
        <v>16</v>
      </c>
      <c r="H1997">
        <v>0</v>
      </c>
    </row>
    <row r="1998" spans="1:8" x14ac:dyDescent="0.35">
      <c r="A1998">
        <v>12942</v>
      </c>
      <c r="B1998" t="s">
        <v>11</v>
      </c>
      <c r="C1998">
        <v>9</v>
      </c>
      <c r="D1998">
        <v>121</v>
      </c>
      <c r="E1998" t="s">
        <v>8</v>
      </c>
      <c r="F1998" t="s">
        <v>9</v>
      </c>
      <c r="G1998" t="s">
        <v>14</v>
      </c>
      <c r="H1998">
        <v>0</v>
      </c>
    </row>
    <row r="1999" spans="1:8" x14ac:dyDescent="0.35">
      <c r="A1999">
        <v>16710</v>
      </c>
      <c r="B1999" t="s">
        <v>7</v>
      </c>
      <c r="C1999">
        <v>9</v>
      </c>
      <c r="D1999">
        <v>115</v>
      </c>
      <c r="E1999" t="s">
        <v>8</v>
      </c>
      <c r="F1999" t="s">
        <v>13</v>
      </c>
      <c r="G1999" t="s">
        <v>16</v>
      </c>
      <c r="H1999">
        <v>0</v>
      </c>
    </row>
    <row r="2000" spans="1:8" x14ac:dyDescent="0.35">
      <c r="A2000">
        <v>13032</v>
      </c>
      <c r="B2000" t="s">
        <v>7</v>
      </c>
      <c r="C2000">
        <v>13</v>
      </c>
      <c r="D2000">
        <v>225</v>
      </c>
      <c r="E2000" t="s">
        <v>15</v>
      </c>
      <c r="F2000" t="s">
        <v>13</v>
      </c>
      <c r="G2000" t="s">
        <v>16</v>
      </c>
      <c r="H2000">
        <v>1</v>
      </c>
    </row>
    <row r="2001" spans="1:8" x14ac:dyDescent="0.35">
      <c r="A2001">
        <v>18655</v>
      </c>
      <c r="B2001" t="s">
        <v>7</v>
      </c>
      <c r="C2001">
        <v>12</v>
      </c>
      <c r="D2001">
        <v>210</v>
      </c>
      <c r="E2001" t="s">
        <v>8</v>
      </c>
      <c r="F2001" t="s">
        <v>9</v>
      </c>
      <c r="G2001" t="s">
        <v>14</v>
      </c>
      <c r="H2001">
        <v>0</v>
      </c>
    </row>
    <row r="2002" spans="1:8" x14ac:dyDescent="0.35">
      <c r="A2002">
        <v>18877</v>
      </c>
      <c r="B2002" t="s">
        <v>7</v>
      </c>
      <c r="C2002">
        <v>8</v>
      </c>
      <c r="D2002">
        <v>300</v>
      </c>
      <c r="E2002" t="s">
        <v>8</v>
      </c>
      <c r="F2002" t="s">
        <v>9</v>
      </c>
      <c r="G2002" t="s">
        <v>12</v>
      </c>
      <c r="H2002">
        <v>0</v>
      </c>
    </row>
    <row r="2003" spans="1:8" x14ac:dyDescent="0.35">
      <c r="A2003">
        <v>16933</v>
      </c>
      <c r="B2003" t="s">
        <v>11</v>
      </c>
      <c r="C2003">
        <v>3</v>
      </c>
      <c r="D2003">
        <v>386</v>
      </c>
      <c r="E2003" t="s">
        <v>8</v>
      </c>
      <c r="F2003" t="s">
        <v>13</v>
      </c>
      <c r="G2003" t="s">
        <v>12</v>
      </c>
      <c r="H2003">
        <v>0</v>
      </c>
    </row>
    <row r="2004" spans="1:8" x14ac:dyDescent="0.35">
      <c r="A2004">
        <v>12688</v>
      </c>
      <c r="B2004" t="s">
        <v>7</v>
      </c>
      <c r="C2004">
        <v>14</v>
      </c>
      <c r="D2004">
        <v>154</v>
      </c>
      <c r="E2004" t="s">
        <v>8</v>
      </c>
      <c r="F2004" t="s">
        <v>9</v>
      </c>
      <c r="G2004" t="s">
        <v>16</v>
      </c>
      <c r="H2004">
        <v>0</v>
      </c>
    </row>
    <row r="2005" spans="1:8" x14ac:dyDescent="0.35">
      <c r="A2005">
        <v>16957</v>
      </c>
      <c r="B2005" t="s">
        <v>11</v>
      </c>
      <c r="C2005">
        <v>11</v>
      </c>
      <c r="D2005">
        <v>293</v>
      </c>
      <c r="E2005" t="s">
        <v>8</v>
      </c>
      <c r="F2005" t="s">
        <v>13</v>
      </c>
      <c r="G2005" t="s">
        <v>12</v>
      </c>
      <c r="H2005">
        <v>0</v>
      </c>
    </row>
    <row r="2006" spans="1:8" x14ac:dyDescent="0.35">
      <c r="A2006">
        <v>15941</v>
      </c>
      <c r="B2006" t="s">
        <v>7</v>
      </c>
      <c r="C2006">
        <v>13</v>
      </c>
      <c r="D2006">
        <v>146</v>
      </c>
      <c r="E2006" t="s">
        <v>8</v>
      </c>
      <c r="F2006" t="s">
        <v>13</v>
      </c>
      <c r="G2006" t="s">
        <v>16</v>
      </c>
      <c r="H2006">
        <v>0</v>
      </c>
    </row>
    <row r="2007" spans="1:8" x14ac:dyDescent="0.35">
      <c r="A2007">
        <v>14865</v>
      </c>
      <c r="B2007" t="s">
        <v>7</v>
      </c>
      <c r="C2007">
        <v>10</v>
      </c>
      <c r="D2007">
        <v>114</v>
      </c>
      <c r="E2007" t="s">
        <v>8</v>
      </c>
      <c r="F2007" t="s">
        <v>9</v>
      </c>
      <c r="G2007" t="s">
        <v>14</v>
      </c>
      <c r="H2007">
        <v>0</v>
      </c>
    </row>
    <row r="2008" spans="1:8" x14ac:dyDescent="0.35">
      <c r="A2008">
        <v>10861</v>
      </c>
      <c r="B2008" t="s">
        <v>7</v>
      </c>
      <c r="C2008">
        <v>13</v>
      </c>
      <c r="D2008">
        <v>151</v>
      </c>
      <c r="E2008" t="s">
        <v>8</v>
      </c>
      <c r="F2008" t="s">
        <v>9</v>
      </c>
      <c r="G2008" t="s">
        <v>12</v>
      </c>
      <c r="H2008">
        <v>0</v>
      </c>
    </row>
    <row r="2009" spans="1:8" x14ac:dyDescent="0.35">
      <c r="A2009">
        <v>18866</v>
      </c>
      <c r="B2009" t="s">
        <v>11</v>
      </c>
      <c r="C2009">
        <v>4</v>
      </c>
      <c r="D2009">
        <v>268</v>
      </c>
      <c r="E2009" t="s">
        <v>8</v>
      </c>
      <c r="F2009" t="s">
        <v>9</v>
      </c>
      <c r="G2009" t="s">
        <v>10</v>
      </c>
      <c r="H2009">
        <v>0</v>
      </c>
    </row>
    <row r="2010" spans="1:8" x14ac:dyDescent="0.35">
      <c r="A2010">
        <v>13515</v>
      </c>
      <c r="B2010" t="s">
        <v>11</v>
      </c>
      <c r="C2010">
        <v>9</v>
      </c>
      <c r="D2010">
        <v>374</v>
      </c>
      <c r="E2010" t="s">
        <v>8</v>
      </c>
      <c r="F2010" t="s">
        <v>13</v>
      </c>
      <c r="G2010" t="s">
        <v>10</v>
      </c>
      <c r="H2010">
        <v>0</v>
      </c>
    </row>
    <row r="2011" spans="1:8" x14ac:dyDescent="0.35">
      <c r="A2011">
        <v>13939</v>
      </c>
      <c r="B2011" t="s">
        <v>11</v>
      </c>
      <c r="C2011">
        <v>8</v>
      </c>
      <c r="D2011">
        <v>220</v>
      </c>
      <c r="E2011" t="s">
        <v>8</v>
      </c>
      <c r="F2011" t="s">
        <v>13</v>
      </c>
      <c r="G2011" t="s">
        <v>10</v>
      </c>
      <c r="H2011">
        <v>0</v>
      </c>
    </row>
    <row r="2012" spans="1:8" x14ac:dyDescent="0.35">
      <c r="A2012">
        <v>12069</v>
      </c>
      <c r="B2012" t="s">
        <v>11</v>
      </c>
      <c r="C2012">
        <v>2</v>
      </c>
      <c r="D2012">
        <v>256</v>
      </c>
      <c r="E2012" t="s">
        <v>8</v>
      </c>
      <c r="F2012" t="s">
        <v>13</v>
      </c>
      <c r="G2012" t="s">
        <v>10</v>
      </c>
      <c r="H2012">
        <v>0</v>
      </c>
    </row>
    <row r="2013" spans="1:8" x14ac:dyDescent="0.35">
      <c r="A2013">
        <v>16798</v>
      </c>
      <c r="B2013" t="s">
        <v>7</v>
      </c>
      <c r="C2013">
        <v>7</v>
      </c>
      <c r="D2013">
        <v>443</v>
      </c>
      <c r="E2013" t="s">
        <v>8</v>
      </c>
      <c r="F2013" t="s">
        <v>9</v>
      </c>
      <c r="G2013" t="s">
        <v>10</v>
      </c>
      <c r="H2013">
        <v>0</v>
      </c>
    </row>
    <row r="2014" spans="1:8" x14ac:dyDescent="0.35">
      <c r="A2014">
        <v>11500</v>
      </c>
      <c r="B2014" t="s">
        <v>11</v>
      </c>
      <c r="C2014">
        <v>13</v>
      </c>
      <c r="D2014">
        <v>326</v>
      </c>
      <c r="E2014" t="s">
        <v>8</v>
      </c>
      <c r="F2014" t="s">
        <v>13</v>
      </c>
      <c r="G2014" t="s">
        <v>14</v>
      </c>
      <c r="H2014">
        <v>0</v>
      </c>
    </row>
    <row r="2015" spans="1:8" x14ac:dyDescent="0.35">
      <c r="A2015">
        <v>11977</v>
      </c>
      <c r="B2015" t="s">
        <v>11</v>
      </c>
      <c r="C2015">
        <v>3</v>
      </c>
      <c r="D2015">
        <v>187</v>
      </c>
      <c r="E2015" t="s">
        <v>8</v>
      </c>
      <c r="F2015" t="s">
        <v>13</v>
      </c>
      <c r="G2015" t="s">
        <v>12</v>
      </c>
      <c r="H2015">
        <v>0</v>
      </c>
    </row>
    <row r="2016" spans="1:8" x14ac:dyDescent="0.35">
      <c r="A2016">
        <v>15315</v>
      </c>
      <c r="B2016" t="s">
        <v>11</v>
      </c>
      <c r="C2016">
        <v>11</v>
      </c>
      <c r="D2016">
        <v>316</v>
      </c>
      <c r="E2016" t="s">
        <v>8</v>
      </c>
      <c r="F2016" t="s">
        <v>13</v>
      </c>
      <c r="G2016" t="s">
        <v>12</v>
      </c>
      <c r="H2016">
        <v>0</v>
      </c>
    </row>
    <row r="2017" spans="1:8" x14ac:dyDescent="0.35">
      <c r="A2017">
        <v>14343</v>
      </c>
      <c r="B2017" t="s">
        <v>7</v>
      </c>
      <c r="C2017">
        <v>13</v>
      </c>
      <c r="D2017">
        <v>426</v>
      </c>
      <c r="E2017" t="s">
        <v>8</v>
      </c>
      <c r="F2017" t="s">
        <v>13</v>
      </c>
      <c r="G2017" t="s">
        <v>10</v>
      </c>
      <c r="H2017">
        <v>0</v>
      </c>
    </row>
    <row r="2018" spans="1:8" x14ac:dyDescent="0.35">
      <c r="A2018">
        <v>14767</v>
      </c>
      <c r="B2018" t="s">
        <v>7</v>
      </c>
      <c r="C2018">
        <v>12</v>
      </c>
      <c r="D2018">
        <v>183</v>
      </c>
      <c r="E2018" t="s">
        <v>8</v>
      </c>
      <c r="F2018" t="s">
        <v>13</v>
      </c>
      <c r="G2018" t="s">
        <v>10</v>
      </c>
      <c r="H2018">
        <v>0</v>
      </c>
    </row>
    <row r="2019" spans="1:8" x14ac:dyDescent="0.35">
      <c r="A2019">
        <v>11828</v>
      </c>
      <c r="B2019" t="s">
        <v>7</v>
      </c>
      <c r="C2019">
        <v>2</v>
      </c>
      <c r="D2019">
        <v>446</v>
      </c>
      <c r="E2019" t="s">
        <v>8</v>
      </c>
      <c r="F2019" t="s">
        <v>9</v>
      </c>
      <c r="G2019" t="s">
        <v>16</v>
      </c>
      <c r="H2019">
        <v>0</v>
      </c>
    </row>
    <row r="2020" spans="1:8" x14ac:dyDescent="0.35">
      <c r="A2020">
        <v>15764</v>
      </c>
      <c r="B2020" t="s">
        <v>11</v>
      </c>
      <c r="C2020">
        <v>2</v>
      </c>
      <c r="D2020">
        <v>112</v>
      </c>
      <c r="E2020" t="s">
        <v>8</v>
      </c>
      <c r="F2020" t="s">
        <v>9</v>
      </c>
      <c r="G2020" t="s">
        <v>10</v>
      </c>
      <c r="H2020">
        <v>0</v>
      </c>
    </row>
    <row r="2021" spans="1:8" x14ac:dyDescent="0.35">
      <c r="A2021">
        <v>12598</v>
      </c>
      <c r="B2021" t="s">
        <v>11</v>
      </c>
      <c r="C2021">
        <v>11</v>
      </c>
      <c r="D2021">
        <v>308</v>
      </c>
      <c r="E2021" t="s">
        <v>8</v>
      </c>
      <c r="F2021" t="s">
        <v>13</v>
      </c>
      <c r="G2021" t="s">
        <v>10</v>
      </c>
      <c r="H2021">
        <v>0</v>
      </c>
    </row>
    <row r="2022" spans="1:8" x14ac:dyDescent="0.35">
      <c r="A2022">
        <v>13857</v>
      </c>
      <c r="B2022" t="s">
        <v>7</v>
      </c>
      <c r="C2022">
        <v>8</v>
      </c>
      <c r="D2022">
        <v>401</v>
      </c>
      <c r="E2022" t="s">
        <v>8</v>
      </c>
      <c r="F2022" t="s">
        <v>9</v>
      </c>
      <c r="G2022" t="s">
        <v>16</v>
      </c>
      <c r="H2022">
        <v>0</v>
      </c>
    </row>
    <row r="2023" spans="1:8" x14ac:dyDescent="0.35">
      <c r="A2023">
        <v>11972</v>
      </c>
      <c r="B2023" t="s">
        <v>11</v>
      </c>
      <c r="C2023">
        <v>11</v>
      </c>
      <c r="D2023">
        <v>342</v>
      </c>
      <c r="E2023" t="s">
        <v>8</v>
      </c>
      <c r="F2023" t="s">
        <v>9</v>
      </c>
      <c r="G2023" t="s">
        <v>10</v>
      </c>
      <c r="H2023">
        <v>0</v>
      </c>
    </row>
    <row r="2024" spans="1:8" x14ac:dyDescent="0.35">
      <c r="A2024">
        <v>16744</v>
      </c>
      <c r="B2024" t="s">
        <v>7</v>
      </c>
      <c r="C2024">
        <v>6</v>
      </c>
      <c r="D2024">
        <v>436</v>
      </c>
      <c r="E2024" t="s">
        <v>8</v>
      </c>
      <c r="F2024" t="s">
        <v>9</v>
      </c>
      <c r="G2024" t="s">
        <v>16</v>
      </c>
      <c r="H2024">
        <v>0</v>
      </c>
    </row>
    <row r="2025" spans="1:8" x14ac:dyDescent="0.35">
      <c r="A2025">
        <v>13504</v>
      </c>
      <c r="B2025" t="s">
        <v>11</v>
      </c>
      <c r="C2025">
        <v>8</v>
      </c>
      <c r="D2025">
        <v>437</v>
      </c>
      <c r="E2025" t="s">
        <v>8</v>
      </c>
      <c r="F2025" t="s">
        <v>9</v>
      </c>
      <c r="G2025" t="s">
        <v>12</v>
      </c>
      <c r="H2025">
        <v>0</v>
      </c>
    </row>
    <row r="2026" spans="1:8" x14ac:dyDescent="0.35">
      <c r="A2026">
        <v>17549</v>
      </c>
      <c r="B2026" t="s">
        <v>11</v>
      </c>
      <c r="C2026">
        <v>3</v>
      </c>
      <c r="D2026">
        <v>384</v>
      </c>
      <c r="E2026" t="s">
        <v>8</v>
      </c>
      <c r="F2026" t="s">
        <v>13</v>
      </c>
      <c r="G2026" t="s">
        <v>16</v>
      </c>
      <c r="H2026">
        <v>0</v>
      </c>
    </row>
    <row r="2027" spans="1:8" x14ac:dyDescent="0.35">
      <c r="A2027">
        <v>18700</v>
      </c>
      <c r="B2027" t="s">
        <v>7</v>
      </c>
      <c r="C2027">
        <v>2</v>
      </c>
      <c r="D2027">
        <v>289</v>
      </c>
      <c r="E2027" t="s">
        <v>8</v>
      </c>
      <c r="F2027" t="s">
        <v>9</v>
      </c>
      <c r="G2027" t="s">
        <v>14</v>
      </c>
      <c r="H2027">
        <v>0</v>
      </c>
    </row>
    <row r="2028" spans="1:8" x14ac:dyDescent="0.35">
      <c r="A2028">
        <v>16420</v>
      </c>
      <c r="B2028" t="s">
        <v>11</v>
      </c>
      <c r="C2028">
        <v>3</v>
      </c>
      <c r="D2028">
        <v>387</v>
      </c>
      <c r="E2028" t="s">
        <v>8</v>
      </c>
      <c r="F2028" t="s">
        <v>9</v>
      </c>
      <c r="G2028" t="s">
        <v>12</v>
      </c>
      <c r="H2028">
        <v>0</v>
      </c>
    </row>
    <row r="2029" spans="1:8" x14ac:dyDescent="0.35">
      <c r="A2029">
        <v>15647</v>
      </c>
      <c r="B2029" t="s">
        <v>11</v>
      </c>
      <c r="C2029">
        <v>5</v>
      </c>
      <c r="D2029">
        <v>194</v>
      </c>
      <c r="E2029" t="s">
        <v>8</v>
      </c>
      <c r="F2029" t="s">
        <v>9</v>
      </c>
      <c r="G2029" t="s">
        <v>12</v>
      </c>
      <c r="H2029">
        <v>0</v>
      </c>
    </row>
    <row r="2030" spans="1:8" x14ac:dyDescent="0.35">
      <c r="A2030">
        <v>19868</v>
      </c>
      <c r="B2030" t="s">
        <v>11</v>
      </c>
      <c r="C2030">
        <v>12</v>
      </c>
      <c r="D2030">
        <v>301</v>
      </c>
      <c r="E2030" t="s">
        <v>8</v>
      </c>
      <c r="F2030" t="s">
        <v>13</v>
      </c>
      <c r="G2030" t="s">
        <v>14</v>
      </c>
      <c r="H2030">
        <v>0</v>
      </c>
    </row>
    <row r="2031" spans="1:8" x14ac:dyDescent="0.35">
      <c r="A2031">
        <v>10082</v>
      </c>
      <c r="B2031" t="s">
        <v>7</v>
      </c>
      <c r="C2031">
        <v>12</v>
      </c>
      <c r="D2031">
        <v>317</v>
      </c>
      <c r="E2031" t="s">
        <v>15</v>
      </c>
      <c r="F2031" t="s">
        <v>9</v>
      </c>
      <c r="G2031" t="s">
        <v>10</v>
      </c>
      <c r="H2031">
        <v>1</v>
      </c>
    </row>
    <row r="2032" spans="1:8" x14ac:dyDescent="0.35">
      <c r="A2032">
        <v>14640</v>
      </c>
      <c r="B2032" t="s">
        <v>11</v>
      </c>
      <c r="C2032">
        <v>6</v>
      </c>
      <c r="D2032">
        <v>308</v>
      </c>
      <c r="E2032" t="s">
        <v>8</v>
      </c>
      <c r="F2032" t="s">
        <v>9</v>
      </c>
      <c r="G2032" t="s">
        <v>14</v>
      </c>
      <c r="H2032">
        <v>0</v>
      </c>
    </row>
    <row r="2033" spans="1:8" x14ac:dyDescent="0.35">
      <c r="A2033">
        <v>16088</v>
      </c>
      <c r="B2033" t="s">
        <v>11</v>
      </c>
      <c r="C2033">
        <v>4</v>
      </c>
      <c r="D2033">
        <v>339</v>
      </c>
      <c r="E2033" t="s">
        <v>8</v>
      </c>
      <c r="F2033" t="s">
        <v>13</v>
      </c>
      <c r="G2033" t="s">
        <v>14</v>
      </c>
      <c r="H2033">
        <v>0</v>
      </c>
    </row>
    <row r="2034" spans="1:8" x14ac:dyDescent="0.35">
      <c r="A2034">
        <v>15252</v>
      </c>
      <c r="B2034" t="s">
        <v>7</v>
      </c>
      <c r="C2034">
        <v>2</v>
      </c>
      <c r="D2034">
        <v>400</v>
      </c>
      <c r="E2034" t="s">
        <v>8</v>
      </c>
      <c r="F2034" t="s">
        <v>9</v>
      </c>
      <c r="G2034" t="s">
        <v>12</v>
      </c>
      <c r="H2034">
        <v>0</v>
      </c>
    </row>
    <row r="2035" spans="1:8" x14ac:dyDescent="0.35">
      <c r="A2035">
        <v>16087</v>
      </c>
      <c r="B2035" t="s">
        <v>7</v>
      </c>
      <c r="C2035">
        <v>4</v>
      </c>
      <c r="D2035">
        <v>375</v>
      </c>
      <c r="E2035" t="s">
        <v>8</v>
      </c>
      <c r="F2035" t="s">
        <v>13</v>
      </c>
      <c r="G2035" t="s">
        <v>16</v>
      </c>
      <c r="H2035">
        <v>0</v>
      </c>
    </row>
    <row r="2036" spans="1:8" x14ac:dyDescent="0.35">
      <c r="A2036">
        <v>16258</v>
      </c>
      <c r="B2036" t="s">
        <v>7</v>
      </c>
      <c r="C2036">
        <v>4</v>
      </c>
      <c r="D2036">
        <v>231</v>
      </c>
      <c r="E2036" t="s">
        <v>8</v>
      </c>
      <c r="F2036" t="s">
        <v>13</v>
      </c>
      <c r="G2036" t="s">
        <v>10</v>
      </c>
      <c r="H2036">
        <v>0</v>
      </c>
    </row>
    <row r="2037" spans="1:8" x14ac:dyDescent="0.35">
      <c r="A2037">
        <v>18071</v>
      </c>
      <c r="B2037" t="s">
        <v>7</v>
      </c>
      <c r="C2037">
        <v>3</v>
      </c>
      <c r="D2037">
        <v>412</v>
      </c>
      <c r="E2037" t="s">
        <v>8</v>
      </c>
      <c r="F2037" t="s">
        <v>9</v>
      </c>
      <c r="G2037" t="s">
        <v>10</v>
      </c>
      <c r="H2037">
        <v>0</v>
      </c>
    </row>
    <row r="2038" spans="1:8" x14ac:dyDescent="0.35">
      <c r="A2038">
        <v>16831</v>
      </c>
      <c r="B2038" t="s">
        <v>11</v>
      </c>
      <c r="C2038">
        <v>6</v>
      </c>
      <c r="D2038">
        <v>287</v>
      </c>
      <c r="E2038" t="s">
        <v>8</v>
      </c>
      <c r="F2038" t="s">
        <v>9</v>
      </c>
      <c r="G2038" t="s">
        <v>16</v>
      </c>
      <c r="H2038">
        <v>0</v>
      </c>
    </row>
    <row r="2039" spans="1:8" x14ac:dyDescent="0.35">
      <c r="A2039">
        <v>16021</v>
      </c>
      <c r="B2039" t="s">
        <v>7</v>
      </c>
      <c r="C2039">
        <v>9</v>
      </c>
      <c r="D2039">
        <v>76</v>
      </c>
      <c r="E2039" t="s">
        <v>8</v>
      </c>
      <c r="F2039" t="s">
        <v>13</v>
      </c>
      <c r="G2039" t="s">
        <v>14</v>
      </c>
      <c r="H2039">
        <v>0</v>
      </c>
    </row>
    <row r="2040" spans="1:8" x14ac:dyDescent="0.35">
      <c r="A2040">
        <v>15556</v>
      </c>
      <c r="B2040" t="s">
        <v>7</v>
      </c>
      <c r="C2040">
        <v>4</v>
      </c>
      <c r="D2040">
        <v>195</v>
      </c>
      <c r="E2040" t="s">
        <v>8</v>
      </c>
      <c r="F2040" t="s">
        <v>13</v>
      </c>
      <c r="G2040" t="s">
        <v>12</v>
      </c>
      <c r="H2040">
        <v>0</v>
      </c>
    </row>
    <row r="2041" spans="1:8" x14ac:dyDescent="0.35">
      <c r="A2041">
        <v>17218</v>
      </c>
      <c r="B2041" t="s">
        <v>7</v>
      </c>
      <c r="C2041">
        <v>6</v>
      </c>
      <c r="D2041">
        <v>311</v>
      </c>
      <c r="E2041" t="s">
        <v>8</v>
      </c>
      <c r="F2041" t="s">
        <v>13</v>
      </c>
      <c r="G2041" t="s">
        <v>10</v>
      </c>
      <c r="H2041">
        <v>0</v>
      </c>
    </row>
    <row r="2042" spans="1:8" x14ac:dyDescent="0.35">
      <c r="A2042">
        <v>10550</v>
      </c>
      <c r="B2042" t="s">
        <v>7</v>
      </c>
      <c r="C2042">
        <v>7</v>
      </c>
      <c r="D2042">
        <v>390</v>
      </c>
      <c r="E2042" t="s">
        <v>8</v>
      </c>
      <c r="F2042" t="s">
        <v>13</v>
      </c>
      <c r="G2042" t="s">
        <v>10</v>
      </c>
      <c r="H2042">
        <v>0</v>
      </c>
    </row>
    <row r="2043" spans="1:8" x14ac:dyDescent="0.35">
      <c r="A2043">
        <v>10901</v>
      </c>
      <c r="B2043" t="s">
        <v>7</v>
      </c>
      <c r="C2043">
        <v>3</v>
      </c>
      <c r="D2043">
        <v>358</v>
      </c>
      <c r="E2043" t="s">
        <v>8</v>
      </c>
      <c r="F2043" t="s">
        <v>9</v>
      </c>
      <c r="G2043" t="s">
        <v>10</v>
      </c>
      <c r="H2043">
        <v>0</v>
      </c>
    </row>
    <row r="2044" spans="1:8" x14ac:dyDescent="0.35">
      <c r="A2044">
        <v>16655</v>
      </c>
      <c r="B2044" t="s">
        <v>11</v>
      </c>
      <c r="C2044">
        <v>4</v>
      </c>
      <c r="D2044">
        <v>394</v>
      </c>
      <c r="E2044" t="s">
        <v>8</v>
      </c>
      <c r="F2044" t="s">
        <v>9</v>
      </c>
      <c r="G2044" t="s">
        <v>16</v>
      </c>
      <c r="H2044">
        <v>0</v>
      </c>
    </row>
    <row r="2045" spans="1:8" x14ac:dyDescent="0.35">
      <c r="A2045">
        <v>10240</v>
      </c>
      <c r="B2045" t="s">
        <v>7</v>
      </c>
      <c r="C2045">
        <v>13</v>
      </c>
      <c r="D2045">
        <v>417</v>
      </c>
      <c r="E2045" t="s">
        <v>8</v>
      </c>
      <c r="F2045" t="s">
        <v>13</v>
      </c>
      <c r="G2045" t="s">
        <v>14</v>
      </c>
      <c r="H2045">
        <v>0</v>
      </c>
    </row>
    <row r="2046" spans="1:8" x14ac:dyDescent="0.35">
      <c r="A2046">
        <v>12578</v>
      </c>
      <c r="B2046" t="s">
        <v>7</v>
      </c>
      <c r="C2046">
        <v>2</v>
      </c>
      <c r="D2046">
        <v>96</v>
      </c>
      <c r="E2046" t="s">
        <v>15</v>
      </c>
      <c r="F2046" t="s">
        <v>9</v>
      </c>
      <c r="G2046" t="s">
        <v>12</v>
      </c>
      <c r="H2046">
        <v>1</v>
      </c>
    </row>
    <row r="2047" spans="1:8" x14ac:dyDescent="0.35">
      <c r="A2047">
        <v>18873</v>
      </c>
      <c r="B2047" t="s">
        <v>7</v>
      </c>
      <c r="C2047">
        <v>8</v>
      </c>
      <c r="D2047">
        <v>69</v>
      </c>
      <c r="E2047" t="s">
        <v>15</v>
      </c>
      <c r="F2047" t="s">
        <v>9</v>
      </c>
      <c r="G2047" t="s">
        <v>14</v>
      </c>
      <c r="H2047">
        <v>1</v>
      </c>
    </row>
    <row r="2048" spans="1:8" x14ac:dyDescent="0.35">
      <c r="A2048">
        <v>11448</v>
      </c>
      <c r="B2048" t="s">
        <v>11</v>
      </c>
      <c r="C2048">
        <v>9</v>
      </c>
      <c r="D2048">
        <v>115</v>
      </c>
      <c r="E2048" t="s">
        <v>8</v>
      </c>
      <c r="F2048" t="s">
        <v>9</v>
      </c>
      <c r="G2048" t="s">
        <v>12</v>
      </c>
      <c r="H2048">
        <v>0</v>
      </c>
    </row>
    <row r="2049" spans="1:8" x14ac:dyDescent="0.35">
      <c r="A2049">
        <v>15672</v>
      </c>
      <c r="B2049" t="s">
        <v>7</v>
      </c>
      <c r="C2049">
        <v>2</v>
      </c>
      <c r="D2049">
        <v>206</v>
      </c>
      <c r="E2049" t="s">
        <v>15</v>
      </c>
      <c r="F2049" t="s">
        <v>13</v>
      </c>
      <c r="G2049" t="s">
        <v>10</v>
      </c>
      <c r="H2049">
        <v>1</v>
      </c>
    </row>
    <row r="2050" spans="1:8" x14ac:dyDescent="0.35">
      <c r="A2050">
        <v>18319</v>
      </c>
      <c r="B2050" t="s">
        <v>7</v>
      </c>
      <c r="C2050">
        <v>8</v>
      </c>
      <c r="D2050">
        <v>361</v>
      </c>
      <c r="E2050" t="s">
        <v>8</v>
      </c>
      <c r="F2050" t="s">
        <v>13</v>
      </c>
      <c r="G2050" t="s">
        <v>14</v>
      </c>
      <c r="H2050">
        <v>0</v>
      </c>
    </row>
    <row r="2051" spans="1:8" x14ac:dyDescent="0.35">
      <c r="A2051">
        <v>18124</v>
      </c>
      <c r="B2051" t="s">
        <v>11</v>
      </c>
      <c r="C2051">
        <v>10</v>
      </c>
      <c r="D2051">
        <v>306</v>
      </c>
      <c r="E2051" t="s">
        <v>8</v>
      </c>
      <c r="F2051" t="s">
        <v>9</v>
      </c>
      <c r="G2051" t="s">
        <v>12</v>
      </c>
      <c r="H2051">
        <v>0</v>
      </c>
    </row>
    <row r="2052" spans="1:8" x14ac:dyDescent="0.35">
      <c r="A2052">
        <v>16830</v>
      </c>
      <c r="B2052" t="s">
        <v>11</v>
      </c>
      <c r="C2052">
        <v>2</v>
      </c>
      <c r="D2052">
        <v>346</v>
      </c>
      <c r="E2052" t="s">
        <v>8</v>
      </c>
      <c r="F2052" t="s">
        <v>13</v>
      </c>
      <c r="G2052" t="s">
        <v>10</v>
      </c>
      <c r="H2052">
        <v>0</v>
      </c>
    </row>
    <row r="2053" spans="1:8" x14ac:dyDescent="0.35">
      <c r="A2053">
        <v>17837</v>
      </c>
      <c r="B2053" t="s">
        <v>11</v>
      </c>
      <c r="C2053">
        <v>7</v>
      </c>
      <c r="D2053">
        <v>152</v>
      </c>
      <c r="E2053" t="s">
        <v>8</v>
      </c>
      <c r="F2053" t="s">
        <v>13</v>
      </c>
      <c r="G2053" t="s">
        <v>16</v>
      </c>
      <c r="H2053">
        <v>0</v>
      </c>
    </row>
    <row r="2054" spans="1:8" x14ac:dyDescent="0.35">
      <c r="A2054">
        <v>14816</v>
      </c>
      <c r="B2054" t="s">
        <v>7</v>
      </c>
      <c r="C2054">
        <v>9</v>
      </c>
      <c r="D2054">
        <v>288</v>
      </c>
      <c r="E2054" t="s">
        <v>15</v>
      </c>
      <c r="F2054" t="s">
        <v>13</v>
      </c>
      <c r="G2054" t="s">
        <v>12</v>
      </c>
      <c r="H2054">
        <v>1</v>
      </c>
    </row>
    <row r="2055" spans="1:8" x14ac:dyDescent="0.35">
      <c r="A2055">
        <v>14004</v>
      </c>
      <c r="B2055" t="s">
        <v>7</v>
      </c>
      <c r="C2055">
        <v>6</v>
      </c>
      <c r="D2055">
        <v>361</v>
      </c>
      <c r="E2055" t="s">
        <v>8</v>
      </c>
      <c r="F2055" t="s">
        <v>9</v>
      </c>
      <c r="G2055" t="s">
        <v>16</v>
      </c>
      <c r="H2055">
        <v>0</v>
      </c>
    </row>
    <row r="2056" spans="1:8" x14ac:dyDescent="0.35">
      <c r="A2056">
        <v>12690</v>
      </c>
      <c r="B2056" t="s">
        <v>7</v>
      </c>
      <c r="C2056">
        <v>3</v>
      </c>
      <c r="D2056">
        <v>108</v>
      </c>
      <c r="E2056" t="s">
        <v>8</v>
      </c>
      <c r="F2056" t="s">
        <v>9</v>
      </c>
      <c r="G2056" t="s">
        <v>12</v>
      </c>
      <c r="H2056">
        <v>0</v>
      </c>
    </row>
    <row r="2057" spans="1:8" x14ac:dyDescent="0.35">
      <c r="A2057">
        <v>16042</v>
      </c>
      <c r="B2057" t="s">
        <v>7</v>
      </c>
      <c r="C2057">
        <v>11</v>
      </c>
      <c r="D2057">
        <v>439</v>
      </c>
      <c r="E2057" t="s">
        <v>8</v>
      </c>
      <c r="F2057" t="s">
        <v>13</v>
      </c>
      <c r="G2057" t="s">
        <v>16</v>
      </c>
      <c r="H2057">
        <v>0</v>
      </c>
    </row>
    <row r="2058" spans="1:8" x14ac:dyDescent="0.35">
      <c r="A2058">
        <v>11735</v>
      </c>
      <c r="B2058" t="s">
        <v>7</v>
      </c>
      <c r="C2058">
        <v>6</v>
      </c>
      <c r="D2058">
        <v>88</v>
      </c>
      <c r="E2058" t="s">
        <v>8</v>
      </c>
      <c r="F2058" t="s">
        <v>9</v>
      </c>
      <c r="G2058" t="s">
        <v>12</v>
      </c>
      <c r="H2058">
        <v>0</v>
      </c>
    </row>
    <row r="2059" spans="1:8" x14ac:dyDescent="0.35">
      <c r="A2059">
        <v>15326</v>
      </c>
      <c r="B2059" t="s">
        <v>11</v>
      </c>
      <c r="C2059">
        <v>1</v>
      </c>
      <c r="D2059">
        <v>201</v>
      </c>
      <c r="E2059" t="s">
        <v>8</v>
      </c>
      <c r="F2059" t="s">
        <v>9</v>
      </c>
      <c r="G2059" t="s">
        <v>12</v>
      </c>
      <c r="H2059">
        <v>0</v>
      </c>
    </row>
    <row r="2060" spans="1:8" x14ac:dyDescent="0.35">
      <c r="A2060">
        <v>10074</v>
      </c>
      <c r="B2060" t="s">
        <v>11</v>
      </c>
      <c r="C2060">
        <v>11</v>
      </c>
      <c r="D2060">
        <v>267</v>
      </c>
      <c r="E2060" t="s">
        <v>15</v>
      </c>
      <c r="F2060" t="s">
        <v>13</v>
      </c>
      <c r="G2060" t="s">
        <v>14</v>
      </c>
      <c r="H2060">
        <v>1</v>
      </c>
    </row>
    <row r="2061" spans="1:8" x14ac:dyDescent="0.35">
      <c r="A2061">
        <v>10891</v>
      </c>
      <c r="B2061" t="s">
        <v>7</v>
      </c>
      <c r="C2061">
        <v>10</v>
      </c>
      <c r="D2061">
        <v>211</v>
      </c>
      <c r="E2061" t="s">
        <v>8</v>
      </c>
      <c r="F2061" t="s">
        <v>9</v>
      </c>
      <c r="G2061" t="s">
        <v>16</v>
      </c>
      <c r="H2061">
        <v>0</v>
      </c>
    </row>
    <row r="2062" spans="1:8" x14ac:dyDescent="0.35">
      <c r="A2062">
        <v>10993</v>
      </c>
      <c r="B2062" t="s">
        <v>7</v>
      </c>
      <c r="C2062">
        <v>1</v>
      </c>
      <c r="D2062">
        <v>289</v>
      </c>
      <c r="E2062" t="s">
        <v>15</v>
      </c>
      <c r="F2062" t="s">
        <v>13</v>
      </c>
      <c r="G2062" t="s">
        <v>16</v>
      </c>
      <c r="H2062">
        <v>1</v>
      </c>
    </row>
    <row r="2063" spans="1:8" x14ac:dyDescent="0.35">
      <c r="A2063">
        <v>14801</v>
      </c>
      <c r="B2063" t="s">
        <v>11</v>
      </c>
      <c r="C2063">
        <v>12</v>
      </c>
      <c r="D2063">
        <v>413</v>
      </c>
      <c r="E2063" t="s">
        <v>8</v>
      </c>
      <c r="F2063" t="s">
        <v>9</v>
      </c>
      <c r="G2063" t="s">
        <v>16</v>
      </c>
      <c r="H2063">
        <v>0</v>
      </c>
    </row>
    <row r="2064" spans="1:8" x14ac:dyDescent="0.35">
      <c r="A2064">
        <v>12616</v>
      </c>
      <c r="B2064" t="s">
        <v>11</v>
      </c>
      <c r="C2064">
        <v>2</v>
      </c>
      <c r="D2064">
        <v>445</v>
      </c>
      <c r="E2064" t="s">
        <v>8</v>
      </c>
      <c r="F2064" t="s">
        <v>13</v>
      </c>
      <c r="G2064" t="s">
        <v>14</v>
      </c>
      <c r="H2064">
        <v>0</v>
      </c>
    </row>
    <row r="2065" spans="1:8" x14ac:dyDescent="0.35">
      <c r="A2065">
        <v>13278</v>
      </c>
      <c r="B2065" t="s">
        <v>11</v>
      </c>
      <c r="C2065">
        <v>13</v>
      </c>
      <c r="D2065">
        <v>212</v>
      </c>
      <c r="E2065" t="s">
        <v>8</v>
      </c>
      <c r="F2065" t="s">
        <v>9</v>
      </c>
      <c r="G2065" t="s">
        <v>14</v>
      </c>
      <c r="H2065">
        <v>0</v>
      </c>
    </row>
    <row r="2066" spans="1:8" x14ac:dyDescent="0.35">
      <c r="A2066">
        <v>18251</v>
      </c>
      <c r="B2066" t="s">
        <v>11</v>
      </c>
      <c r="C2066">
        <v>13</v>
      </c>
      <c r="D2066">
        <v>439</v>
      </c>
      <c r="E2066" t="s">
        <v>8</v>
      </c>
      <c r="F2066" t="s">
        <v>9</v>
      </c>
      <c r="G2066" t="s">
        <v>12</v>
      </c>
      <c r="H2066">
        <v>0</v>
      </c>
    </row>
    <row r="2067" spans="1:8" x14ac:dyDescent="0.35">
      <c r="A2067">
        <v>13648</v>
      </c>
      <c r="B2067" t="s">
        <v>11</v>
      </c>
      <c r="C2067">
        <v>12</v>
      </c>
      <c r="D2067">
        <v>113</v>
      </c>
      <c r="E2067" t="s">
        <v>8</v>
      </c>
      <c r="F2067" t="s">
        <v>9</v>
      </c>
      <c r="G2067" t="s">
        <v>14</v>
      </c>
      <c r="H2067">
        <v>0</v>
      </c>
    </row>
    <row r="2068" spans="1:8" x14ac:dyDescent="0.35">
      <c r="A2068">
        <v>10501</v>
      </c>
      <c r="B2068" t="s">
        <v>7</v>
      </c>
      <c r="C2068">
        <v>12</v>
      </c>
      <c r="D2068">
        <v>181</v>
      </c>
      <c r="E2068" t="s">
        <v>8</v>
      </c>
      <c r="F2068" t="s">
        <v>9</v>
      </c>
      <c r="G2068" t="s">
        <v>12</v>
      </c>
      <c r="H2068">
        <v>0</v>
      </c>
    </row>
    <row r="2069" spans="1:8" x14ac:dyDescent="0.35">
      <c r="A2069">
        <v>16218</v>
      </c>
      <c r="B2069" t="s">
        <v>11</v>
      </c>
      <c r="C2069">
        <v>10</v>
      </c>
      <c r="D2069">
        <v>76</v>
      </c>
      <c r="E2069" t="s">
        <v>8</v>
      </c>
      <c r="F2069" t="s">
        <v>13</v>
      </c>
      <c r="G2069" t="s">
        <v>16</v>
      </c>
      <c r="H2069">
        <v>0</v>
      </c>
    </row>
    <row r="2070" spans="1:8" x14ac:dyDescent="0.35">
      <c r="A2070">
        <v>14193</v>
      </c>
      <c r="B2070" t="s">
        <v>11</v>
      </c>
      <c r="C2070">
        <v>12</v>
      </c>
      <c r="D2070">
        <v>378</v>
      </c>
      <c r="E2070" t="s">
        <v>8</v>
      </c>
      <c r="F2070" t="s">
        <v>13</v>
      </c>
      <c r="G2070" t="s">
        <v>12</v>
      </c>
      <c r="H2070">
        <v>0</v>
      </c>
    </row>
    <row r="2071" spans="1:8" x14ac:dyDescent="0.35">
      <c r="A2071">
        <v>15709</v>
      </c>
      <c r="B2071" t="s">
        <v>11</v>
      </c>
      <c r="C2071">
        <v>7</v>
      </c>
      <c r="D2071">
        <v>252</v>
      </c>
      <c r="E2071" t="s">
        <v>8</v>
      </c>
      <c r="F2071" t="s">
        <v>9</v>
      </c>
      <c r="G2071" t="s">
        <v>14</v>
      </c>
      <c r="H2071">
        <v>0</v>
      </c>
    </row>
    <row r="2072" spans="1:8" x14ac:dyDescent="0.35">
      <c r="A2072">
        <v>15273</v>
      </c>
      <c r="B2072" t="s">
        <v>11</v>
      </c>
      <c r="C2072">
        <v>13</v>
      </c>
      <c r="D2072">
        <v>159</v>
      </c>
      <c r="E2072" t="s">
        <v>8</v>
      </c>
      <c r="F2072" t="s">
        <v>9</v>
      </c>
      <c r="G2072" t="s">
        <v>16</v>
      </c>
      <c r="H2072">
        <v>0</v>
      </c>
    </row>
    <row r="2073" spans="1:8" x14ac:dyDescent="0.35">
      <c r="A2073">
        <v>19842</v>
      </c>
      <c r="B2073" t="s">
        <v>7</v>
      </c>
      <c r="C2073">
        <v>9</v>
      </c>
      <c r="D2073">
        <v>399</v>
      </c>
      <c r="E2073" t="s">
        <v>8</v>
      </c>
      <c r="F2073" t="s">
        <v>9</v>
      </c>
      <c r="G2073" t="s">
        <v>12</v>
      </c>
      <c r="H2073">
        <v>0</v>
      </c>
    </row>
    <row r="2074" spans="1:8" x14ac:dyDescent="0.35">
      <c r="A2074">
        <v>13213</v>
      </c>
      <c r="B2074" t="s">
        <v>7</v>
      </c>
      <c r="C2074">
        <v>8</v>
      </c>
      <c r="D2074">
        <v>144</v>
      </c>
      <c r="E2074" t="s">
        <v>8</v>
      </c>
      <c r="F2074" t="s">
        <v>13</v>
      </c>
      <c r="G2074" t="s">
        <v>14</v>
      </c>
      <c r="H2074">
        <v>0</v>
      </c>
    </row>
    <row r="2075" spans="1:8" x14ac:dyDescent="0.35">
      <c r="A2075">
        <v>14699</v>
      </c>
      <c r="B2075" t="s">
        <v>7</v>
      </c>
      <c r="C2075">
        <v>11</v>
      </c>
      <c r="D2075">
        <v>336</v>
      </c>
      <c r="E2075" t="s">
        <v>15</v>
      </c>
      <c r="F2075" t="s">
        <v>9</v>
      </c>
      <c r="G2075" t="s">
        <v>16</v>
      </c>
      <c r="H2075">
        <v>1</v>
      </c>
    </row>
    <row r="2076" spans="1:8" x14ac:dyDescent="0.35">
      <c r="A2076">
        <v>18242</v>
      </c>
      <c r="B2076" t="s">
        <v>7</v>
      </c>
      <c r="C2076">
        <v>3</v>
      </c>
      <c r="D2076">
        <v>216</v>
      </c>
      <c r="E2076" t="s">
        <v>8</v>
      </c>
      <c r="F2076" t="s">
        <v>13</v>
      </c>
      <c r="G2076" t="s">
        <v>16</v>
      </c>
      <c r="H2076">
        <v>0</v>
      </c>
    </row>
    <row r="2077" spans="1:8" x14ac:dyDescent="0.35">
      <c r="A2077">
        <v>10354</v>
      </c>
      <c r="B2077" t="s">
        <v>7</v>
      </c>
      <c r="C2077">
        <v>8</v>
      </c>
      <c r="D2077">
        <v>415</v>
      </c>
      <c r="E2077" t="s">
        <v>8</v>
      </c>
      <c r="F2077" t="s">
        <v>9</v>
      </c>
      <c r="G2077" t="s">
        <v>10</v>
      </c>
      <c r="H2077">
        <v>0</v>
      </c>
    </row>
    <row r="2078" spans="1:8" x14ac:dyDescent="0.35">
      <c r="A2078">
        <v>14474</v>
      </c>
      <c r="B2078" t="s">
        <v>11</v>
      </c>
      <c r="C2078">
        <v>6</v>
      </c>
      <c r="D2078">
        <v>266</v>
      </c>
      <c r="E2078" t="s">
        <v>8</v>
      </c>
      <c r="F2078" t="s">
        <v>9</v>
      </c>
      <c r="G2078" t="s">
        <v>16</v>
      </c>
      <c r="H2078">
        <v>0</v>
      </c>
    </row>
    <row r="2079" spans="1:8" x14ac:dyDescent="0.35">
      <c r="A2079">
        <v>16886</v>
      </c>
      <c r="B2079" t="s">
        <v>7</v>
      </c>
      <c r="C2079">
        <v>7</v>
      </c>
      <c r="D2079">
        <v>346</v>
      </c>
      <c r="E2079" t="s">
        <v>8</v>
      </c>
      <c r="F2079" t="s">
        <v>13</v>
      </c>
      <c r="G2079" t="s">
        <v>12</v>
      </c>
      <c r="H2079">
        <v>0</v>
      </c>
    </row>
    <row r="2080" spans="1:8" x14ac:dyDescent="0.35">
      <c r="A2080">
        <v>13221</v>
      </c>
      <c r="B2080" t="s">
        <v>11</v>
      </c>
      <c r="C2080">
        <v>4</v>
      </c>
      <c r="D2080">
        <v>226</v>
      </c>
      <c r="E2080" t="s">
        <v>8</v>
      </c>
      <c r="F2080" t="s">
        <v>9</v>
      </c>
      <c r="G2080" t="s">
        <v>12</v>
      </c>
      <c r="H2080">
        <v>0</v>
      </c>
    </row>
    <row r="2081" spans="1:8" x14ac:dyDescent="0.35">
      <c r="A2081">
        <v>13121</v>
      </c>
      <c r="B2081" t="s">
        <v>7</v>
      </c>
      <c r="C2081">
        <v>11</v>
      </c>
      <c r="D2081">
        <v>174</v>
      </c>
      <c r="E2081" t="s">
        <v>8</v>
      </c>
      <c r="F2081" t="s">
        <v>13</v>
      </c>
      <c r="G2081" t="s">
        <v>12</v>
      </c>
      <c r="H2081">
        <v>0</v>
      </c>
    </row>
    <row r="2082" spans="1:8" x14ac:dyDescent="0.35">
      <c r="A2082">
        <v>19689</v>
      </c>
      <c r="B2082" t="s">
        <v>11</v>
      </c>
      <c r="C2082">
        <v>13</v>
      </c>
      <c r="D2082">
        <v>417</v>
      </c>
      <c r="E2082" t="s">
        <v>8</v>
      </c>
      <c r="F2082" t="s">
        <v>13</v>
      </c>
      <c r="G2082" t="s">
        <v>14</v>
      </c>
      <c r="H2082">
        <v>0</v>
      </c>
    </row>
    <row r="2083" spans="1:8" x14ac:dyDescent="0.35">
      <c r="A2083">
        <v>16438</v>
      </c>
      <c r="B2083" t="s">
        <v>7</v>
      </c>
      <c r="C2083">
        <v>2</v>
      </c>
      <c r="D2083">
        <v>65</v>
      </c>
      <c r="E2083" t="s">
        <v>8</v>
      </c>
      <c r="F2083" t="s">
        <v>13</v>
      </c>
      <c r="G2083" t="s">
        <v>10</v>
      </c>
      <c r="H2083">
        <v>0</v>
      </c>
    </row>
    <row r="2084" spans="1:8" x14ac:dyDescent="0.35">
      <c r="A2084">
        <v>18717</v>
      </c>
      <c r="B2084" t="s">
        <v>11</v>
      </c>
      <c r="C2084">
        <v>14</v>
      </c>
      <c r="D2084">
        <v>172</v>
      </c>
      <c r="E2084" t="s">
        <v>8</v>
      </c>
      <c r="F2084" t="s">
        <v>13</v>
      </c>
      <c r="G2084" t="s">
        <v>14</v>
      </c>
      <c r="H2084">
        <v>0</v>
      </c>
    </row>
    <row r="2085" spans="1:8" x14ac:dyDescent="0.35">
      <c r="A2085">
        <v>18036</v>
      </c>
      <c r="B2085" t="s">
        <v>7</v>
      </c>
      <c r="C2085">
        <v>4</v>
      </c>
      <c r="D2085">
        <v>354</v>
      </c>
      <c r="E2085" t="s">
        <v>8</v>
      </c>
      <c r="F2085" t="s">
        <v>13</v>
      </c>
      <c r="G2085" t="s">
        <v>14</v>
      </c>
      <c r="H2085">
        <v>0</v>
      </c>
    </row>
    <row r="2086" spans="1:8" x14ac:dyDescent="0.35">
      <c r="A2086">
        <v>13020</v>
      </c>
      <c r="B2086" t="s">
        <v>7</v>
      </c>
      <c r="C2086">
        <v>8</v>
      </c>
      <c r="D2086">
        <v>370</v>
      </c>
      <c r="E2086" t="s">
        <v>8</v>
      </c>
      <c r="F2086" t="s">
        <v>13</v>
      </c>
      <c r="G2086" t="s">
        <v>10</v>
      </c>
      <c r="H2086">
        <v>0</v>
      </c>
    </row>
    <row r="2087" spans="1:8" x14ac:dyDescent="0.35">
      <c r="A2087">
        <v>13011</v>
      </c>
      <c r="B2087" t="s">
        <v>11</v>
      </c>
      <c r="C2087">
        <v>7</v>
      </c>
      <c r="D2087">
        <v>411</v>
      </c>
      <c r="E2087" t="s">
        <v>8</v>
      </c>
      <c r="F2087" t="s">
        <v>13</v>
      </c>
      <c r="G2087" t="s">
        <v>14</v>
      </c>
      <c r="H2087">
        <v>0</v>
      </c>
    </row>
    <row r="2088" spans="1:8" x14ac:dyDescent="0.35">
      <c r="A2088">
        <v>15863</v>
      </c>
      <c r="B2088" t="s">
        <v>11</v>
      </c>
      <c r="C2088">
        <v>10</v>
      </c>
      <c r="D2088">
        <v>63</v>
      </c>
      <c r="E2088" t="s">
        <v>8</v>
      </c>
      <c r="F2088" t="s">
        <v>13</v>
      </c>
      <c r="G2088" t="s">
        <v>14</v>
      </c>
      <c r="H2088">
        <v>0</v>
      </c>
    </row>
    <row r="2089" spans="1:8" x14ac:dyDescent="0.35">
      <c r="A2089">
        <v>12983</v>
      </c>
      <c r="B2089" t="s">
        <v>7</v>
      </c>
      <c r="C2089">
        <v>3</v>
      </c>
      <c r="D2089">
        <v>343</v>
      </c>
      <c r="E2089" t="s">
        <v>8</v>
      </c>
      <c r="F2089" t="s">
        <v>13</v>
      </c>
      <c r="G2089" t="s">
        <v>16</v>
      </c>
      <c r="H2089">
        <v>0</v>
      </c>
    </row>
    <row r="2090" spans="1:8" x14ac:dyDescent="0.35">
      <c r="A2090">
        <v>19197</v>
      </c>
      <c r="B2090" t="s">
        <v>11</v>
      </c>
      <c r="C2090">
        <v>14</v>
      </c>
      <c r="D2090">
        <v>361</v>
      </c>
      <c r="E2090" t="s">
        <v>8</v>
      </c>
      <c r="F2090" t="s">
        <v>9</v>
      </c>
      <c r="G2090" t="s">
        <v>14</v>
      </c>
      <c r="H2090">
        <v>0</v>
      </c>
    </row>
    <row r="2091" spans="1:8" x14ac:dyDescent="0.35">
      <c r="A2091">
        <v>13477</v>
      </c>
      <c r="B2091" t="s">
        <v>11</v>
      </c>
      <c r="C2091">
        <v>5</v>
      </c>
      <c r="D2091">
        <v>80</v>
      </c>
      <c r="E2091" t="s">
        <v>8</v>
      </c>
      <c r="F2091" t="s">
        <v>13</v>
      </c>
      <c r="G2091" t="s">
        <v>16</v>
      </c>
      <c r="H2091">
        <v>0</v>
      </c>
    </row>
    <row r="2092" spans="1:8" x14ac:dyDescent="0.35">
      <c r="A2092">
        <v>13813</v>
      </c>
      <c r="B2092" t="s">
        <v>11</v>
      </c>
      <c r="C2092">
        <v>7</v>
      </c>
      <c r="D2092">
        <v>169</v>
      </c>
      <c r="E2092" t="s">
        <v>8</v>
      </c>
      <c r="F2092" t="s">
        <v>9</v>
      </c>
      <c r="G2092" t="s">
        <v>10</v>
      </c>
      <c r="H2092">
        <v>0</v>
      </c>
    </row>
    <row r="2093" spans="1:8" x14ac:dyDescent="0.35">
      <c r="A2093">
        <v>18959</v>
      </c>
      <c r="B2093" t="s">
        <v>7</v>
      </c>
      <c r="C2093">
        <v>13</v>
      </c>
      <c r="D2093">
        <v>437</v>
      </c>
      <c r="E2093" t="s">
        <v>8</v>
      </c>
      <c r="F2093" t="s">
        <v>13</v>
      </c>
      <c r="G2093" t="s">
        <v>14</v>
      </c>
      <c r="H2093">
        <v>0</v>
      </c>
    </row>
    <row r="2094" spans="1:8" x14ac:dyDescent="0.35">
      <c r="A2094">
        <v>14370</v>
      </c>
      <c r="B2094" t="s">
        <v>11</v>
      </c>
      <c r="C2094">
        <v>7</v>
      </c>
      <c r="D2094">
        <v>131</v>
      </c>
      <c r="E2094" t="s">
        <v>8</v>
      </c>
      <c r="F2094" t="s">
        <v>9</v>
      </c>
      <c r="G2094" t="s">
        <v>14</v>
      </c>
      <c r="H2094">
        <v>0</v>
      </c>
    </row>
    <row r="2095" spans="1:8" x14ac:dyDescent="0.35">
      <c r="A2095">
        <v>10548</v>
      </c>
      <c r="B2095" t="s">
        <v>11</v>
      </c>
      <c r="C2095">
        <v>8</v>
      </c>
      <c r="D2095">
        <v>112</v>
      </c>
      <c r="E2095" t="s">
        <v>8</v>
      </c>
      <c r="F2095" t="s">
        <v>9</v>
      </c>
      <c r="G2095" t="s">
        <v>14</v>
      </c>
      <c r="H2095">
        <v>0</v>
      </c>
    </row>
    <row r="2096" spans="1:8" x14ac:dyDescent="0.35">
      <c r="A2096">
        <v>17528</v>
      </c>
      <c r="B2096" t="s">
        <v>7</v>
      </c>
      <c r="C2096">
        <v>5</v>
      </c>
      <c r="D2096">
        <v>301</v>
      </c>
      <c r="E2096" t="s">
        <v>15</v>
      </c>
      <c r="F2096" t="s">
        <v>13</v>
      </c>
      <c r="G2096" t="s">
        <v>16</v>
      </c>
      <c r="H2096">
        <v>1</v>
      </c>
    </row>
    <row r="2097" spans="1:8" x14ac:dyDescent="0.35">
      <c r="A2097">
        <v>19384</v>
      </c>
      <c r="B2097" t="s">
        <v>7</v>
      </c>
      <c r="C2097">
        <v>12</v>
      </c>
      <c r="D2097">
        <v>321</v>
      </c>
      <c r="E2097" t="s">
        <v>15</v>
      </c>
      <c r="F2097" t="s">
        <v>9</v>
      </c>
      <c r="G2097" t="s">
        <v>16</v>
      </c>
      <c r="H2097">
        <v>1</v>
      </c>
    </row>
    <row r="2098" spans="1:8" x14ac:dyDescent="0.35">
      <c r="A2098">
        <v>11716</v>
      </c>
      <c r="B2098" t="s">
        <v>11</v>
      </c>
      <c r="C2098">
        <v>9</v>
      </c>
      <c r="D2098">
        <v>222</v>
      </c>
      <c r="E2098" t="s">
        <v>8</v>
      </c>
      <c r="F2098" t="s">
        <v>9</v>
      </c>
      <c r="G2098" t="s">
        <v>12</v>
      </c>
      <c r="H2098">
        <v>0</v>
      </c>
    </row>
    <row r="2099" spans="1:8" x14ac:dyDescent="0.35">
      <c r="A2099">
        <v>13412</v>
      </c>
      <c r="B2099" t="s">
        <v>11</v>
      </c>
      <c r="C2099">
        <v>7</v>
      </c>
      <c r="D2099">
        <v>104</v>
      </c>
      <c r="E2099" t="s">
        <v>8</v>
      </c>
      <c r="F2099" t="s">
        <v>13</v>
      </c>
      <c r="G2099" t="s">
        <v>12</v>
      </c>
      <c r="H2099">
        <v>0</v>
      </c>
    </row>
    <row r="2100" spans="1:8" x14ac:dyDescent="0.35">
      <c r="A2100">
        <v>16236</v>
      </c>
      <c r="B2100" t="s">
        <v>7</v>
      </c>
      <c r="C2100">
        <v>14</v>
      </c>
      <c r="D2100">
        <v>46</v>
      </c>
      <c r="E2100" t="s">
        <v>8</v>
      </c>
      <c r="F2100" t="s">
        <v>13</v>
      </c>
      <c r="G2100" t="s">
        <v>14</v>
      </c>
      <c r="H2100">
        <v>0</v>
      </c>
    </row>
    <row r="2101" spans="1:8" x14ac:dyDescent="0.35">
      <c r="A2101">
        <v>11421</v>
      </c>
      <c r="B2101" t="s">
        <v>11</v>
      </c>
      <c r="C2101">
        <v>8</v>
      </c>
      <c r="D2101">
        <v>84</v>
      </c>
      <c r="E2101" t="s">
        <v>8</v>
      </c>
      <c r="F2101" t="s">
        <v>13</v>
      </c>
      <c r="G2101" t="s">
        <v>10</v>
      </c>
      <c r="H2101">
        <v>0</v>
      </c>
    </row>
    <row r="2102" spans="1:8" x14ac:dyDescent="0.35">
      <c r="A2102">
        <v>14060</v>
      </c>
      <c r="B2102" t="s">
        <v>11</v>
      </c>
      <c r="C2102">
        <v>4</v>
      </c>
      <c r="D2102">
        <v>119</v>
      </c>
      <c r="E2102" t="s">
        <v>8</v>
      </c>
      <c r="F2102" t="s">
        <v>9</v>
      </c>
      <c r="G2102" t="s">
        <v>10</v>
      </c>
      <c r="H2102">
        <v>0</v>
      </c>
    </row>
    <row r="2103" spans="1:8" x14ac:dyDescent="0.35">
      <c r="A2103">
        <v>14762</v>
      </c>
      <c r="B2103" t="s">
        <v>11</v>
      </c>
      <c r="C2103">
        <v>5</v>
      </c>
      <c r="D2103">
        <v>283</v>
      </c>
      <c r="E2103" t="s">
        <v>8</v>
      </c>
      <c r="F2103" t="s">
        <v>9</v>
      </c>
      <c r="G2103" t="s">
        <v>14</v>
      </c>
      <c r="H2103">
        <v>0</v>
      </c>
    </row>
    <row r="2104" spans="1:8" x14ac:dyDescent="0.35">
      <c r="A2104">
        <v>15330</v>
      </c>
      <c r="B2104" t="s">
        <v>7</v>
      </c>
      <c r="C2104">
        <v>3</v>
      </c>
      <c r="D2104">
        <v>143</v>
      </c>
      <c r="E2104" t="s">
        <v>8</v>
      </c>
      <c r="F2104" t="s">
        <v>9</v>
      </c>
      <c r="G2104" t="s">
        <v>10</v>
      </c>
      <c r="H2104">
        <v>0</v>
      </c>
    </row>
    <row r="2105" spans="1:8" x14ac:dyDescent="0.35">
      <c r="A2105">
        <v>16610</v>
      </c>
      <c r="B2105" t="s">
        <v>7</v>
      </c>
      <c r="C2105">
        <v>1</v>
      </c>
      <c r="D2105">
        <v>127</v>
      </c>
      <c r="E2105" t="s">
        <v>8</v>
      </c>
      <c r="F2105" t="s">
        <v>13</v>
      </c>
      <c r="G2105" t="s">
        <v>12</v>
      </c>
      <c r="H2105">
        <v>0</v>
      </c>
    </row>
    <row r="2106" spans="1:8" x14ac:dyDescent="0.35">
      <c r="A2106">
        <v>11411</v>
      </c>
      <c r="B2106" t="s">
        <v>7</v>
      </c>
      <c r="C2106">
        <v>6</v>
      </c>
      <c r="D2106">
        <v>114</v>
      </c>
      <c r="E2106" t="s">
        <v>8</v>
      </c>
      <c r="F2106" t="s">
        <v>9</v>
      </c>
      <c r="G2106" t="s">
        <v>12</v>
      </c>
      <c r="H2106">
        <v>0</v>
      </c>
    </row>
    <row r="2107" spans="1:8" x14ac:dyDescent="0.35">
      <c r="A2107">
        <v>15478</v>
      </c>
      <c r="B2107" t="s">
        <v>11</v>
      </c>
      <c r="C2107">
        <v>9</v>
      </c>
      <c r="D2107">
        <v>150</v>
      </c>
      <c r="E2107" t="s">
        <v>8</v>
      </c>
      <c r="F2107" t="s">
        <v>13</v>
      </c>
      <c r="G2107" t="s">
        <v>12</v>
      </c>
      <c r="H2107">
        <v>0</v>
      </c>
    </row>
    <row r="2108" spans="1:8" x14ac:dyDescent="0.35">
      <c r="A2108">
        <v>11351</v>
      </c>
      <c r="B2108" t="s">
        <v>7</v>
      </c>
      <c r="C2108">
        <v>9</v>
      </c>
      <c r="D2108">
        <v>94</v>
      </c>
      <c r="E2108" t="s">
        <v>8</v>
      </c>
      <c r="F2108" t="s">
        <v>13</v>
      </c>
      <c r="G2108" t="s">
        <v>10</v>
      </c>
      <c r="H2108">
        <v>0</v>
      </c>
    </row>
    <row r="2109" spans="1:8" x14ac:dyDescent="0.35">
      <c r="A2109">
        <v>18158</v>
      </c>
      <c r="B2109" t="s">
        <v>11</v>
      </c>
      <c r="C2109">
        <v>13</v>
      </c>
      <c r="D2109">
        <v>374</v>
      </c>
      <c r="E2109" t="s">
        <v>8</v>
      </c>
      <c r="F2109" t="s">
        <v>9</v>
      </c>
      <c r="G2109" t="s">
        <v>16</v>
      </c>
      <c r="H2109">
        <v>0</v>
      </c>
    </row>
    <row r="2110" spans="1:8" x14ac:dyDescent="0.35">
      <c r="A2110">
        <v>14266</v>
      </c>
      <c r="B2110" t="s">
        <v>7</v>
      </c>
      <c r="C2110">
        <v>14</v>
      </c>
      <c r="D2110">
        <v>169</v>
      </c>
      <c r="E2110" t="s">
        <v>15</v>
      </c>
      <c r="F2110" t="s">
        <v>13</v>
      </c>
      <c r="G2110" t="s">
        <v>16</v>
      </c>
      <c r="H2110">
        <v>1</v>
      </c>
    </row>
    <row r="2111" spans="1:8" x14ac:dyDescent="0.35">
      <c r="A2111">
        <v>16791</v>
      </c>
      <c r="B2111" t="s">
        <v>7</v>
      </c>
      <c r="C2111">
        <v>3</v>
      </c>
      <c r="D2111">
        <v>49</v>
      </c>
      <c r="E2111" t="s">
        <v>15</v>
      </c>
      <c r="F2111" t="s">
        <v>9</v>
      </c>
      <c r="G2111" t="s">
        <v>12</v>
      </c>
      <c r="H2111">
        <v>1</v>
      </c>
    </row>
    <row r="2112" spans="1:8" x14ac:dyDescent="0.35">
      <c r="A2112">
        <v>18069</v>
      </c>
      <c r="B2112" t="s">
        <v>7</v>
      </c>
      <c r="C2112">
        <v>7</v>
      </c>
      <c r="D2112">
        <v>320</v>
      </c>
      <c r="E2112" t="s">
        <v>8</v>
      </c>
      <c r="F2112" t="s">
        <v>9</v>
      </c>
      <c r="G2112" t="s">
        <v>12</v>
      </c>
      <c r="H2112">
        <v>0</v>
      </c>
    </row>
    <row r="2113" spans="1:8" x14ac:dyDescent="0.35">
      <c r="A2113">
        <v>11836</v>
      </c>
      <c r="B2113" t="s">
        <v>11</v>
      </c>
      <c r="C2113">
        <v>7</v>
      </c>
      <c r="D2113">
        <v>184</v>
      </c>
      <c r="E2113" t="s">
        <v>8</v>
      </c>
      <c r="F2113" t="s">
        <v>9</v>
      </c>
      <c r="G2113" t="s">
        <v>14</v>
      </c>
      <c r="H2113">
        <v>0</v>
      </c>
    </row>
    <row r="2114" spans="1:8" x14ac:dyDescent="0.35">
      <c r="A2114">
        <v>14196</v>
      </c>
      <c r="B2114" t="s">
        <v>11</v>
      </c>
      <c r="C2114">
        <v>13</v>
      </c>
      <c r="D2114">
        <v>180</v>
      </c>
      <c r="E2114" t="s">
        <v>8</v>
      </c>
      <c r="F2114" t="s">
        <v>9</v>
      </c>
      <c r="G2114" t="s">
        <v>10</v>
      </c>
      <c r="H2114">
        <v>0</v>
      </c>
    </row>
    <row r="2115" spans="1:8" x14ac:dyDescent="0.35">
      <c r="A2115">
        <v>19987</v>
      </c>
      <c r="B2115" t="s">
        <v>11</v>
      </c>
      <c r="C2115">
        <v>3</v>
      </c>
      <c r="D2115">
        <v>56</v>
      </c>
      <c r="E2115" t="s">
        <v>8</v>
      </c>
      <c r="F2115" t="s">
        <v>9</v>
      </c>
      <c r="G2115" t="s">
        <v>10</v>
      </c>
      <c r="H2115">
        <v>0</v>
      </c>
    </row>
    <row r="2116" spans="1:8" x14ac:dyDescent="0.35">
      <c r="A2116">
        <v>17795</v>
      </c>
      <c r="B2116" t="s">
        <v>7</v>
      </c>
      <c r="C2116">
        <v>13</v>
      </c>
      <c r="D2116">
        <v>432</v>
      </c>
      <c r="E2116" t="s">
        <v>8</v>
      </c>
      <c r="F2116" t="s">
        <v>9</v>
      </c>
      <c r="G2116" t="s">
        <v>10</v>
      </c>
      <c r="H2116">
        <v>0</v>
      </c>
    </row>
    <row r="2117" spans="1:8" x14ac:dyDescent="0.35">
      <c r="A2117">
        <v>12133</v>
      </c>
      <c r="B2117" t="s">
        <v>11</v>
      </c>
      <c r="C2117">
        <v>3</v>
      </c>
      <c r="D2117">
        <v>41</v>
      </c>
      <c r="E2117" t="s">
        <v>8</v>
      </c>
      <c r="F2117" t="s">
        <v>13</v>
      </c>
      <c r="G2117" t="s">
        <v>10</v>
      </c>
      <c r="H2117">
        <v>0</v>
      </c>
    </row>
    <row r="2118" spans="1:8" x14ac:dyDescent="0.35">
      <c r="A2118">
        <v>12080</v>
      </c>
      <c r="B2118" t="s">
        <v>11</v>
      </c>
      <c r="C2118">
        <v>2</v>
      </c>
      <c r="D2118">
        <v>325</v>
      </c>
      <c r="E2118" t="s">
        <v>8</v>
      </c>
      <c r="F2118" t="s">
        <v>9</v>
      </c>
      <c r="G2118" t="s">
        <v>16</v>
      </c>
      <c r="H2118">
        <v>0</v>
      </c>
    </row>
    <row r="2119" spans="1:8" x14ac:dyDescent="0.35">
      <c r="A2119">
        <v>15327</v>
      </c>
      <c r="B2119" t="s">
        <v>7</v>
      </c>
      <c r="C2119">
        <v>9</v>
      </c>
      <c r="D2119">
        <v>370</v>
      </c>
      <c r="E2119" t="s">
        <v>8</v>
      </c>
      <c r="F2119" t="s">
        <v>13</v>
      </c>
      <c r="G2119" t="s">
        <v>14</v>
      </c>
      <c r="H2119">
        <v>0</v>
      </c>
    </row>
    <row r="2120" spans="1:8" x14ac:dyDescent="0.35">
      <c r="A2120">
        <v>13971</v>
      </c>
      <c r="B2120" t="s">
        <v>7</v>
      </c>
      <c r="C2120">
        <v>12</v>
      </c>
      <c r="D2120">
        <v>293</v>
      </c>
      <c r="E2120" t="s">
        <v>8</v>
      </c>
      <c r="F2120" t="s">
        <v>9</v>
      </c>
      <c r="G2120" t="s">
        <v>10</v>
      </c>
      <c r="H2120">
        <v>0</v>
      </c>
    </row>
    <row r="2121" spans="1:8" x14ac:dyDescent="0.35">
      <c r="A2121">
        <v>15586</v>
      </c>
      <c r="B2121" t="s">
        <v>11</v>
      </c>
      <c r="C2121">
        <v>8</v>
      </c>
      <c r="D2121">
        <v>95</v>
      </c>
      <c r="E2121" t="s">
        <v>8</v>
      </c>
      <c r="F2121" t="s">
        <v>9</v>
      </c>
      <c r="G2121" t="s">
        <v>12</v>
      </c>
      <c r="H2121">
        <v>0</v>
      </c>
    </row>
    <row r="2122" spans="1:8" x14ac:dyDescent="0.35">
      <c r="A2122">
        <v>17707</v>
      </c>
      <c r="B2122" t="s">
        <v>11</v>
      </c>
      <c r="C2122">
        <v>3</v>
      </c>
      <c r="D2122">
        <v>199</v>
      </c>
      <c r="E2122" t="s">
        <v>8</v>
      </c>
      <c r="F2122" t="s">
        <v>13</v>
      </c>
      <c r="G2122" t="s">
        <v>12</v>
      </c>
      <c r="H2122">
        <v>0</v>
      </c>
    </row>
    <row r="2123" spans="1:8" x14ac:dyDescent="0.35">
      <c r="A2123">
        <v>19530</v>
      </c>
      <c r="B2123" t="s">
        <v>11</v>
      </c>
      <c r="C2123">
        <v>8</v>
      </c>
      <c r="D2123">
        <v>254</v>
      </c>
      <c r="E2123" t="s">
        <v>8</v>
      </c>
      <c r="F2123" t="s">
        <v>9</v>
      </c>
      <c r="G2123" t="s">
        <v>12</v>
      </c>
      <c r="H2123">
        <v>0</v>
      </c>
    </row>
    <row r="2124" spans="1:8" x14ac:dyDescent="0.35">
      <c r="A2124">
        <v>15343</v>
      </c>
      <c r="B2124" t="s">
        <v>11</v>
      </c>
      <c r="C2124">
        <v>1</v>
      </c>
      <c r="D2124">
        <v>88</v>
      </c>
      <c r="E2124" t="s">
        <v>8</v>
      </c>
      <c r="F2124" t="s">
        <v>9</v>
      </c>
      <c r="G2124" t="s">
        <v>16</v>
      </c>
      <c r="H2124">
        <v>0</v>
      </c>
    </row>
    <row r="2125" spans="1:8" x14ac:dyDescent="0.35">
      <c r="A2125">
        <v>16875</v>
      </c>
      <c r="B2125" t="s">
        <v>7</v>
      </c>
      <c r="C2125">
        <v>11</v>
      </c>
      <c r="D2125">
        <v>346</v>
      </c>
      <c r="E2125" t="s">
        <v>8</v>
      </c>
      <c r="F2125" t="s">
        <v>9</v>
      </c>
      <c r="G2125" t="s">
        <v>14</v>
      </c>
      <c r="H2125">
        <v>0</v>
      </c>
    </row>
    <row r="2126" spans="1:8" x14ac:dyDescent="0.35">
      <c r="A2126">
        <v>17167</v>
      </c>
      <c r="B2126" t="s">
        <v>7</v>
      </c>
      <c r="C2126">
        <v>5</v>
      </c>
      <c r="D2126">
        <v>226</v>
      </c>
      <c r="E2126" t="s">
        <v>8</v>
      </c>
      <c r="F2126" t="s">
        <v>13</v>
      </c>
      <c r="G2126" t="s">
        <v>12</v>
      </c>
      <c r="H2126">
        <v>0</v>
      </c>
    </row>
    <row r="2127" spans="1:8" x14ac:dyDescent="0.35">
      <c r="A2127">
        <v>13472</v>
      </c>
      <c r="B2127" t="s">
        <v>7</v>
      </c>
      <c r="C2127">
        <v>11</v>
      </c>
      <c r="D2127">
        <v>257</v>
      </c>
      <c r="E2127" t="s">
        <v>8</v>
      </c>
      <c r="F2127" t="s">
        <v>9</v>
      </c>
      <c r="G2127" t="s">
        <v>16</v>
      </c>
      <c r="H2127">
        <v>0</v>
      </c>
    </row>
    <row r="2128" spans="1:8" x14ac:dyDescent="0.35">
      <c r="A2128">
        <v>12488</v>
      </c>
      <c r="B2128" t="s">
        <v>7</v>
      </c>
      <c r="C2128">
        <v>5</v>
      </c>
      <c r="D2128">
        <v>83</v>
      </c>
      <c r="E2128" t="s">
        <v>8</v>
      </c>
      <c r="F2128" t="s">
        <v>9</v>
      </c>
      <c r="G2128" t="s">
        <v>10</v>
      </c>
      <c r="H2128">
        <v>0</v>
      </c>
    </row>
    <row r="2129" spans="1:8" x14ac:dyDescent="0.35">
      <c r="A2129">
        <v>18161</v>
      </c>
      <c r="B2129" t="s">
        <v>7</v>
      </c>
      <c r="C2129">
        <v>12</v>
      </c>
      <c r="D2129">
        <v>443</v>
      </c>
      <c r="E2129" t="s">
        <v>8</v>
      </c>
      <c r="F2129" t="s">
        <v>9</v>
      </c>
      <c r="G2129" t="s">
        <v>10</v>
      </c>
      <c r="H2129">
        <v>0</v>
      </c>
    </row>
    <row r="2130" spans="1:8" x14ac:dyDescent="0.35">
      <c r="A2130">
        <v>18309</v>
      </c>
      <c r="B2130" t="s">
        <v>7</v>
      </c>
      <c r="C2130">
        <v>14</v>
      </c>
      <c r="D2130">
        <v>179</v>
      </c>
      <c r="E2130" t="s">
        <v>8</v>
      </c>
      <c r="F2130" t="s">
        <v>13</v>
      </c>
      <c r="G2130" t="s">
        <v>14</v>
      </c>
      <c r="H2130">
        <v>0</v>
      </c>
    </row>
    <row r="2131" spans="1:8" x14ac:dyDescent="0.35">
      <c r="A2131">
        <v>13902</v>
      </c>
      <c r="B2131" t="s">
        <v>7</v>
      </c>
      <c r="C2131">
        <v>11</v>
      </c>
      <c r="D2131">
        <v>110</v>
      </c>
      <c r="E2131" t="s">
        <v>8</v>
      </c>
      <c r="F2131" t="s">
        <v>9</v>
      </c>
      <c r="G2131" t="s">
        <v>12</v>
      </c>
      <c r="H2131">
        <v>0</v>
      </c>
    </row>
    <row r="2132" spans="1:8" x14ac:dyDescent="0.35">
      <c r="A2132">
        <v>10610</v>
      </c>
      <c r="B2132" t="s">
        <v>7</v>
      </c>
      <c r="C2132">
        <v>10</v>
      </c>
      <c r="D2132">
        <v>114</v>
      </c>
      <c r="E2132" t="s">
        <v>8</v>
      </c>
      <c r="F2132" t="s">
        <v>13</v>
      </c>
      <c r="G2132" t="s">
        <v>14</v>
      </c>
      <c r="H2132">
        <v>0</v>
      </c>
    </row>
    <row r="2133" spans="1:8" x14ac:dyDescent="0.35">
      <c r="A2133">
        <v>12550</v>
      </c>
      <c r="B2133" t="s">
        <v>7</v>
      </c>
      <c r="C2133">
        <v>7</v>
      </c>
      <c r="D2133">
        <v>143</v>
      </c>
      <c r="E2133" t="s">
        <v>15</v>
      </c>
      <c r="F2133" t="s">
        <v>13</v>
      </c>
      <c r="G2133" t="s">
        <v>14</v>
      </c>
      <c r="H2133">
        <v>1</v>
      </c>
    </row>
    <row r="2134" spans="1:8" x14ac:dyDescent="0.35">
      <c r="A2134">
        <v>19404</v>
      </c>
      <c r="B2134" t="s">
        <v>7</v>
      </c>
      <c r="C2134">
        <v>8</v>
      </c>
      <c r="D2134">
        <v>441</v>
      </c>
      <c r="E2134" t="s">
        <v>8</v>
      </c>
      <c r="F2134" t="s">
        <v>13</v>
      </c>
      <c r="G2134" t="s">
        <v>10</v>
      </c>
      <c r="H2134">
        <v>0</v>
      </c>
    </row>
    <row r="2135" spans="1:8" x14ac:dyDescent="0.35">
      <c r="A2135">
        <v>16169</v>
      </c>
      <c r="B2135" t="s">
        <v>11</v>
      </c>
      <c r="C2135">
        <v>11</v>
      </c>
      <c r="D2135">
        <v>144</v>
      </c>
      <c r="E2135" t="s">
        <v>8</v>
      </c>
      <c r="F2135" t="s">
        <v>13</v>
      </c>
      <c r="G2135" t="s">
        <v>16</v>
      </c>
      <c r="H2135">
        <v>0</v>
      </c>
    </row>
    <row r="2136" spans="1:8" x14ac:dyDescent="0.35">
      <c r="A2136">
        <v>13635</v>
      </c>
      <c r="B2136" t="s">
        <v>11</v>
      </c>
      <c r="C2136">
        <v>12</v>
      </c>
      <c r="D2136">
        <v>173</v>
      </c>
      <c r="E2136" t="s">
        <v>8</v>
      </c>
      <c r="F2136" t="s">
        <v>9</v>
      </c>
      <c r="G2136" t="s">
        <v>14</v>
      </c>
      <c r="H2136">
        <v>0</v>
      </c>
    </row>
    <row r="2137" spans="1:8" x14ac:dyDescent="0.35">
      <c r="A2137">
        <v>16136</v>
      </c>
      <c r="B2137" t="s">
        <v>7</v>
      </c>
      <c r="C2137">
        <v>10</v>
      </c>
      <c r="D2137">
        <v>122</v>
      </c>
      <c r="E2137" t="s">
        <v>8</v>
      </c>
      <c r="F2137" t="s">
        <v>13</v>
      </c>
      <c r="G2137" t="s">
        <v>14</v>
      </c>
      <c r="H2137">
        <v>0</v>
      </c>
    </row>
    <row r="2138" spans="1:8" x14ac:dyDescent="0.35">
      <c r="A2138">
        <v>17411</v>
      </c>
      <c r="B2138" t="s">
        <v>7</v>
      </c>
      <c r="C2138">
        <v>4</v>
      </c>
      <c r="D2138">
        <v>147</v>
      </c>
      <c r="E2138" t="s">
        <v>8</v>
      </c>
      <c r="F2138" t="s">
        <v>13</v>
      </c>
      <c r="G2138" t="s">
        <v>10</v>
      </c>
      <c r="H2138">
        <v>0</v>
      </c>
    </row>
    <row r="2139" spans="1:8" x14ac:dyDescent="0.35">
      <c r="A2139">
        <v>13890</v>
      </c>
      <c r="B2139" t="s">
        <v>11</v>
      </c>
      <c r="C2139">
        <v>13</v>
      </c>
      <c r="D2139">
        <v>275</v>
      </c>
      <c r="E2139" t="s">
        <v>8</v>
      </c>
      <c r="F2139" t="s">
        <v>13</v>
      </c>
      <c r="G2139" t="s">
        <v>12</v>
      </c>
      <c r="H2139">
        <v>0</v>
      </c>
    </row>
    <row r="2140" spans="1:8" x14ac:dyDescent="0.35">
      <c r="A2140">
        <v>19367</v>
      </c>
      <c r="B2140" t="s">
        <v>7</v>
      </c>
      <c r="C2140">
        <v>1</v>
      </c>
      <c r="D2140">
        <v>287</v>
      </c>
      <c r="E2140" t="s">
        <v>8</v>
      </c>
      <c r="F2140" t="s">
        <v>13</v>
      </c>
      <c r="G2140" t="s">
        <v>16</v>
      </c>
      <c r="H2140">
        <v>0</v>
      </c>
    </row>
    <row r="2141" spans="1:8" x14ac:dyDescent="0.35">
      <c r="A2141">
        <v>11257</v>
      </c>
      <c r="B2141" t="s">
        <v>11</v>
      </c>
      <c r="C2141">
        <v>13</v>
      </c>
      <c r="D2141">
        <v>164</v>
      </c>
      <c r="E2141" t="s">
        <v>8</v>
      </c>
      <c r="F2141" t="s">
        <v>13</v>
      </c>
      <c r="G2141" t="s">
        <v>12</v>
      </c>
      <c r="H2141">
        <v>0</v>
      </c>
    </row>
    <row r="2142" spans="1:8" x14ac:dyDescent="0.35">
      <c r="A2142">
        <v>10217</v>
      </c>
      <c r="B2142" t="s">
        <v>11</v>
      </c>
      <c r="C2142">
        <v>2</v>
      </c>
      <c r="D2142">
        <v>187</v>
      </c>
      <c r="E2142" t="s">
        <v>8</v>
      </c>
      <c r="F2142" t="s">
        <v>9</v>
      </c>
      <c r="G2142" t="s">
        <v>10</v>
      </c>
      <c r="H2142">
        <v>0</v>
      </c>
    </row>
    <row r="2143" spans="1:8" x14ac:dyDescent="0.35">
      <c r="A2143">
        <v>15844</v>
      </c>
      <c r="B2143" t="s">
        <v>7</v>
      </c>
      <c r="C2143">
        <v>10</v>
      </c>
      <c r="D2143">
        <v>222</v>
      </c>
      <c r="E2143" t="s">
        <v>15</v>
      </c>
      <c r="F2143" t="s">
        <v>13</v>
      </c>
      <c r="G2143" t="s">
        <v>10</v>
      </c>
      <c r="H2143">
        <v>1</v>
      </c>
    </row>
    <row r="2144" spans="1:8" x14ac:dyDescent="0.35">
      <c r="A2144">
        <v>16006</v>
      </c>
      <c r="B2144" t="s">
        <v>7</v>
      </c>
      <c r="C2144">
        <v>4</v>
      </c>
      <c r="D2144">
        <v>417</v>
      </c>
      <c r="E2144" t="s">
        <v>8</v>
      </c>
      <c r="F2144" t="s">
        <v>13</v>
      </c>
      <c r="G2144" t="s">
        <v>14</v>
      </c>
      <c r="H2144">
        <v>0</v>
      </c>
    </row>
    <row r="2145" spans="1:8" x14ac:dyDescent="0.35">
      <c r="A2145">
        <v>14888</v>
      </c>
      <c r="B2145" t="s">
        <v>11</v>
      </c>
      <c r="C2145">
        <v>1</v>
      </c>
      <c r="D2145">
        <v>260</v>
      </c>
      <c r="E2145" t="s">
        <v>8</v>
      </c>
      <c r="F2145" t="s">
        <v>13</v>
      </c>
      <c r="G2145" t="s">
        <v>14</v>
      </c>
      <c r="H2145">
        <v>0</v>
      </c>
    </row>
    <row r="2146" spans="1:8" x14ac:dyDescent="0.35">
      <c r="A2146">
        <v>16055</v>
      </c>
      <c r="B2146" t="s">
        <v>11</v>
      </c>
      <c r="C2146">
        <v>10</v>
      </c>
      <c r="D2146">
        <v>236</v>
      </c>
      <c r="E2146" t="s">
        <v>8</v>
      </c>
      <c r="F2146" t="s">
        <v>9</v>
      </c>
      <c r="G2146" t="s">
        <v>16</v>
      </c>
      <c r="H2146">
        <v>0</v>
      </c>
    </row>
    <row r="2147" spans="1:8" x14ac:dyDescent="0.35">
      <c r="A2147">
        <v>11826</v>
      </c>
      <c r="B2147" t="s">
        <v>7</v>
      </c>
      <c r="C2147">
        <v>1</v>
      </c>
      <c r="D2147">
        <v>166</v>
      </c>
      <c r="E2147" t="s">
        <v>8</v>
      </c>
      <c r="F2147" t="s">
        <v>9</v>
      </c>
      <c r="G2147" t="s">
        <v>10</v>
      </c>
      <c r="H2147">
        <v>0</v>
      </c>
    </row>
    <row r="2148" spans="1:8" x14ac:dyDescent="0.35">
      <c r="A2148">
        <v>15181</v>
      </c>
      <c r="B2148" t="s">
        <v>11</v>
      </c>
      <c r="C2148">
        <v>3</v>
      </c>
      <c r="D2148">
        <v>391</v>
      </c>
      <c r="E2148" t="s">
        <v>8</v>
      </c>
      <c r="F2148" t="s">
        <v>13</v>
      </c>
      <c r="G2148" t="s">
        <v>10</v>
      </c>
      <c r="H2148">
        <v>0</v>
      </c>
    </row>
    <row r="2149" spans="1:8" x14ac:dyDescent="0.35">
      <c r="A2149">
        <v>13593</v>
      </c>
      <c r="B2149" t="s">
        <v>7</v>
      </c>
      <c r="C2149">
        <v>14</v>
      </c>
      <c r="D2149">
        <v>394</v>
      </c>
      <c r="E2149" t="s">
        <v>8</v>
      </c>
      <c r="F2149" t="s">
        <v>9</v>
      </c>
      <c r="G2149" t="s">
        <v>14</v>
      </c>
      <c r="H2149">
        <v>0</v>
      </c>
    </row>
    <row r="2150" spans="1:8" x14ac:dyDescent="0.35">
      <c r="A2150">
        <v>13987</v>
      </c>
      <c r="B2150" t="s">
        <v>11</v>
      </c>
      <c r="C2150">
        <v>4</v>
      </c>
      <c r="D2150">
        <v>134</v>
      </c>
      <c r="E2150" t="s">
        <v>8</v>
      </c>
      <c r="F2150" t="s">
        <v>13</v>
      </c>
      <c r="G2150" t="s">
        <v>10</v>
      </c>
      <c r="H2150">
        <v>0</v>
      </c>
    </row>
    <row r="2151" spans="1:8" x14ac:dyDescent="0.35">
      <c r="A2151">
        <v>19874</v>
      </c>
      <c r="B2151" t="s">
        <v>7</v>
      </c>
      <c r="C2151">
        <v>2</v>
      </c>
      <c r="D2151">
        <v>447</v>
      </c>
      <c r="E2151" t="s">
        <v>8</v>
      </c>
      <c r="F2151" t="s">
        <v>13</v>
      </c>
      <c r="G2151" t="s">
        <v>16</v>
      </c>
      <c r="H2151">
        <v>0</v>
      </c>
    </row>
    <row r="2152" spans="1:8" x14ac:dyDescent="0.35">
      <c r="A2152">
        <v>17535</v>
      </c>
      <c r="B2152" t="s">
        <v>7</v>
      </c>
      <c r="C2152">
        <v>3</v>
      </c>
      <c r="D2152">
        <v>243</v>
      </c>
      <c r="E2152" t="s">
        <v>8</v>
      </c>
      <c r="F2152" t="s">
        <v>9</v>
      </c>
      <c r="G2152" t="s">
        <v>16</v>
      </c>
      <c r="H2152">
        <v>0</v>
      </c>
    </row>
    <row r="2153" spans="1:8" x14ac:dyDescent="0.35">
      <c r="A2153">
        <v>16128</v>
      </c>
      <c r="B2153" t="s">
        <v>11</v>
      </c>
      <c r="C2153">
        <v>2</v>
      </c>
      <c r="D2153">
        <v>67</v>
      </c>
      <c r="E2153" t="s">
        <v>8</v>
      </c>
      <c r="F2153" t="s">
        <v>13</v>
      </c>
      <c r="G2153" t="s">
        <v>16</v>
      </c>
      <c r="H2153">
        <v>0</v>
      </c>
    </row>
    <row r="2154" spans="1:8" x14ac:dyDescent="0.35">
      <c r="A2154">
        <v>12309</v>
      </c>
      <c r="B2154" t="s">
        <v>11</v>
      </c>
      <c r="C2154">
        <v>6</v>
      </c>
      <c r="D2154">
        <v>211</v>
      </c>
      <c r="E2154" t="s">
        <v>8</v>
      </c>
      <c r="F2154" t="s">
        <v>13</v>
      </c>
      <c r="G2154" t="s">
        <v>10</v>
      </c>
      <c r="H2154">
        <v>0</v>
      </c>
    </row>
    <row r="2155" spans="1:8" x14ac:dyDescent="0.35">
      <c r="A2155">
        <v>11628</v>
      </c>
      <c r="B2155" t="s">
        <v>7</v>
      </c>
      <c r="C2155">
        <v>12</v>
      </c>
      <c r="D2155">
        <v>52</v>
      </c>
      <c r="E2155" t="s">
        <v>8</v>
      </c>
      <c r="F2155" t="s">
        <v>9</v>
      </c>
      <c r="G2155" t="s">
        <v>10</v>
      </c>
      <c r="H2155">
        <v>0</v>
      </c>
    </row>
    <row r="2156" spans="1:8" x14ac:dyDescent="0.35">
      <c r="A2156">
        <v>13187</v>
      </c>
      <c r="B2156" t="s">
        <v>11</v>
      </c>
      <c r="C2156">
        <v>13</v>
      </c>
      <c r="D2156">
        <v>151</v>
      </c>
      <c r="E2156" t="s">
        <v>8</v>
      </c>
      <c r="F2156" t="s">
        <v>13</v>
      </c>
      <c r="G2156" t="s">
        <v>14</v>
      </c>
      <c r="H2156">
        <v>0</v>
      </c>
    </row>
    <row r="2157" spans="1:8" x14ac:dyDescent="0.35">
      <c r="A2157">
        <v>14807</v>
      </c>
      <c r="B2157" t="s">
        <v>7</v>
      </c>
      <c r="C2157">
        <v>5</v>
      </c>
      <c r="D2157">
        <v>445</v>
      </c>
      <c r="E2157" t="s">
        <v>8</v>
      </c>
      <c r="F2157" t="s">
        <v>13</v>
      </c>
      <c r="G2157" t="s">
        <v>16</v>
      </c>
      <c r="H2157">
        <v>0</v>
      </c>
    </row>
    <row r="2158" spans="1:8" x14ac:dyDescent="0.35">
      <c r="A2158">
        <v>15263</v>
      </c>
      <c r="B2158" t="s">
        <v>7</v>
      </c>
      <c r="C2158">
        <v>2</v>
      </c>
      <c r="D2158">
        <v>226</v>
      </c>
      <c r="E2158" t="s">
        <v>8</v>
      </c>
      <c r="F2158" t="s">
        <v>13</v>
      </c>
      <c r="G2158" t="s">
        <v>12</v>
      </c>
      <c r="H2158">
        <v>0</v>
      </c>
    </row>
    <row r="2159" spans="1:8" x14ac:dyDescent="0.35">
      <c r="A2159">
        <v>10424</v>
      </c>
      <c r="B2159" t="s">
        <v>7</v>
      </c>
      <c r="C2159">
        <v>2</v>
      </c>
      <c r="D2159">
        <v>315</v>
      </c>
      <c r="E2159" t="s">
        <v>8</v>
      </c>
      <c r="F2159" t="s">
        <v>9</v>
      </c>
      <c r="G2159" t="s">
        <v>10</v>
      </c>
      <c r="H2159">
        <v>0</v>
      </c>
    </row>
    <row r="2160" spans="1:8" x14ac:dyDescent="0.35">
      <c r="A2160">
        <v>19745</v>
      </c>
      <c r="B2160" t="s">
        <v>11</v>
      </c>
      <c r="C2160">
        <v>10</v>
      </c>
      <c r="D2160">
        <v>177</v>
      </c>
      <c r="E2160" t="s">
        <v>8</v>
      </c>
      <c r="F2160" t="s">
        <v>9</v>
      </c>
      <c r="G2160" t="s">
        <v>10</v>
      </c>
      <c r="H2160">
        <v>0</v>
      </c>
    </row>
    <row r="2161" spans="1:8" x14ac:dyDescent="0.35">
      <c r="A2161">
        <v>12758</v>
      </c>
      <c r="B2161" t="s">
        <v>11</v>
      </c>
      <c r="C2161">
        <v>1</v>
      </c>
      <c r="D2161">
        <v>64</v>
      </c>
      <c r="E2161" t="s">
        <v>8</v>
      </c>
      <c r="F2161" t="s">
        <v>9</v>
      </c>
      <c r="G2161" t="s">
        <v>16</v>
      </c>
      <c r="H2161">
        <v>0</v>
      </c>
    </row>
    <row r="2162" spans="1:8" x14ac:dyDescent="0.35">
      <c r="A2162">
        <v>14904</v>
      </c>
      <c r="B2162" t="s">
        <v>7</v>
      </c>
      <c r="C2162">
        <v>12</v>
      </c>
      <c r="D2162">
        <v>292</v>
      </c>
      <c r="E2162" t="s">
        <v>8</v>
      </c>
      <c r="F2162" t="s">
        <v>9</v>
      </c>
      <c r="G2162" t="s">
        <v>16</v>
      </c>
      <c r="H2162">
        <v>0</v>
      </c>
    </row>
    <row r="2163" spans="1:8" x14ac:dyDescent="0.35">
      <c r="A2163">
        <v>13164</v>
      </c>
      <c r="B2163" t="s">
        <v>11</v>
      </c>
      <c r="C2163">
        <v>14</v>
      </c>
      <c r="D2163">
        <v>152</v>
      </c>
      <c r="E2163" t="s">
        <v>8</v>
      </c>
      <c r="F2163" t="s">
        <v>13</v>
      </c>
      <c r="G2163" t="s">
        <v>10</v>
      </c>
      <c r="H2163">
        <v>0</v>
      </c>
    </row>
    <row r="2164" spans="1:8" x14ac:dyDescent="0.35">
      <c r="A2164">
        <v>14447</v>
      </c>
      <c r="B2164" t="s">
        <v>7</v>
      </c>
      <c r="C2164">
        <v>6</v>
      </c>
      <c r="D2164">
        <v>124</v>
      </c>
      <c r="E2164" t="s">
        <v>8</v>
      </c>
      <c r="F2164" t="s">
        <v>9</v>
      </c>
      <c r="G2164" t="s">
        <v>14</v>
      </c>
      <c r="H2164">
        <v>0</v>
      </c>
    </row>
    <row r="2165" spans="1:8" x14ac:dyDescent="0.35">
      <c r="A2165">
        <v>15837</v>
      </c>
      <c r="B2165" t="s">
        <v>11</v>
      </c>
      <c r="C2165">
        <v>4</v>
      </c>
      <c r="D2165">
        <v>399</v>
      </c>
      <c r="E2165" t="s">
        <v>8</v>
      </c>
      <c r="F2165" t="s">
        <v>9</v>
      </c>
      <c r="G2165" t="s">
        <v>12</v>
      </c>
      <c r="H2165">
        <v>0</v>
      </c>
    </row>
    <row r="2166" spans="1:8" x14ac:dyDescent="0.35">
      <c r="A2166">
        <v>11565</v>
      </c>
      <c r="B2166" t="s">
        <v>11</v>
      </c>
      <c r="C2166">
        <v>3</v>
      </c>
      <c r="D2166">
        <v>62</v>
      </c>
      <c r="E2166" t="s">
        <v>8</v>
      </c>
      <c r="F2166" t="s">
        <v>13</v>
      </c>
      <c r="G2166" t="s">
        <v>12</v>
      </c>
      <c r="H2166">
        <v>0</v>
      </c>
    </row>
    <row r="2167" spans="1:8" x14ac:dyDescent="0.35">
      <c r="A2167">
        <v>14306</v>
      </c>
      <c r="B2167" t="s">
        <v>11</v>
      </c>
      <c r="C2167">
        <v>4</v>
      </c>
      <c r="D2167">
        <v>279</v>
      </c>
      <c r="E2167" t="s">
        <v>8</v>
      </c>
      <c r="F2167" t="s">
        <v>9</v>
      </c>
      <c r="G2167" t="s">
        <v>10</v>
      </c>
      <c r="H2167">
        <v>0</v>
      </c>
    </row>
    <row r="2168" spans="1:8" x14ac:dyDescent="0.35">
      <c r="A2168">
        <v>10795</v>
      </c>
      <c r="B2168" t="s">
        <v>11</v>
      </c>
      <c r="C2168">
        <v>13</v>
      </c>
      <c r="D2168">
        <v>291</v>
      </c>
      <c r="E2168" t="s">
        <v>8</v>
      </c>
      <c r="F2168" t="s">
        <v>9</v>
      </c>
      <c r="G2168" t="s">
        <v>12</v>
      </c>
      <c r="H2168">
        <v>0</v>
      </c>
    </row>
    <row r="2169" spans="1:8" x14ac:dyDescent="0.35">
      <c r="A2169">
        <v>10429</v>
      </c>
      <c r="B2169" t="s">
        <v>7</v>
      </c>
      <c r="C2169">
        <v>4</v>
      </c>
      <c r="D2169">
        <v>112</v>
      </c>
      <c r="E2169" t="s">
        <v>8</v>
      </c>
      <c r="F2169" t="s">
        <v>13</v>
      </c>
      <c r="G2169" t="s">
        <v>14</v>
      </c>
      <c r="H2169">
        <v>0</v>
      </c>
    </row>
    <row r="2170" spans="1:8" x14ac:dyDescent="0.35">
      <c r="A2170">
        <v>13384</v>
      </c>
      <c r="B2170" t="s">
        <v>7</v>
      </c>
      <c r="C2170">
        <v>14</v>
      </c>
      <c r="D2170">
        <v>354</v>
      </c>
      <c r="E2170" t="s">
        <v>8</v>
      </c>
      <c r="F2170" t="s">
        <v>9</v>
      </c>
      <c r="G2170" t="s">
        <v>10</v>
      </c>
      <c r="H2170">
        <v>0</v>
      </c>
    </row>
    <row r="2171" spans="1:8" x14ac:dyDescent="0.35">
      <c r="A2171">
        <v>13381</v>
      </c>
      <c r="B2171" t="s">
        <v>7</v>
      </c>
      <c r="C2171">
        <v>12</v>
      </c>
      <c r="D2171">
        <v>186</v>
      </c>
      <c r="E2171" t="s">
        <v>8</v>
      </c>
      <c r="F2171" t="s">
        <v>13</v>
      </c>
      <c r="G2171" t="s">
        <v>12</v>
      </c>
      <c r="H2171">
        <v>0</v>
      </c>
    </row>
    <row r="2172" spans="1:8" x14ac:dyDescent="0.35">
      <c r="A2172">
        <v>16386</v>
      </c>
      <c r="B2172" t="s">
        <v>11</v>
      </c>
      <c r="C2172">
        <v>10</v>
      </c>
      <c r="D2172">
        <v>318</v>
      </c>
      <c r="E2172" t="s">
        <v>8</v>
      </c>
      <c r="F2172" t="s">
        <v>9</v>
      </c>
      <c r="G2172" t="s">
        <v>16</v>
      </c>
      <c r="H2172">
        <v>0</v>
      </c>
    </row>
    <row r="2173" spans="1:8" x14ac:dyDescent="0.35">
      <c r="A2173">
        <v>16627</v>
      </c>
      <c r="B2173" t="s">
        <v>7</v>
      </c>
      <c r="C2173">
        <v>6</v>
      </c>
      <c r="D2173">
        <v>85</v>
      </c>
      <c r="E2173" t="s">
        <v>15</v>
      </c>
      <c r="F2173" t="s">
        <v>13</v>
      </c>
      <c r="G2173" t="s">
        <v>10</v>
      </c>
      <c r="H2173">
        <v>1</v>
      </c>
    </row>
    <row r="2174" spans="1:8" x14ac:dyDescent="0.35">
      <c r="A2174">
        <v>18775</v>
      </c>
      <c r="B2174" t="s">
        <v>11</v>
      </c>
      <c r="C2174">
        <v>8</v>
      </c>
      <c r="D2174">
        <v>368</v>
      </c>
      <c r="E2174" t="s">
        <v>8</v>
      </c>
      <c r="F2174" t="s">
        <v>9</v>
      </c>
      <c r="G2174" t="s">
        <v>10</v>
      </c>
      <c r="H2174">
        <v>0</v>
      </c>
    </row>
    <row r="2175" spans="1:8" x14ac:dyDescent="0.35">
      <c r="A2175">
        <v>10698</v>
      </c>
      <c r="B2175" t="s">
        <v>11</v>
      </c>
      <c r="C2175">
        <v>5</v>
      </c>
      <c r="D2175">
        <v>254</v>
      </c>
      <c r="E2175" t="s">
        <v>8</v>
      </c>
      <c r="F2175" t="s">
        <v>9</v>
      </c>
      <c r="G2175" t="s">
        <v>12</v>
      </c>
      <c r="H2175">
        <v>0</v>
      </c>
    </row>
    <row r="2176" spans="1:8" x14ac:dyDescent="0.35">
      <c r="A2176">
        <v>12339</v>
      </c>
      <c r="B2176" t="s">
        <v>7</v>
      </c>
      <c r="C2176">
        <v>2</v>
      </c>
      <c r="D2176">
        <v>164</v>
      </c>
      <c r="E2176" t="s">
        <v>8</v>
      </c>
      <c r="F2176" t="s">
        <v>13</v>
      </c>
      <c r="G2176" t="s">
        <v>12</v>
      </c>
      <c r="H2176">
        <v>0</v>
      </c>
    </row>
    <row r="2177" spans="1:8" x14ac:dyDescent="0.35">
      <c r="A2177">
        <v>13661</v>
      </c>
      <c r="B2177" t="s">
        <v>7</v>
      </c>
      <c r="C2177">
        <v>6</v>
      </c>
      <c r="D2177">
        <v>448</v>
      </c>
      <c r="E2177" t="s">
        <v>8</v>
      </c>
      <c r="F2177" t="s">
        <v>9</v>
      </c>
      <c r="G2177" t="s">
        <v>14</v>
      </c>
      <c r="H2177">
        <v>0</v>
      </c>
    </row>
    <row r="2178" spans="1:8" x14ac:dyDescent="0.35">
      <c r="A2178">
        <v>19408</v>
      </c>
      <c r="B2178" t="s">
        <v>11</v>
      </c>
      <c r="C2178">
        <v>11</v>
      </c>
      <c r="D2178">
        <v>206</v>
      </c>
      <c r="E2178" t="s">
        <v>8</v>
      </c>
      <c r="F2178" t="s">
        <v>13</v>
      </c>
      <c r="G2178" t="s">
        <v>14</v>
      </c>
      <c r="H2178">
        <v>0</v>
      </c>
    </row>
    <row r="2179" spans="1:8" x14ac:dyDescent="0.35">
      <c r="A2179">
        <v>10476</v>
      </c>
      <c r="B2179" t="s">
        <v>11</v>
      </c>
      <c r="C2179">
        <v>6</v>
      </c>
      <c r="D2179">
        <v>233</v>
      </c>
      <c r="E2179" t="s">
        <v>8</v>
      </c>
      <c r="F2179" t="s">
        <v>13</v>
      </c>
      <c r="G2179" t="s">
        <v>10</v>
      </c>
      <c r="H2179">
        <v>0</v>
      </c>
    </row>
    <row r="2180" spans="1:8" x14ac:dyDescent="0.35">
      <c r="A2180">
        <v>14168</v>
      </c>
      <c r="B2180" t="s">
        <v>11</v>
      </c>
      <c r="C2180">
        <v>12</v>
      </c>
      <c r="D2180">
        <v>62</v>
      </c>
      <c r="E2180" t="s">
        <v>8</v>
      </c>
      <c r="F2180" t="s">
        <v>13</v>
      </c>
      <c r="G2180" t="s">
        <v>14</v>
      </c>
      <c r="H2180">
        <v>0</v>
      </c>
    </row>
    <row r="2181" spans="1:8" x14ac:dyDescent="0.35">
      <c r="A2181">
        <v>16154</v>
      </c>
      <c r="B2181" t="s">
        <v>7</v>
      </c>
      <c r="C2181">
        <v>9</v>
      </c>
      <c r="D2181">
        <v>393</v>
      </c>
      <c r="E2181" t="s">
        <v>8</v>
      </c>
      <c r="F2181" t="s">
        <v>13</v>
      </c>
      <c r="G2181" t="s">
        <v>10</v>
      </c>
      <c r="H2181">
        <v>0</v>
      </c>
    </row>
    <row r="2182" spans="1:8" x14ac:dyDescent="0.35">
      <c r="A2182">
        <v>12748</v>
      </c>
      <c r="B2182" t="s">
        <v>7</v>
      </c>
      <c r="C2182">
        <v>8</v>
      </c>
      <c r="D2182">
        <v>414</v>
      </c>
      <c r="E2182" t="s">
        <v>8</v>
      </c>
      <c r="F2182" t="s">
        <v>13</v>
      </c>
      <c r="G2182" t="s">
        <v>16</v>
      </c>
      <c r="H2182">
        <v>0</v>
      </c>
    </row>
    <row r="2183" spans="1:8" x14ac:dyDescent="0.35">
      <c r="A2183">
        <v>13162</v>
      </c>
      <c r="B2183" t="s">
        <v>11</v>
      </c>
      <c r="C2183">
        <v>7</v>
      </c>
      <c r="D2183">
        <v>350</v>
      </c>
      <c r="E2183" t="s">
        <v>8</v>
      </c>
      <c r="F2183" t="s">
        <v>13</v>
      </c>
      <c r="G2183" t="s">
        <v>10</v>
      </c>
      <c r="H2183">
        <v>0</v>
      </c>
    </row>
    <row r="2184" spans="1:8" x14ac:dyDescent="0.35">
      <c r="A2184">
        <v>12411</v>
      </c>
      <c r="B2184" t="s">
        <v>7</v>
      </c>
      <c r="C2184">
        <v>1</v>
      </c>
      <c r="D2184">
        <v>150</v>
      </c>
      <c r="E2184" t="s">
        <v>15</v>
      </c>
      <c r="F2184" t="s">
        <v>13</v>
      </c>
      <c r="G2184" t="s">
        <v>16</v>
      </c>
      <c r="H2184">
        <v>1</v>
      </c>
    </row>
    <row r="2185" spans="1:8" x14ac:dyDescent="0.35">
      <c r="A2185">
        <v>13425</v>
      </c>
      <c r="B2185" t="s">
        <v>7</v>
      </c>
      <c r="C2185">
        <v>14</v>
      </c>
      <c r="D2185">
        <v>398</v>
      </c>
      <c r="E2185" t="s">
        <v>8</v>
      </c>
      <c r="F2185" t="s">
        <v>13</v>
      </c>
      <c r="G2185" t="s">
        <v>12</v>
      </c>
      <c r="H2185">
        <v>0</v>
      </c>
    </row>
    <row r="2186" spans="1:8" x14ac:dyDescent="0.35">
      <c r="A2186">
        <v>10310</v>
      </c>
      <c r="B2186" t="s">
        <v>7</v>
      </c>
      <c r="C2186">
        <v>3</v>
      </c>
      <c r="D2186">
        <v>166</v>
      </c>
      <c r="E2186" t="s">
        <v>8</v>
      </c>
      <c r="F2186" t="s">
        <v>9</v>
      </c>
      <c r="G2186" t="s">
        <v>16</v>
      </c>
      <c r="H2186">
        <v>0</v>
      </c>
    </row>
    <row r="2187" spans="1:8" x14ac:dyDescent="0.35">
      <c r="A2187">
        <v>12624</v>
      </c>
      <c r="B2187" t="s">
        <v>11</v>
      </c>
      <c r="C2187">
        <v>13</v>
      </c>
      <c r="D2187">
        <v>361</v>
      </c>
      <c r="E2187" t="s">
        <v>8</v>
      </c>
      <c r="F2187" t="s">
        <v>9</v>
      </c>
      <c r="G2187" t="s">
        <v>10</v>
      </c>
      <c r="H2187">
        <v>0</v>
      </c>
    </row>
    <row r="2188" spans="1:8" x14ac:dyDescent="0.35">
      <c r="A2188">
        <v>13993</v>
      </c>
      <c r="B2188" t="s">
        <v>7</v>
      </c>
      <c r="C2188">
        <v>8</v>
      </c>
      <c r="D2188">
        <v>317</v>
      </c>
      <c r="E2188" t="s">
        <v>8</v>
      </c>
      <c r="F2188" t="s">
        <v>13</v>
      </c>
      <c r="G2188" t="s">
        <v>16</v>
      </c>
      <c r="H2188">
        <v>0</v>
      </c>
    </row>
    <row r="2189" spans="1:8" x14ac:dyDescent="0.35">
      <c r="A2189">
        <v>18572</v>
      </c>
      <c r="B2189" t="s">
        <v>7</v>
      </c>
      <c r="C2189">
        <v>12</v>
      </c>
      <c r="D2189">
        <v>90</v>
      </c>
      <c r="E2189" t="s">
        <v>15</v>
      </c>
      <c r="F2189" t="s">
        <v>13</v>
      </c>
      <c r="G2189" t="s">
        <v>10</v>
      </c>
      <c r="H2189">
        <v>1</v>
      </c>
    </row>
    <row r="2190" spans="1:8" x14ac:dyDescent="0.35">
      <c r="A2190">
        <v>12586</v>
      </c>
      <c r="B2190" t="s">
        <v>7</v>
      </c>
      <c r="C2190">
        <v>12</v>
      </c>
      <c r="D2190">
        <v>114</v>
      </c>
      <c r="E2190" t="s">
        <v>8</v>
      </c>
      <c r="F2190" t="s">
        <v>9</v>
      </c>
      <c r="G2190" t="s">
        <v>14</v>
      </c>
      <c r="H2190">
        <v>0</v>
      </c>
    </row>
    <row r="2191" spans="1:8" x14ac:dyDescent="0.35">
      <c r="A2191">
        <v>10938</v>
      </c>
      <c r="B2191" t="s">
        <v>7</v>
      </c>
      <c r="C2191">
        <v>14</v>
      </c>
      <c r="D2191">
        <v>380</v>
      </c>
      <c r="E2191" t="s">
        <v>8</v>
      </c>
      <c r="F2191" t="s">
        <v>9</v>
      </c>
      <c r="G2191" t="s">
        <v>16</v>
      </c>
      <c r="H2191">
        <v>0</v>
      </c>
    </row>
    <row r="2192" spans="1:8" x14ac:dyDescent="0.35">
      <c r="A2192">
        <v>17575</v>
      </c>
      <c r="B2192" t="s">
        <v>7</v>
      </c>
      <c r="C2192">
        <v>5</v>
      </c>
      <c r="D2192">
        <v>331</v>
      </c>
      <c r="E2192" t="s">
        <v>15</v>
      </c>
      <c r="F2192" t="s">
        <v>9</v>
      </c>
      <c r="G2192" t="s">
        <v>14</v>
      </c>
      <c r="H2192">
        <v>1</v>
      </c>
    </row>
    <row r="2193" spans="1:8" x14ac:dyDescent="0.35">
      <c r="A2193">
        <v>14521</v>
      </c>
      <c r="B2193" t="s">
        <v>11</v>
      </c>
      <c r="C2193">
        <v>1</v>
      </c>
      <c r="D2193">
        <v>92</v>
      </c>
      <c r="E2193" t="s">
        <v>8</v>
      </c>
      <c r="F2193" t="s">
        <v>13</v>
      </c>
      <c r="G2193" t="s">
        <v>10</v>
      </c>
      <c r="H2193">
        <v>0</v>
      </c>
    </row>
    <row r="2194" spans="1:8" x14ac:dyDescent="0.35">
      <c r="A2194">
        <v>13307</v>
      </c>
      <c r="B2194" t="s">
        <v>7</v>
      </c>
      <c r="C2194">
        <v>5</v>
      </c>
      <c r="D2194">
        <v>127</v>
      </c>
      <c r="E2194" t="s">
        <v>8</v>
      </c>
      <c r="F2194" t="s">
        <v>9</v>
      </c>
      <c r="G2194" t="s">
        <v>16</v>
      </c>
      <c r="H2194">
        <v>0</v>
      </c>
    </row>
    <row r="2195" spans="1:8" x14ac:dyDescent="0.35">
      <c r="A2195">
        <v>15418</v>
      </c>
      <c r="B2195" t="s">
        <v>7</v>
      </c>
      <c r="C2195">
        <v>4</v>
      </c>
      <c r="D2195">
        <v>256</v>
      </c>
      <c r="E2195" t="s">
        <v>8</v>
      </c>
      <c r="F2195" t="s">
        <v>13</v>
      </c>
      <c r="G2195" t="s">
        <v>16</v>
      </c>
      <c r="H2195">
        <v>0</v>
      </c>
    </row>
    <row r="2196" spans="1:8" x14ac:dyDescent="0.35">
      <c r="A2196">
        <v>11780</v>
      </c>
      <c r="B2196" t="s">
        <v>11</v>
      </c>
      <c r="C2196">
        <v>10</v>
      </c>
      <c r="D2196">
        <v>356</v>
      </c>
      <c r="E2196" t="s">
        <v>8</v>
      </c>
      <c r="F2196" t="s">
        <v>13</v>
      </c>
      <c r="G2196" t="s">
        <v>12</v>
      </c>
      <c r="H2196">
        <v>0</v>
      </c>
    </row>
    <row r="2197" spans="1:8" x14ac:dyDescent="0.35">
      <c r="A2197">
        <v>13123</v>
      </c>
      <c r="B2197" t="s">
        <v>7</v>
      </c>
      <c r="C2197">
        <v>3</v>
      </c>
      <c r="D2197">
        <v>252</v>
      </c>
      <c r="E2197" t="s">
        <v>8</v>
      </c>
      <c r="F2197" t="s">
        <v>9</v>
      </c>
      <c r="G2197" t="s">
        <v>10</v>
      </c>
      <c r="H2197">
        <v>0</v>
      </c>
    </row>
    <row r="2198" spans="1:8" x14ac:dyDescent="0.35">
      <c r="A2198">
        <v>15039</v>
      </c>
      <c r="B2198" t="s">
        <v>11</v>
      </c>
      <c r="C2198">
        <v>3</v>
      </c>
      <c r="D2198">
        <v>301</v>
      </c>
      <c r="E2198" t="s">
        <v>8</v>
      </c>
      <c r="F2198" t="s">
        <v>9</v>
      </c>
      <c r="G2198" t="s">
        <v>12</v>
      </c>
      <c r="H2198">
        <v>0</v>
      </c>
    </row>
    <row r="2199" spans="1:8" x14ac:dyDescent="0.35">
      <c r="A2199">
        <v>11355</v>
      </c>
      <c r="B2199" t="s">
        <v>11</v>
      </c>
      <c r="C2199">
        <v>9</v>
      </c>
      <c r="D2199">
        <v>374</v>
      </c>
      <c r="E2199" t="s">
        <v>8</v>
      </c>
      <c r="F2199" t="s">
        <v>13</v>
      </c>
      <c r="G2199" t="s">
        <v>10</v>
      </c>
      <c r="H2199">
        <v>0</v>
      </c>
    </row>
    <row r="2200" spans="1:8" x14ac:dyDescent="0.35">
      <c r="A2200">
        <v>11740</v>
      </c>
      <c r="B2200" t="s">
        <v>11</v>
      </c>
      <c r="C2200">
        <v>14</v>
      </c>
      <c r="D2200">
        <v>137</v>
      </c>
      <c r="E2200" t="s">
        <v>8</v>
      </c>
      <c r="F2200" t="s">
        <v>13</v>
      </c>
      <c r="G2200" t="s">
        <v>12</v>
      </c>
      <c r="H2200">
        <v>0</v>
      </c>
    </row>
    <row r="2201" spans="1:8" x14ac:dyDescent="0.35">
      <c r="A2201">
        <v>17232</v>
      </c>
      <c r="B2201" t="s">
        <v>11</v>
      </c>
      <c r="C2201">
        <v>10</v>
      </c>
      <c r="D2201">
        <v>388</v>
      </c>
      <c r="E2201" t="s">
        <v>8</v>
      </c>
      <c r="F2201" t="s">
        <v>13</v>
      </c>
      <c r="G2201" t="s">
        <v>16</v>
      </c>
      <c r="H2201">
        <v>0</v>
      </c>
    </row>
    <row r="2202" spans="1:8" x14ac:dyDescent="0.35">
      <c r="A2202">
        <v>11527</v>
      </c>
      <c r="B2202" t="s">
        <v>7</v>
      </c>
      <c r="C2202">
        <v>7</v>
      </c>
      <c r="D2202">
        <v>368</v>
      </c>
      <c r="E2202" t="s">
        <v>8</v>
      </c>
      <c r="F2202" t="s">
        <v>9</v>
      </c>
      <c r="G2202" t="s">
        <v>16</v>
      </c>
      <c r="H2202">
        <v>0</v>
      </c>
    </row>
    <row r="2203" spans="1:8" x14ac:dyDescent="0.35">
      <c r="A2203">
        <v>10771</v>
      </c>
      <c r="B2203" t="s">
        <v>11</v>
      </c>
      <c r="C2203">
        <v>6</v>
      </c>
      <c r="D2203">
        <v>217</v>
      </c>
      <c r="E2203" t="s">
        <v>8</v>
      </c>
      <c r="F2203" t="s">
        <v>9</v>
      </c>
      <c r="G2203" t="s">
        <v>14</v>
      </c>
      <c r="H2203">
        <v>0</v>
      </c>
    </row>
    <row r="2204" spans="1:8" x14ac:dyDescent="0.35">
      <c r="A2204">
        <v>14253</v>
      </c>
      <c r="B2204" t="s">
        <v>11</v>
      </c>
      <c r="C2204">
        <v>11</v>
      </c>
      <c r="D2204">
        <v>393</v>
      </c>
      <c r="E2204" t="s">
        <v>8</v>
      </c>
      <c r="F2204" t="s">
        <v>13</v>
      </c>
      <c r="G2204" t="s">
        <v>12</v>
      </c>
      <c r="H2204">
        <v>0</v>
      </c>
    </row>
    <row r="2205" spans="1:8" x14ac:dyDescent="0.35">
      <c r="A2205">
        <v>11919</v>
      </c>
      <c r="B2205" t="s">
        <v>7</v>
      </c>
      <c r="C2205">
        <v>1</v>
      </c>
      <c r="D2205">
        <v>264</v>
      </c>
      <c r="E2205" t="s">
        <v>8</v>
      </c>
      <c r="F2205" t="s">
        <v>13</v>
      </c>
      <c r="G2205" t="s">
        <v>14</v>
      </c>
      <c r="H2205">
        <v>0</v>
      </c>
    </row>
    <row r="2206" spans="1:8" x14ac:dyDescent="0.35">
      <c r="A2206">
        <v>16599</v>
      </c>
      <c r="B2206" t="s">
        <v>11</v>
      </c>
      <c r="C2206">
        <v>7</v>
      </c>
      <c r="D2206">
        <v>382</v>
      </c>
      <c r="E2206" t="s">
        <v>8</v>
      </c>
      <c r="F2206" t="s">
        <v>9</v>
      </c>
      <c r="G2206" t="s">
        <v>14</v>
      </c>
      <c r="H2206">
        <v>0</v>
      </c>
    </row>
    <row r="2207" spans="1:8" x14ac:dyDescent="0.35">
      <c r="A2207">
        <v>14595</v>
      </c>
      <c r="B2207" t="s">
        <v>7</v>
      </c>
      <c r="C2207">
        <v>7</v>
      </c>
      <c r="D2207">
        <v>108</v>
      </c>
      <c r="E2207" t="s">
        <v>8</v>
      </c>
      <c r="F2207" t="s">
        <v>9</v>
      </c>
      <c r="G2207" t="s">
        <v>12</v>
      </c>
      <c r="H2207">
        <v>0</v>
      </c>
    </row>
    <row r="2208" spans="1:8" x14ac:dyDescent="0.35">
      <c r="A2208">
        <v>19513</v>
      </c>
      <c r="B2208" t="s">
        <v>11</v>
      </c>
      <c r="C2208">
        <v>2</v>
      </c>
      <c r="D2208">
        <v>366</v>
      </c>
      <c r="E2208" t="s">
        <v>15</v>
      </c>
      <c r="F2208" t="s">
        <v>13</v>
      </c>
      <c r="G2208" t="s">
        <v>10</v>
      </c>
      <c r="H2208">
        <v>1</v>
      </c>
    </row>
    <row r="2209" spans="1:8" x14ac:dyDescent="0.35">
      <c r="A2209">
        <v>12655</v>
      </c>
      <c r="B2209" t="s">
        <v>11</v>
      </c>
      <c r="C2209">
        <v>9</v>
      </c>
      <c r="D2209">
        <v>347</v>
      </c>
      <c r="E2209" t="s">
        <v>8</v>
      </c>
      <c r="F2209" t="s">
        <v>9</v>
      </c>
      <c r="G2209" t="s">
        <v>10</v>
      </c>
      <c r="H2209">
        <v>0</v>
      </c>
    </row>
    <row r="2210" spans="1:8" x14ac:dyDescent="0.35">
      <c r="A2210">
        <v>12399</v>
      </c>
      <c r="B2210" t="s">
        <v>7</v>
      </c>
      <c r="C2210">
        <v>2</v>
      </c>
      <c r="D2210">
        <v>204</v>
      </c>
      <c r="E2210" t="s">
        <v>8</v>
      </c>
      <c r="F2210" t="s">
        <v>13</v>
      </c>
      <c r="G2210" t="s">
        <v>10</v>
      </c>
      <c r="H2210">
        <v>0</v>
      </c>
    </row>
    <row r="2211" spans="1:8" x14ac:dyDescent="0.35">
      <c r="A2211">
        <v>10433</v>
      </c>
      <c r="B2211" t="s">
        <v>11</v>
      </c>
      <c r="C2211">
        <v>1</v>
      </c>
      <c r="D2211">
        <v>243</v>
      </c>
      <c r="E2211" t="s">
        <v>8</v>
      </c>
      <c r="F2211" t="s">
        <v>9</v>
      </c>
      <c r="G2211" t="s">
        <v>14</v>
      </c>
      <c r="H2211">
        <v>0</v>
      </c>
    </row>
    <row r="2212" spans="1:8" x14ac:dyDescent="0.35">
      <c r="A2212">
        <v>13794</v>
      </c>
      <c r="B2212" t="s">
        <v>11</v>
      </c>
      <c r="C2212">
        <v>8</v>
      </c>
      <c r="D2212">
        <v>60</v>
      </c>
      <c r="E2212" t="s">
        <v>8</v>
      </c>
      <c r="F2212" t="s">
        <v>13</v>
      </c>
      <c r="G2212" t="s">
        <v>14</v>
      </c>
      <c r="H2212">
        <v>0</v>
      </c>
    </row>
    <row r="2213" spans="1:8" x14ac:dyDescent="0.35">
      <c r="A2213">
        <v>14725</v>
      </c>
      <c r="B2213" t="s">
        <v>11</v>
      </c>
      <c r="C2213">
        <v>10</v>
      </c>
      <c r="D2213">
        <v>243</v>
      </c>
      <c r="E2213" t="s">
        <v>8</v>
      </c>
      <c r="F2213" t="s">
        <v>13</v>
      </c>
      <c r="G2213" t="s">
        <v>16</v>
      </c>
      <c r="H2213">
        <v>0</v>
      </c>
    </row>
    <row r="2214" spans="1:8" x14ac:dyDescent="0.35">
      <c r="A2214">
        <v>14107</v>
      </c>
      <c r="B2214" t="s">
        <v>7</v>
      </c>
      <c r="C2214">
        <v>13</v>
      </c>
      <c r="D2214">
        <v>127</v>
      </c>
      <c r="E2214" t="s">
        <v>8</v>
      </c>
      <c r="F2214" t="s">
        <v>9</v>
      </c>
      <c r="G2214" t="s">
        <v>14</v>
      </c>
      <c r="H2214">
        <v>0</v>
      </c>
    </row>
    <row r="2215" spans="1:8" x14ac:dyDescent="0.35">
      <c r="A2215">
        <v>14665</v>
      </c>
      <c r="B2215" t="s">
        <v>7</v>
      </c>
      <c r="C2215">
        <v>9</v>
      </c>
      <c r="D2215">
        <v>245</v>
      </c>
      <c r="E2215" t="s">
        <v>8</v>
      </c>
      <c r="F2215" t="s">
        <v>9</v>
      </c>
      <c r="G2215" t="s">
        <v>12</v>
      </c>
      <c r="H2215">
        <v>0</v>
      </c>
    </row>
    <row r="2216" spans="1:8" x14ac:dyDescent="0.35">
      <c r="A2216">
        <v>15830</v>
      </c>
      <c r="B2216" t="s">
        <v>11</v>
      </c>
      <c r="C2216">
        <v>11</v>
      </c>
      <c r="D2216">
        <v>347</v>
      </c>
      <c r="E2216" t="s">
        <v>8</v>
      </c>
      <c r="F2216" t="s">
        <v>9</v>
      </c>
      <c r="G2216" t="s">
        <v>12</v>
      </c>
      <c r="H2216">
        <v>0</v>
      </c>
    </row>
    <row r="2217" spans="1:8" x14ac:dyDescent="0.35">
      <c r="A2217">
        <v>18181</v>
      </c>
      <c r="B2217" t="s">
        <v>7</v>
      </c>
      <c r="C2217">
        <v>3</v>
      </c>
      <c r="D2217">
        <v>351</v>
      </c>
      <c r="E2217" t="s">
        <v>15</v>
      </c>
      <c r="F2217" t="s">
        <v>9</v>
      </c>
      <c r="G2217" t="s">
        <v>14</v>
      </c>
      <c r="H2217">
        <v>1</v>
      </c>
    </row>
    <row r="2218" spans="1:8" x14ac:dyDescent="0.35">
      <c r="A2218">
        <v>19402</v>
      </c>
      <c r="B2218" t="s">
        <v>7</v>
      </c>
      <c r="C2218">
        <v>14</v>
      </c>
      <c r="D2218">
        <v>190</v>
      </c>
      <c r="E2218" t="s">
        <v>8</v>
      </c>
      <c r="F2218" t="s">
        <v>9</v>
      </c>
      <c r="G2218" t="s">
        <v>10</v>
      </c>
      <c r="H2218">
        <v>0</v>
      </c>
    </row>
    <row r="2219" spans="1:8" x14ac:dyDescent="0.35">
      <c r="A2219">
        <v>19216</v>
      </c>
      <c r="B2219" t="s">
        <v>7</v>
      </c>
      <c r="C2219">
        <v>14</v>
      </c>
      <c r="D2219">
        <v>301</v>
      </c>
      <c r="E2219" t="s">
        <v>15</v>
      </c>
      <c r="F2219" t="s">
        <v>9</v>
      </c>
      <c r="G2219" t="s">
        <v>10</v>
      </c>
      <c r="H2219">
        <v>1</v>
      </c>
    </row>
    <row r="2220" spans="1:8" x14ac:dyDescent="0.35">
      <c r="A2220">
        <v>15899</v>
      </c>
      <c r="B2220" t="s">
        <v>7</v>
      </c>
      <c r="C2220">
        <v>1</v>
      </c>
      <c r="D2220">
        <v>335</v>
      </c>
      <c r="E2220" t="s">
        <v>15</v>
      </c>
      <c r="F2220" t="s">
        <v>9</v>
      </c>
      <c r="G2220" t="s">
        <v>12</v>
      </c>
      <c r="H2220">
        <v>1</v>
      </c>
    </row>
    <row r="2221" spans="1:8" x14ac:dyDescent="0.35">
      <c r="A2221">
        <v>12940</v>
      </c>
      <c r="B2221" t="s">
        <v>11</v>
      </c>
      <c r="C2221">
        <v>1</v>
      </c>
      <c r="D2221">
        <v>439</v>
      </c>
      <c r="E2221" t="s">
        <v>8</v>
      </c>
      <c r="F2221" t="s">
        <v>13</v>
      </c>
      <c r="G2221" t="s">
        <v>12</v>
      </c>
      <c r="H2221">
        <v>0</v>
      </c>
    </row>
    <row r="2222" spans="1:8" x14ac:dyDescent="0.35">
      <c r="A2222">
        <v>13605</v>
      </c>
      <c r="B2222" t="s">
        <v>7</v>
      </c>
      <c r="C2222">
        <v>8</v>
      </c>
      <c r="D2222">
        <v>347</v>
      </c>
      <c r="E2222" t="s">
        <v>15</v>
      </c>
      <c r="F2222" t="s">
        <v>13</v>
      </c>
      <c r="G2222" t="s">
        <v>16</v>
      </c>
      <c r="H2222">
        <v>1</v>
      </c>
    </row>
    <row r="2223" spans="1:8" x14ac:dyDescent="0.35">
      <c r="A2223">
        <v>15150</v>
      </c>
      <c r="B2223" t="s">
        <v>11</v>
      </c>
      <c r="C2223">
        <v>10</v>
      </c>
      <c r="D2223">
        <v>404</v>
      </c>
      <c r="E2223" t="s">
        <v>8</v>
      </c>
      <c r="F2223" t="s">
        <v>13</v>
      </c>
      <c r="G2223" t="s">
        <v>14</v>
      </c>
      <c r="H2223">
        <v>0</v>
      </c>
    </row>
    <row r="2224" spans="1:8" x14ac:dyDescent="0.35">
      <c r="A2224">
        <v>18876</v>
      </c>
      <c r="B2224" t="s">
        <v>7</v>
      </c>
      <c r="C2224">
        <v>11</v>
      </c>
      <c r="D2224">
        <v>66</v>
      </c>
      <c r="E2224" t="s">
        <v>8</v>
      </c>
      <c r="F2224" t="s">
        <v>9</v>
      </c>
      <c r="G2224" t="s">
        <v>12</v>
      </c>
      <c r="H2224">
        <v>0</v>
      </c>
    </row>
    <row r="2225" spans="1:8" x14ac:dyDescent="0.35">
      <c r="A2225">
        <v>18274</v>
      </c>
      <c r="B2225" t="s">
        <v>7</v>
      </c>
      <c r="C2225">
        <v>13</v>
      </c>
      <c r="D2225">
        <v>81</v>
      </c>
      <c r="E2225" t="s">
        <v>8</v>
      </c>
      <c r="F2225" t="s">
        <v>9</v>
      </c>
      <c r="G2225" t="s">
        <v>16</v>
      </c>
      <c r="H2225">
        <v>0</v>
      </c>
    </row>
    <row r="2226" spans="1:8" x14ac:dyDescent="0.35">
      <c r="A2226">
        <v>15642</v>
      </c>
      <c r="B2226" t="s">
        <v>11</v>
      </c>
      <c r="C2226">
        <v>13</v>
      </c>
      <c r="D2226">
        <v>186</v>
      </c>
      <c r="E2226" t="s">
        <v>8</v>
      </c>
      <c r="F2226" t="s">
        <v>13</v>
      </c>
      <c r="G2226" t="s">
        <v>14</v>
      </c>
      <c r="H2226">
        <v>0</v>
      </c>
    </row>
    <row r="2227" spans="1:8" x14ac:dyDescent="0.35">
      <c r="A2227">
        <v>18290</v>
      </c>
      <c r="B2227" t="s">
        <v>11</v>
      </c>
      <c r="C2227">
        <v>10</v>
      </c>
      <c r="D2227">
        <v>84</v>
      </c>
      <c r="E2227" t="s">
        <v>8</v>
      </c>
      <c r="F2227" t="s">
        <v>13</v>
      </c>
      <c r="G2227" t="s">
        <v>12</v>
      </c>
      <c r="H2227">
        <v>0</v>
      </c>
    </row>
    <row r="2228" spans="1:8" x14ac:dyDescent="0.35">
      <c r="A2228">
        <v>15070</v>
      </c>
      <c r="B2228" t="s">
        <v>7</v>
      </c>
      <c r="C2228">
        <v>10</v>
      </c>
      <c r="D2228">
        <v>63</v>
      </c>
      <c r="E2228" t="s">
        <v>8</v>
      </c>
      <c r="F2228" t="s">
        <v>13</v>
      </c>
      <c r="G2228" t="s">
        <v>12</v>
      </c>
      <c r="H2228">
        <v>0</v>
      </c>
    </row>
    <row r="2229" spans="1:8" x14ac:dyDescent="0.35">
      <c r="A2229">
        <v>19031</v>
      </c>
      <c r="B2229" t="s">
        <v>7</v>
      </c>
      <c r="C2229">
        <v>5</v>
      </c>
      <c r="D2229">
        <v>217</v>
      </c>
      <c r="E2229" t="s">
        <v>8</v>
      </c>
      <c r="F2229" t="s">
        <v>9</v>
      </c>
      <c r="G2229" t="s">
        <v>12</v>
      </c>
      <c r="H2229">
        <v>0</v>
      </c>
    </row>
    <row r="2230" spans="1:8" x14ac:dyDescent="0.35">
      <c r="A2230">
        <v>13095</v>
      </c>
      <c r="B2230" t="s">
        <v>11</v>
      </c>
      <c r="C2230">
        <v>2</v>
      </c>
      <c r="D2230">
        <v>398</v>
      </c>
      <c r="E2230" t="s">
        <v>8</v>
      </c>
      <c r="F2230" t="s">
        <v>13</v>
      </c>
      <c r="G2230" t="s">
        <v>14</v>
      </c>
      <c r="H2230">
        <v>0</v>
      </c>
    </row>
    <row r="2231" spans="1:8" x14ac:dyDescent="0.35">
      <c r="A2231">
        <v>15781</v>
      </c>
      <c r="B2231" t="s">
        <v>7</v>
      </c>
      <c r="C2231">
        <v>11</v>
      </c>
      <c r="D2231">
        <v>261</v>
      </c>
      <c r="E2231" t="s">
        <v>8</v>
      </c>
      <c r="F2231" t="s">
        <v>9</v>
      </c>
      <c r="G2231" t="s">
        <v>10</v>
      </c>
      <c r="H2231">
        <v>0</v>
      </c>
    </row>
    <row r="2232" spans="1:8" x14ac:dyDescent="0.35">
      <c r="A2232">
        <v>19456</v>
      </c>
      <c r="B2232" t="s">
        <v>11</v>
      </c>
      <c r="C2232">
        <v>4</v>
      </c>
      <c r="D2232">
        <v>223</v>
      </c>
      <c r="E2232" t="s">
        <v>8</v>
      </c>
      <c r="F2232" t="s">
        <v>9</v>
      </c>
      <c r="G2232" t="s">
        <v>10</v>
      </c>
      <c r="H2232">
        <v>0</v>
      </c>
    </row>
    <row r="2233" spans="1:8" x14ac:dyDescent="0.35">
      <c r="A2233">
        <v>15054</v>
      </c>
      <c r="B2233" t="s">
        <v>7</v>
      </c>
      <c r="C2233">
        <v>2</v>
      </c>
      <c r="D2233">
        <v>81</v>
      </c>
      <c r="E2233" t="s">
        <v>8</v>
      </c>
      <c r="F2233" t="s">
        <v>9</v>
      </c>
      <c r="G2233" t="s">
        <v>12</v>
      </c>
      <c r="H2233">
        <v>0</v>
      </c>
    </row>
    <row r="2234" spans="1:8" x14ac:dyDescent="0.35">
      <c r="A2234">
        <v>17757</v>
      </c>
      <c r="B2234" t="s">
        <v>11</v>
      </c>
      <c r="C2234">
        <v>4</v>
      </c>
      <c r="D2234">
        <v>354</v>
      </c>
      <c r="E2234" t="s">
        <v>15</v>
      </c>
      <c r="F2234" t="s">
        <v>9</v>
      </c>
      <c r="G2234" t="s">
        <v>16</v>
      </c>
      <c r="H2234">
        <v>1</v>
      </c>
    </row>
    <row r="2235" spans="1:8" x14ac:dyDescent="0.35">
      <c r="A2235">
        <v>11691</v>
      </c>
      <c r="B2235" t="s">
        <v>11</v>
      </c>
      <c r="C2235">
        <v>12</v>
      </c>
      <c r="D2235">
        <v>160</v>
      </c>
      <c r="E2235" t="s">
        <v>8</v>
      </c>
      <c r="F2235" t="s">
        <v>13</v>
      </c>
      <c r="G2235" t="s">
        <v>14</v>
      </c>
      <c r="H2235">
        <v>0</v>
      </c>
    </row>
    <row r="2236" spans="1:8" x14ac:dyDescent="0.35">
      <c r="A2236">
        <v>17454</v>
      </c>
      <c r="B2236" t="s">
        <v>7</v>
      </c>
      <c r="C2236">
        <v>9</v>
      </c>
      <c r="D2236">
        <v>369</v>
      </c>
      <c r="E2236" t="s">
        <v>15</v>
      </c>
      <c r="F2236" t="s">
        <v>13</v>
      </c>
      <c r="G2236" t="s">
        <v>12</v>
      </c>
      <c r="H2236">
        <v>1</v>
      </c>
    </row>
    <row r="2237" spans="1:8" x14ac:dyDescent="0.35">
      <c r="A2237">
        <v>11068</v>
      </c>
      <c r="B2237" t="s">
        <v>7</v>
      </c>
      <c r="C2237">
        <v>2</v>
      </c>
      <c r="D2237">
        <v>93</v>
      </c>
      <c r="E2237" t="s">
        <v>8</v>
      </c>
      <c r="F2237" t="s">
        <v>13</v>
      </c>
      <c r="G2237" t="s">
        <v>10</v>
      </c>
      <c r="H2237">
        <v>0</v>
      </c>
    </row>
    <row r="2238" spans="1:8" x14ac:dyDescent="0.35">
      <c r="A2238">
        <v>17394</v>
      </c>
      <c r="B2238" t="s">
        <v>11</v>
      </c>
      <c r="C2238">
        <v>8</v>
      </c>
      <c r="D2238">
        <v>439</v>
      </c>
      <c r="E2238" t="s">
        <v>8</v>
      </c>
      <c r="F2238" t="s">
        <v>13</v>
      </c>
      <c r="G2238" t="s">
        <v>14</v>
      </c>
      <c r="H2238">
        <v>0</v>
      </c>
    </row>
    <row r="2239" spans="1:8" x14ac:dyDescent="0.35">
      <c r="A2239">
        <v>16941</v>
      </c>
      <c r="B2239" t="s">
        <v>11</v>
      </c>
      <c r="C2239">
        <v>4</v>
      </c>
      <c r="D2239">
        <v>222</v>
      </c>
      <c r="E2239" t="s">
        <v>8</v>
      </c>
      <c r="F2239" t="s">
        <v>13</v>
      </c>
      <c r="G2239" t="s">
        <v>10</v>
      </c>
      <c r="H2239">
        <v>0</v>
      </c>
    </row>
    <row r="2240" spans="1:8" x14ac:dyDescent="0.35">
      <c r="A2240">
        <v>12891</v>
      </c>
      <c r="B2240" t="s">
        <v>7</v>
      </c>
      <c r="C2240">
        <v>14</v>
      </c>
      <c r="D2240">
        <v>111</v>
      </c>
      <c r="E2240" t="s">
        <v>8</v>
      </c>
      <c r="F2240" t="s">
        <v>13</v>
      </c>
      <c r="G2240" t="s">
        <v>12</v>
      </c>
      <c r="H2240">
        <v>0</v>
      </c>
    </row>
    <row r="2241" spans="1:8" x14ac:dyDescent="0.35">
      <c r="A2241">
        <v>18170</v>
      </c>
      <c r="B2241" t="s">
        <v>11</v>
      </c>
      <c r="C2241">
        <v>4</v>
      </c>
      <c r="D2241">
        <v>308</v>
      </c>
      <c r="E2241" t="s">
        <v>8</v>
      </c>
      <c r="F2241" t="s">
        <v>9</v>
      </c>
      <c r="G2241" t="s">
        <v>12</v>
      </c>
      <c r="H2241">
        <v>0</v>
      </c>
    </row>
    <row r="2242" spans="1:8" x14ac:dyDescent="0.35">
      <c r="A2242">
        <v>11033</v>
      </c>
      <c r="B2242" t="s">
        <v>7</v>
      </c>
      <c r="C2242">
        <v>4</v>
      </c>
      <c r="D2242">
        <v>317</v>
      </c>
      <c r="E2242" t="s">
        <v>8</v>
      </c>
      <c r="F2242" t="s">
        <v>13</v>
      </c>
      <c r="G2242" t="s">
        <v>14</v>
      </c>
      <c r="H2242">
        <v>0</v>
      </c>
    </row>
    <row r="2243" spans="1:8" x14ac:dyDescent="0.35">
      <c r="A2243">
        <v>12963</v>
      </c>
      <c r="B2243" t="s">
        <v>7</v>
      </c>
      <c r="C2243">
        <v>3</v>
      </c>
      <c r="D2243">
        <v>395</v>
      </c>
      <c r="E2243" t="s">
        <v>8</v>
      </c>
      <c r="F2243" t="s">
        <v>9</v>
      </c>
      <c r="G2243" t="s">
        <v>16</v>
      </c>
      <c r="H2243">
        <v>0</v>
      </c>
    </row>
    <row r="2244" spans="1:8" x14ac:dyDescent="0.35">
      <c r="A2244">
        <v>13824</v>
      </c>
      <c r="B2244" t="s">
        <v>7</v>
      </c>
      <c r="C2244">
        <v>12</v>
      </c>
      <c r="D2244">
        <v>327</v>
      </c>
      <c r="E2244" t="s">
        <v>8</v>
      </c>
      <c r="F2244" t="s">
        <v>13</v>
      </c>
      <c r="G2244" t="s">
        <v>16</v>
      </c>
      <c r="H2244">
        <v>0</v>
      </c>
    </row>
    <row r="2245" spans="1:8" x14ac:dyDescent="0.35">
      <c r="A2245">
        <v>16173</v>
      </c>
      <c r="B2245" t="s">
        <v>7</v>
      </c>
      <c r="C2245">
        <v>11</v>
      </c>
      <c r="D2245">
        <v>320</v>
      </c>
      <c r="E2245" t="s">
        <v>8</v>
      </c>
      <c r="F2245" t="s">
        <v>13</v>
      </c>
      <c r="G2245" t="s">
        <v>12</v>
      </c>
      <c r="H2245">
        <v>0</v>
      </c>
    </row>
    <row r="2246" spans="1:8" x14ac:dyDescent="0.35">
      <c r="A2246">
        <v>19048</v>
      </c>
      <c r="B2246" t="s">
        <v>11</v>
      </c>
      <c r="C2246">
        <v>5</v>
      </c>
      <c r="D2246">
        <v>95</v>
      </c>
      <c r="E2246" t="s">
        <v>8</v>
      </c>
      <c r="F2246" t="s">
        <v>9</v>
      </c>
      <c r="G2246" t="s">
        <v>10</v>
      </c>
      <c r="H2246">
        <v>0</v>
      </c>
    </row>
    <row r="2247" spans="1:8" x14ac:dyDescent="0.35">
      <c r="A2247">
        <v>15462</v>
      </c>
      <c r="B2247" t="s">
        <v>11</v>
      </c>
      <c r="C2247">
        <v>7</v>
      </c>
      <c r="D2247">
        <v>304</v>
      </c>
      <c r="E2247" t="s">
        <v>8</v>
      </c>
      <c r="F2247" t="s">
        <v>9</v>
      </c>
      <c r="G2247" t="s">
        <v>16</v>
      </c>
      <c r="H2247">
        <v>0</v>
      </c>
    </row>
    <row r="2248" spans="1:8" x14ac:dyDescent="0.35">
      <c r="A2248">
        <v>15815</v>
      </c>
      <c r="B2248" t="s">
        <v>11</v>
      </c>
      <c r="C2248">
        <v>12</v>
      </c>
      <c r="D2248">
        <v>380</v>
      </c>
      <c r="E2248" t="s">
        <v>8</v>
      </c>
      <c r="F2248" t="s">
        <v>13</v>
      </c>
      <c r="G2248" t="s">
        <v>16</v>
      </c>
      <c r="H2248">
        <v>0</v>
      </c>
    </row>
    <row r="2249" spans="1:8" x14ac:dyDescent="0.35">
      <c r="A2249">
        <v>17684</v>
      </c>
      <c r="B2249" t="s">
        <v>11</v>
      </c>
      <c r="C2249">
        <v>9</v>
      </c>
      <c r="D2249">
        <v>72</v>
      </c>
      <c r="E2249" t="s">
        <v>8</v>
      </c>
      <c r="F2249" t="s">
        <v>13</v>
      </c>
      <c r="G2249" t="s">
        <v>16</v>
      </c>
      <c r="H2249">
        <v>0</v>
      </c>
    </row>
    <row r="2250" spans="1:8" x14ac:dyDescent="0.35">
      <c r="A2250">
        <v>16315</v>
      </c>
      <c r="B2250" t="s">
        <v>11</v>
      </c>
      <c r="C2250">
        <v>7</v>
      </c>
      <c r="D2250">
        <v>230</v>
      </c>
      <c r="E2250" t="s">
        <v>8</v>
      </c>
      <c r="F2250" t="s">
        <v>9</v>
      </c>
      <c r="G2250" t="s">
        <v>16</v>
      </c>
      <c r="H2250">
        <v>0</v>
      </c>
    </row>
    <row r="2251" spans="1:8" x14ac:dyDescent="0.35">
      <c r="A2251">
        <v>10371</v>
      </c>
      <c r="B2251" t="s">
        <v>7</v>
      </c>
      <c r="C2251">
        <v>10</v>
      </c>
      <c r="D2251">
        <v>91</v>
      </c>
      <c r="E2251" t="s">
        <v>8</v>
      </c>
      <c r="F2251" t="s">
        <v>13</v>
      </c>
      <c r="G2251" t="s">
        <v>10</v>
      </c>
      <c r="H2251">
        <v>0</v>
      </c>
    </row>
    <row r="2252" spans="1:8" x14ac:dyDescent="0.35">
      <c r="A2252">
        <v>14946</v>
      </c>
      <c r="B2252" t="s">
        <v>11</v>
      </c>
      <c r="C2252">
        <v>3</v>
      </c>
      <c r="D2252">
        <v>193</v>
      </c>
      <c r="E2252" t="s">
        <v>8</v>
      </c>
      <c r="F2252" t="s">
        <v>13</v>
      </c>
      <c r="G2252" t="s">
        <v>10</v>
      </c>
      <c r="H2252">
        <v>0</v>
      </c>
    </row>
    <row r="2253" spans="1:8" x14ac:dyDescent="0.35">
      <c r="A2253">
        <v>17112</v>
      </c>
      <c r="B2253" t="s">
        <v>7</v>
      </c>
      <c r="C2253">
        <v>12</v>
      </c>
      <c r="D2253">
        <v>300</v>
      </c>
      <c r="E2253" t="s">
        <v>8</v>
      </c>
      <c r="F2253" t="s">
        <v>13</v>
      </c>
      <c r="G2253" t="s">
        <v>16</v>
      </c>
      <c r="H2253">
        <v>0</v>
      </c>
    </row>
    <row r="2254" spans="1:8" x14ac:dyDescent="0.35">
      <c r="A2254">
        <v>13287</v>
      </c>
      <c r="B2254" t="s">
        <v>7</v>
      </c>
      <c r="C2254">
        <v>11</v>
      </c>
      <c r="D2254">
        <v>336</v>
      </c>
      <c r="E2254" t="s">
        <v>8</v>
      </c>
      <c r="F2254" t="s">
        <v>13</v>
      </c>
      <c r="G2254" t="s">
        <v>16</v>
      </c>
      <c r="H2254">
        <v>0</v>
      </c>
    </row>
    <row r="2255" spans="1:8" x14ac:dyDescent="0.35">
      <c r="A2255">
        <v>18792</v>
      </c>
      <c r="B2255" t="s">
        <v>7</v>
      </c>
      <c r="C2255">
        <v>9</v>
      </c>
      <c r="D2255">
        <v>275</v>
      </c>
      <c r="E2255" t="s">
        <v>8</v>
      </c>
      <c r="F2255" t="s">
        <v>13</v>
      </c>
      <c r="G2255" t="s">
        <v>14</v>
      </c>
      <c r="H2255">
        <v>0</v>
      </c>
    </row>
    <row r="2256" spans="1:8" x14ac:dyDescent="0.35">
      <c r="A2256">
        <v>18552</v>
      </c>
      <c r="B2256" t="s">
        <v>11</v>
      </c>
      <c r="C2256">
        <v>4</v>
      </c>
      <c r="D2256">
        <v>263</v>
      </c>
      <c r="E2256" t="s">
        <v>8</v>
      </c>
      <c r="F2256" t="s">
        <v>13</v>
      </c>
      <c r="G2256" t="s">
        <v>16</v>
      </c>
      <c r="H2256">
        <v>0</v>
      </c>
    </row>
    <row r="2257" spans="1:8" x14ac:dyDescent="0.35">
      <c r="A2257">
        <v>10441</v>
      </c>
      <c r="B2257" t="s">
        <v>11</v>
      </c>
      <c r="C2257">
        <v>7</v>
      </c>
      <c r="D2257">
        <v>325</v>
      </c>
      <c r="E2257" t="s">
        <v>8</v>
      </c>
      <c r="F2257" t="s">
        <v>13</v>
      </c>
      <c r="G2257" t="s">
        <v>10</v>
      </c>
      <c r="H2257">
        <v>0</v>
      </c>
    </row>
    <row r="2258" spans="1:8" x14ac:dyDescent="0.35">
      <c r="A2258">
        <v>11971</v>
      </c>
      <c r="B2258" t="s">
        <v>11</v>
      </c>
      <c r="C2258">
        <v>11</v>
      </c>
      <c r="D2258">
        <v>341</v>
      </c>
      <c r="E2258" t="s">
        <v>8</v>
      </c>
      <c r="F2258" t="s">
        <v>13</v>
      </c>
      <c r="G2258" t="s">
        <v>12</v>
      </c>
      <c r="H2258">
        <v>0</v>
      </c>
    </row>
    <row r="2259" spans="1:8" x14ac:dyDescent="0.35">
      <c r="A2259">
        <v>18013</v>
      </c>
      <c r="B2259" t="s">
        <v>11</v>
      </c>
      <c r="C2259">
        <v>6</v>
      </c>
      <c r="D2259">
        <v>88</v>
      </c>
      <c r="E2259" t="s">
        <v>8</v>
      </c>
      <c r="F2259" t="s">
        <v>9</v>
      </c>
      <c r="G2259" t="s">
        <v>14</v>
      </c>
      <c r="H2259">
        <v>0</v>
      </c>
    </row>
    <row r="2260" spans="1:8" x14ac:dyDescent="0.35">
      <c r="A2260">
        <v>14692</v>
      </c>
      <c r="B2260" t="s">
        <v>7</v>
      </c>
      <c r="C2260">
        <v>14</v>
      </c>
      <c r="D2260">
        <v>139</v>
      </c>
      <c r="E2260" t="s">
        <v>8</v>
      </c>
      <c r="F2260" t="s">
        <v>13</v>
      </c>
      <c r="G2260" t="s">
        <v>12</v>
      </c>
      <c r="H2260">
        <v>0</v>
      </c>
    </row>
    <row r="2261" spans="1:8" x14ac:dyDescent="0.35">
      <c r="A2261">
        <v>19640</v>
      </c>
      <c r="B2261" t="s">
        <v>7</v>
      </c>
      <c r="C2261">
        <v>9</v>
      </c>
      <c r="D2261">
        <v>259</v>
      </c>
      <c r="E2261" t="s">
        <v>15</v>
      </c>
      <c r="F2261" t="s">
        <v>9</v>
      </c>
      <c r="G2261" t="s">
        <v>10</v>
      </c>
      <c r="H2261">
        <v>1</v>
      </c>
    </row>
    <row r="2262" spans="1:8" x14ac:dyDescent="0.35">
      <c r="A2262">
        <v>18459</v>
      </c>
      <c r="B2262" t="s">
        <v>11</v>
      </c>
      <c r="C2262">
        <v>3</v>
      </c>
      <c r="D2262">
        <v>173</v>
      </c>
      <c r="E2262" t="s">
        <v>8</v>
      </c>
      <c r="F2262" t="s">
        <v>13</v>
      </c>
      <c r="G2262" t="s">
        <v>12</v>
      </c>
      <c r="H2262">
        <v>0</v>
      </c>
    </row>
    <row r="2263" spans="1:8" x14ac:dyDescent="0.35">
      <c r="A2263">
        <v>14551</v>
      </c>
      <c r="B2263" t="s">
        <v>11</v>
      </c>
      <c r="C2263">
        <v>12</v>
      </c>
      <c r="D2263">
        <v>81</v>
      </c>
      <c r="E2263" t="s">
        <v>8</v>
      </c>
      <c r="F2263" t="s">
        <v>9</v>
      </c>
      <c r="G2263" t="s">
        <v>12</v>
      </c>
      <c r="H2263">
        <v>0</v>
      </c>
    </row>
    <row r="2264" spans="1:8" x14ac:dyDescent="0.35">
      <c r="A2264">
        <v>16460</v>
      </c>
      <c r="B2264" t="s">
        <v>11</v>
      </c>
      <c r="C2264">
        <v>6</v>
      </c>
      <c r="D2264">
        <v>153</v>
      </c>
      <c r="E2264" t="s">
        <v>15</v>
      </c>
      <c r="F2264" t="s">
        <v>9</v>
      </c>
      <c r="G2264" t="s">
        <v>16</v>
      </c>
      <c r="H2264">
        <v>1</v>
      </c>
    </row>
    <row r="2265" spans="1:8" x14ac:dyDescent="0.35">
      <c r="A2265">
        <v>10592</v>
      </c>
      <c r="B2265" t="s">
        <v>7</v>
      </c>
      <c r="C2265">
        <v>10</v>
      </c>
      <c r="D2265">
        <v>165</v>
      </c>
      <c r="E2265" t="s">
        <v>8</v>
      </c>
      <c r="F2265" t="s">
        <v>13</v>
      </c>
      <c r="G2265" t="s">
        <v>12</v>
      </c>
      <c r="H2265">
        <v>0</v>
      </c>
    </row>
    <row r="2266" spans="1:8" x14ac:dyDescent="0.35">
      <c r="A2266">
        <v>13101</v>
      </c>
      <c r="B2266" t="s">
        <v>7</v>
      </c>
      <c r="C2266">
        <v>10</v>
      </c>
      <c r="D2266">
        <v>87</v>
      </c>
      <c r="E2266" t="s">
        <v>8</v>
      </c>
      <c r="F2266" t="s">
        <v>9</v>
      </c>
      <c r="G2266" t="s">
        <v>10</v>
      </c>
      <c r="H2266">
        <v>0</v>
      </c>
    </row>
    <row r="2267" spans="1:8" x14ac:dyDescent="0.35">
      <c r="A2267">
        <v>15179</v>
      </c>
      <c r="B2267" t="s">
        <v>11</v>
      </c>
      <c r="C2267">
        <v>3</v>
      </c>
      <c r="D2267">
        <v>441</v>
      </c>
      <c r="E2267" t="s">
        <v>15</v>
      </c>
      <c r="F2267" t="s">
        <v>13</v>
      </c>
      <c r="G2267" t="s">
        <v>14</v>
      </c>
      <c r="H2267">
        <v>1</v>
      </c>
    </row>
    <row r="2268" spans="1:8" x14ac:dyDescent="0.35">
      <c r="A2268">
        <v>19421</v>
      </c>
      <c r="B2268" t="s">
        <v>7</v>
      </c>
      <c r="C2268">
        <v>8</v>
      </c>
      <c r="D2268">
        <v>92</v>
      </c>
      <c r="E2268" t="s">
        <v>8</v>
      </c>
      <c r="F2268" t="s">
        <v>13</v>
      </c>
      <c r="G2268" t="s">
        <v>12</v>
      </c>
      <c r="H2268">
        <v>0</v>
      </c>
    </row>
    <row r="2269" spans="1:8" x14ac:dyDescent="0.35">
      <c r="A2269">
        <v>16228</v>
      </c>
      <c r="B2269" t="s">
        <v>11</v>
      </c>
      <c r="C2269">
        <v>9</v>
      </c>
      <c r="D2269">
        <v>102</v>
      </c>
      <c r="E2269" t="s">
        <v>8</v>
      </c>
      <c r="F2269" t="s">
        <v>13</v>
      </c>
      <c r="G2269" t="s">
        <v>16</v>
      </c>
      <c r="H2269">
        <v>0</v>
      </c>
    </row>
    <row r="2270" spans="1:8" x14ac:dyDescent="0.35">
      <c r="A2270">
        <v>17758</v>
      </c>
      <c r="B2270" t="s">
        <v>11</v>
      </c>
      <c r="C2270">
        <v>14</v>
      </c>
      <c r="D2270">
        <v>195</v>
      </c>
      <c r="E2270" t="s">
        <v>8</v>
      </c>
      <c r="F2270" t="s">
        <v>9</v>
      </c>
      <c r="G2270" t="s">
        <v>16</v>
      </c>
      <c r="H2270">
        <v>0</v>
      </c>
    </row>
    <row r="2271" spans="1:8" x14ac:dyDescent="0.35">
      <c r="A2271">
        <v>10084</v>
      </c>
      <c r="B2271" t="s">
        <v>7</v>
      </c>
      <c r="C2271">
        <v>8</v>
      </c>
      <c r="D2271">
        <v>150</v>
      </c>
      <c r="E2271" t="s">
        <v>8</v>
      </c>
      <c r="F2271" t="s">
        <v>13</v>
      </c>
      <c r="G2271" t="s">
        <v>14</v>
      </c>
      <c r="H2271">
        <v>0</v>
      </c>
    </row>
    <row r="2272" spans="1:8" x14ac:dyDescent="0.35">
      <c r="A2272">
        <v>19955</v>
      </c>
      <c r="B2272" t="s">
        <v>11</v>
      </c>
      <c r="C2272">
        <v>14</v>
      </c>
      <c r="D2272">
        <v>118</v>
      </c>
      <c r="E2272" t="s">
        <v>8</v>
      </c>
      <c r="F2272" t="s">
        <v>9</v>
      </c>
      <c r="G2272" t="s">
        <v>12</v>
      </c>
      <c r="H2272">
        <v>0</v>
      </c>
    </row>
    <row r="2273" spans="1:8" x14ac:dyDescent="0.35">
      <c r="A2273">
        <v>18664</v>
      </c>
      <c r="B2273" t="s">
        <v>7</v>
      </c>
      <c r="C2273">
        <v>5</v>
      </c>
      <c r="D2273">
        <v>237</v>
      </c>
      <c r="E2273" t="s">
        <v>8</v>
      </c>
      <c r="F2273" t="s">
        <v>13</v>
      </c>
      <c r="G2273" t="s">
        <v>16</v>
      </c>
      <c r="H2273">
        <v>0</v>
      </c>
    </row>
    <row r="2274" spans="1:8" x14ac:dyDescent="0.35">
      <c r="A2274">
        <v>16259</v>
      </c>
      <c r="B2274" t="s">
        <v>11</v>
      </c>
      <c r="C2274">
        <v>7</v>
      </c>
      <c r="D2274">
        <v>275</v>
      </c>
      <c r="E2274" t="s">
        <v>8</v>
      </c>
      <c r="F2274" t="s">
        <v>13</v>
      </c>
      <c r="G2274" t="s">
        <v>10</v>
      </c>
      <c r="H2274">
        <v>0</v>
      </c>
    </row>
    <row r="2275" spans="1:8" x14ac:dyDescent="0.35">
      <c r="A2275">
        <v>10579</v>
      </c>
      <c r="B2275" t="s">
        <v>7</v>
      </c>
      <c r="C2275">
        <v>6</v>
      </c>
      <c r="D2275">
        <v>125</v>
      </c>
      <c r="E2275" t="s">
        <v>8</v>
      </c>
      <c r="F2275" t="s">
        <v>13</v>
      </c>
      <c r="G2275" t="s">
        <v>10</v>
      </c>
      <c r="H2275">
        <v>0</v>
      </c>
    </row>
    <row r="2276" spans="1:8" x14ac:dyDescent="0.35">
      <c r="A2276">
        <v>11235</v>
      </c>
      <c r="B2276" t="s">
        <v>11</v>
      </c>
      <c r="C2276">
        <v>12</v>
      </c>
      <c r="D2276">
        <v>147</v>
      </c>
      <c r="E2276" t="s">
        <v>8</v>
      </c>
      <c r="F2276" t="s">
        <v>9</v>
      </c>
      <c r="G2276" t="s">
        <v>16</v>
      </c>
      <c r="H2276">
        <v>0</v>
      </c>
    </row>
    <row r="2277" spans="1:8" x14ac:dyDescent="0.35">
      <c r="A2277">
        <v>10402</v>
      </c>
      <c r="B2277" t="s">
        <v>11</v>
      </c>
      <c r="C2277">
        <v>1</v>
      </c>
      <c r="D2277">
        <v>269</v>
      </c>
      <c r="E2277" t="s">
        <v>8</v>
      </c>
      <c r="F2277" t="s">
        <v>13</v>
      </c>
      <c r="G2277" t="s">
        <v>10</v>
      </c>
      <c r="H2277">
        <v>0</v>
      </c>
    </row>
    <row r="2278" spans="1:8" x14ac:dyDescent="0.35">
      <c r="A2278">
        <v>16802</v>
      </c>
      <c r="B2278" t="s">
        <v>11</v>
      </c>
      <c r="C2278">
        <v>7</v>
      </c>
      <c r="D2278">
        <v>394</v>
      </c>
      <c r="E2278" t="s">
        <v>8</v>
      </c>
      <c r="F2278" t="s">
        <v>9</v>
      </c>
      <c r="G2278" t="s">
        <v>12</v>
      </c>
      <c r="H2278">
        <v>0</v>
      </c>
    </row>
    <row r="2279" spans="1:8" x14ac:dyDescent="0.35">
      <c r="A2279">
        <v>11918</v>
      </c>
      <c r="B2279" t="s">
        <v>7</v>
      </c>
      <c r="C2279">
        <v>6</v>
      </c>
      <c r="D2279">
        <v>325</v>
      </c>
      <c r="E2279" t="s">
        <v>8</v>
      </c>
      <c r="F2279" t="s">
        <v>9</v>
      </c>
      <c r="G2279" t="s">
        <v>16</v>
      </c>
      <c r="H2279">
        <v>0</v>
      </c>
    </row>
    <row r="2280" spans="1:8" x14ac:dyDescent="0.35">
      <c r="A2280">
        <v>17087</v>
      </c>
      <c r="B2280" t="s">
        <v>11</v>
      </c>
      <c r="C2280">
        <v>14</v>
      </c>
      <c r="D2280">
        <v>233</v>
      </c>
      <c r="E2280" t="s">
        <v>8</v>
      </c>
      <c r="F2280" t="s">
        <v>9</v>
      </c>
      <c r="G2280" t="s">
        <v>16</v>
      </c>
      <c r="H2280">
        <v>0</v>
      </c>
    </row>
    <row r="2281" spans="1:8" x14ac:dyDescent="0.35">
      <c r="A2281">
        <v>17821</v>
      </c>
      <c r="B2281" t="s">
        <v>11</v>
      </c>
      <c r="C2281">
        <v>11</v>
      </c>
      <c r="D2281">
        <v>273</v>
      </c>
      <c r="E2281" t="s">
        <v>8</v>
      </c>
      <c r="F2281" t="s">
        <v>13</v>
      </c>
      <c r="G2281" t="s">
        <v>16</v>
      </c>
      <c r="H2281">
        <v>0</v>
      </c>
    </row>
    <row r="2282" spans="1:8" x14ac:dyDescent="0.35">
      <c r="A2282">
        <v>16842</v>
      </c>
      <c r="B2282" t="s">
        <v>7</v>
      </c>
      <c r="C2282">
        <v>8</v>
      </c>
      <c r="D2282">
        <v>209</v>
      </c>
      <c r="E2282" t="s">
        <v>8</v>
      </c>
      <c r="F2282" t="s">
        <v>9</v>
      </c>
      <c r="G2282" t="s">
        <v>14</v>
      </c>
      <c r="H2282">
        <v>0</v>
      </c>
    </row>
    <row r="2283" spans="1:8" x14ac:dyDescent="0.35">
      <c r="A2283">
        <v>15855</v>
      </c>
      <c r="B2283" t="s">
        <v>11</v>
      </c>
      <c r="C2283">
        <v>5</v>
      </c>
      <c r="D2283">
        <v>230</v>
      </c>
      <c r="E2283" t="s">
        <v>8</v>
      </c>
      <c r="F2283" t="s">
        <v>13</v>
      </c>
      <c r="G2283" t="s">
        <v>12</v>
      </c>
      <c r="H2283">
        <v>0</v>
      </c>
    </row>
    <row r="2284" spans="1:8" x14ac:dyDescent="0.35">
      <c r="A2284">
        <v>10682</v>
      </c>
      <c r="B2284" t="s">
        <v>7</v>
      </c>
      <c r="C2284">
        <v>7</v>
      </c>
      <c r="D2284">
        <v>215</v>
      </c>
      <c r="E2284" t="s">
        <v>8</v>
      </c>
      <c r="F2284" t="s">
        <v>9</v>
      </c>
      <c r="G2284" t="s">
        <v>12</v>
      </c>
      <c r="H2284">
        <v>0</v>
      </c>
    </row>
    <row r="2285" spans="1:8" x14ac:dyDescent="0.35">
      <c r="A2285">
        <v>11911</v>
      </c>
      <c r="B2285" t="s">
        <v>7</v>
      </c>
      <c r="C2285">
        <v>11</v>
      </c>
      <c r="D2285">
        <v>107</v>
      </c>
      <c r="E2285" t="s">
        <v>8</v>
      </c>
      <c r="F2285" t="s">
        <v>9</v>
      </c>
      <c r="G2285" t="s">
        <v>14</v>
      </c>
      <c r="H2285">
        <v>0</v>
      </c>
    </row>
    <row r="2286" spans="1:8" x14ac:dyDescent="0.35">
      <c r="A2286">
        <v>13007</v>
      </c>
      <c r="B2286" t="s">
        <v>11</v>
      </c>
      <c r="C2286">
        <v>7</v>
      </c>
      <c r="D2286">
        <v>425</v>
      </c>
      <c r="E2286" t="s">
        <v>8</v>
      </c>
      <c r="F2286" t="s">
        <v>9</v>
      </c>
      <c r="G2286" t="s">
        <v>16</v>
      </c>
      <c r="H2286">
        <v>0</v>
      </c>
    </row>
    <row r="2287" spans="1:8" x14ac:dyDescent="0.35">
      <c r="A2287">
        <v>12224</v>
      </c>
      <c r="B2287" t="s">
        <v>7</v>
      </c>
      <c r="C2287">
        <v>14</v>
      </c>
      <c r="D2287">
        <v>102</v>
      </c>
      <c r="E2287" t="s">
        <v>8</v>
      </c>
      <c r="F2287" t="s">
        <v>13</v>
      </c>
      <c r="G2287" t="s">
        <v>12</v>
      </c>
      <c r="H2287">
        <v>0</v>
      </c>
    </row>
    <row r="2288" spans="1:8" x14ac:dyDescent="0.35">
      <c r="A2288">
        <v>18678</v>
      </c>
      <c r="B2288" t="s">
        <v>7</v>
      </c>
      <c r="C2288">
        <v>4</v>
      </c>
      <c r="D2288">
        <v>50</v>
      </c>
      <c r="E2288" t="s">
        <v>8</v>
      </c>
      <c r="F2288" t="s">
        <v>9</v>
      </c>
      <c r="G2288" t="s">
        <v>16</v>
      </c>
      <c r="H2288">
        <v>0</v>
      </c>
    </row>
    <row r="2289" spans="1:8" x14ac:dyDescent="0.35">
      <c r="A2289">
        <v>15022</v>
      </c>
      <c r="B2289" t="s">
        <v>7</v>
      </c>
      <c r="C2289">
        <v>4</v>
      </c>
      <c r="D2289">
        <v>316</v>
      </c>
      <c r="E2289" t="s">
        <v>8</v>
      </c>
      <c r="F2289" t="s">
        <v>13</v>
      </c>
      <c r="G2289" t="s">
        <v>12</v>
      </c>
      <c r="H2289">
        <v>0</v>
      </c>
    </row>
    <row r="2290" spans="1:8" x14ac:dyDescent="0.35">
      <c r="A2290">
        <v>16547</v>
      </c>
      <c r="B2290" t="s">
        <v>11</v>
      </c>
      <c r="C2290">
        <v>11</v>
      </c>
      <c r="D2290">
        <v>251</v>
      </c>
      <c r="E2290" t="s">
        <v>8</v>
      </c>
      <c r="F2290" t="s">
        <v>9</v>
      </c>
      <c r="G2290" t="s">
        <v>12</v>
      </c>
      <c r="H2290">
        <v>0</v>
      </c>
    </row>
    <row r="2291" spans="1:8" x14ac:dyDescent="0.35">
      <c r="A2291">
        <v>13068</v>
      </c>
      <c r="B2291" t="s">
        <v>11</v>
      </c>
      <c r="C2291">
        <v>4</v>
      </c>
      <c r="D2291">
        <v>280</v>
      </c>
      <c r="E2291" t="s">
        <v>8</v>
      </c>
      <c r="F2291" t="s">
        <v>9</v>
      </c>
      <c r="G2291" t="s">
        <v>10</v>
      </c>
      <c r="H2291">
        <v>0</v>
      </c>
    </row>
    <row r="2292" spans="1:8" x14ac:dyDescent="0.35">
      <c r="A2292">
        <v>12357</v>
      </c>
      <c r="B2292" t="s">
        <v>11</v>
      </c>
      <c r="C2292">
        <v>2</v>
      </c>
      <c r="D2292">
        <v>225</v>
      </c>
      <c r="E2292" t="s">
        <v>15</v>
      </c>
      <c r="F2292" t="s">
        <v>9</v>
      </c>
      <c r="G2292" t="s">
        <v>14</v>
      </c>
      <c r="H2292">
        <v>1</v>
      </c>
    </row>
    <row r="2293" spans="1:8" x14ac:dyDescent="0.35">
      <c r="A2293">
        <v>14390</v>
      </c>
      <c r="B2293" t="s">
        <v>7</v>
      </c>
      <c r="C2293">
        <v>9</v>
      </c>
      <c r="D2293">
        <v>45</v>
      </c>
      <c r="E2293" t="s">
        <v>8</v>
      </c>
      <c r="F2293" t="s">
        <v>13</v>
      </c>
      <c r="G2293" t="s">
        <v>16</v>
      </c>
      <c r="H2293">
        <v>0</v>
      </c>
    </row>
    <row r="2294" spans="1:8" x14ac:dyDescent="0.35">
      <c r="A2294">
        <v>10708</v>
      </c>
      <c r="B2294" t="s">
        <v>7</v>
      </c>
      <c r="C2294">
        <v>10</v>
      </c>
      <c r="D2294">
        <v>202</v>
      </c>
      <c r="E2294" t="s">
        <v>8</v>
      </c>
      <c r="F2294" t="s">
        <v>13</v>
      </c>
      <c r="G2294" t="s">
        <v>14</v>
      </c>
      <c r="H2294">
        <v>0</v>
      </c>
    </row>
    <row r="2295" spans="1:8" x14ac:dyDescent="0.35">
      <c r="A2295">
        <v>19433</v>
      </c>
      <c r="B2295" t="s">
        <v>11</v>
      </c>
      <c r="C2295">
        <v>10</v>
      </c>
      <c r="D2295">
        <v>330</v>
      </c>
      <c r="E2295" t="s">
        <v>15</v>
      </c>
      <c r="F2295" t="s">
        <v>9</v>
      </c>
      <c r="G2295" t="s">
        <v>16</v>
      </c>
      <c r="H2295">
        <v>1</v>
      </c>
    </row>
    <row r="2296" spans="1:8" x14ac:dyDescent="0.35">
      <c r="A2296">
        <v>16740</v>
      </c>
      <c r="B2296" t="s">
        <v>7</v>
      </c>
      <c r="C2296">
        <v>2</v>
      </c>
      <c r="D2296">
        <v>95</v>
      </c>
      <c r="E2296" t="s">
        <v>8</v>
      </c>
      <c r="F2296" t="s">
        <v>13</v>
      </c>
      <c r="G2296" t="s">
        <v>16</v>
      </c>
      <c r="H2296">
        <v>0</v>
      </c>
    </row>
    <row r="2297" spans="1:8" x14ac:dyDescent="0.35">
      <c r="A2297">
        <v>13484</v>
      </c>
      <c r="B2297" t="s">
        <v>7</v>
      </c>
      <c r="C2297">
        <v>13</v>
      </c>
      <c r="D2297">
        <v>81</v>
      </c>
      <c r="E2297" t="s">
        <v>8</v>
      </c>
      <c r="F2297" t="s">
        <v>9</v>
      </c>
      <c r="G2297" t="s">
        <v>16</v>
      </c>
      <c r="H2297">
        <v>0</v>
      </c>
    </row>
    <row r="2298" spans="1:8" x14ac:dyDescent="0.35">
      <c r="A2298">
        <v>17390</v>
      </c>
      <c r="B2298" t="s">
        <v>7</v>
      </c>
      <c r="C2298">
        <v>2</v>
      </c>
      <c r="D2298">
        <v>302</v>
      </c>
      <c r="E2298" t="s">
        <v>8</v>
      </c>
      <c r="F2298" t="s">
        <v>9</v>
      </c>
      <c r="G2298" t="s">
        <v>16</v>
      </c>
      <c r="H2298">
        <v>0</v>
      </c>
    </row>
    <row r="2299" spans="1:8" x14ac:dyDescent="0.35">
      <c r="A2299">
        <v>14265</v>
      </c>
      <c r="B2299" t="s">
        <v>11</v>
      </c>
      <c r="C2299">
        <v>6</v>
      </c>
      <c r="D2299">
        <v>210</v>
      </c>
      <c r="E2299" t="s">
        <v>8</v>
      </c>
      <c r="F2299" t="s">
        <v>13</v>
      </c>
      <c r="G2299" t="s">
        <v>12</v>
      </c>
      <c r="H2299">
        <v>0</v>
      </c>
    </row>
    <row r="2300" spans="1:8" x14ac:dyDescent="0.35">
      <c r="A2300">
        <v>18899</v>
      </c>
      <c r="B2300" t="s">
        <v>7</v>
      </c>
      <c r="C2300">
        <v>13</v>
      </c>
      <c r="D2300">
        <v>340</v>
      </c>
      <c r="E2300" t="s">
        <v>8</v>
      </c>
      <c r="F2300" t="s">
        <v>13</v>
      </c>
      <c r="G2300" t="s">
        <v>10</v>
      </c>
      <c r="H2300">
        <v>0</v>
      </c>
    </row>
    <row r="2301" spans="1:8" x14ac:dyDescent="0.35">
      <c r="A2301">
        <v>19268</v>
      </c>
      <c r="B2301" t="s">
        <v>11</v>
      </c>
      <c r="C2301">
        <v>9</v>
      </c>
      <c r="D2301">
        <v>246</v>
      </c>
      <c r="E2301" t="s">
        <v>8</v>
      </c>
      <c r="F2301" t="s">
        <v>13</v>
      </c>
      <c r="G2301" t="s">
        <v>14</v>
      </c>
      <c r="H2301">
        <v>0</v>
      </c>
    </row>
    <row r="2302" spans="1:8" x14ac:dyDescent="0.35">
      <c r="A2302">
        <v>13218</v>
      </c>
      <c r="B2302" t="s">
        <v>7</v>
      </c>
      <c r="C2302">
        <v>8</v>
      </c>
      <c r="D2302">
        <v>323</v>
      </c>
      <c r="E2302" t="s">
        <v>15</v>
      </c>
      <c r="F2302" t="s">
        <v>9</v>
      </c>
      <c r="G2302" t="s">
        <v>12</v>
      </c>
      <c r="H2302">
        <v>1</v>
      </c>
    </row>
    <row r="2303" spans="1:8" x14ac:dyDescent="0.35">
      <c r="A2303">
        <v>14246</v>
      </c>
      <c r="B2303" t="s">
        <v>11</v>
      </c>
      <c r="C2303">
        <v>1</v>
      </c>
      <c r="D2303">
        <v>263</v>
      </c>
      <c r="E2303" t="s">
        <v>8</v>
      </c>
      <c r="F2303" t="s">
        <v>13</v>
      </c>
      <c r="G2303" t="s">
        <v>14</v>
      </c>
      <c r="H2303">
        <v>0</v>
      </c>
    </row>
    <row r="2304" spans="1:8" x14ac:dyDescent="0.35">
      <c r="A2304">
        <v>19240</v>
      </c>
      <c r="B2304" t="s">
        <v>7</v>
      </c>
      <c r="C2304">
        <v>8</v>
      </c>
      <c r="D2304">
        <v>49</v>
      </c>
      <c r="E2304" t="s">
        <v>8</v>
      </c>
      <c r="F2304" t="s">
        <v>9</v>
      </c>
      <c r="G2304" t="s">
        <v>12</v>
      </c>
      <c r="H2304">
        <v>0</v>
      </c>
    </row>
    <row r="2305" spans="1:8" x14ac:dyDescent="0.35">
      <c r="A2305">
        <v>10821</v>
      </c>
      <c r="B2305" t="s">
        <v>7</v>
      </c>
      <c r="C2305">
        <v>3</v>
      </c>
      <c r="D2305">
        <v>164</v>
      </c>
      <c r="E2305" t="s">
        <v>8</v>
      </c>
      <c r="F2305" t="s">
        <v>13</v>
      </c>
      <c r="G2305" t="s">
        <v>12</v>
      </c>
      <c r="H2305">
        <v>0</v>
      </c>
    </row>
    <row r="2306" spans="1:8" x14ac:dyDescent="0.35">
      <c r="A2306">
        <v>11057</v>
      </c>
      <c r="B2306" t="s">
        <v>11</v>
      </c>
      <c r="C2306">
        <v>1</v>
      </c>
      <c r="D2306">
        <v>75</v>
      </c>
      <c r="E2306" t="s">
        <v>8</v>
      </c>
      <c r="F2306" t="s">
        <v>13</v>
      </c>
      <c r="G2306" t="s">
        <v>16</v>
      </c>
      <c r="H2306">
        <v>0</v>
      </c>
    </row>
    <row r="2307" spans="1:8" x14ac:dyDescent="0.35">
      <c r="A2307">
        <v>15857</v>
      </c>
      <c r="B2307" t="s">
        <v>11</v>
      </c>
      <c r="C2307">
        <v>11</v>
      </c>
      <c r="D2307">
        <v>418</v>
      </c>
      <c r="E2307" t="s">
        <v>8</v>
      </c>
      <c r="F2307" t="s">
        <v>13</v>
      </c>
      <c r="G2307" t="s">
        <v>14</v>
      </c>
      <c r="H2307">
        <v>0</v>
      </c>
    </row>
    <row r="2308" spans="1:8" x14ac:dyDescent="0.35">
      <c r="A2308">
        <v>19254</v>
      </c>
      <c r="B2308" t="s">
        <v>7</v>
      </c>
      <c r="C2308">
        <v>14</v>
      </c>
      <c r="D2308">
        <v>216</v>
      </c>
      <c r="E2308" t="s">
        <v>15</v>
      </c>
      <c r="F2308" t="s">
        <v>13</v>
      </c>
      <c r="G2308" t="s">
        <v>16</v>
      </c>
      <c r="H2308">
        <v>1</v>
      </c>
    </row>
    <row r="2309" spans="1:8" x14ac:dyDescent="0.35">
      <c r="A2309">
        <v>14070</v>
      </c>
      <c r="B2309" t="s">
        <v>7</v>
      </c>
      <c r="C2309">
        <v>5</v>
      </c>
      <c r="D2309">
        <v>375</v>
      </c>
      <c r="E2309" t="s">
        <v>8</v>
      </c>
      <c r="F2309" t="s">
        <v>9</v>
      </c>
      <c r="G2309" t="s">
        <v>14</v>
      </c>
      <c r="H2309">
        <v>0</v>
      </c>
    </row>
    <row r="2310" spans="1:8" x14ac:dyDescent="0.35">
      <c r="A2310">
        <v>11975</v>
      </c>
      <c r="B2310" t="s">
        <v>7</v>
      </c>
      <c r="C2310">
        <v>5</v>
      </c>
      <c r="D2310">
        <v>43</v>
      </c>
      <c r="E2310" t="s">
        <v>8</v>
      </c>
      <c r="F2310" t="s">
        <v>13</v>
      </c>
      <c r="G2310" t="s">
        <v>14</v>
      </c>
      <c r="H2310">
        <v>0</v>
      </c>
    </row>
    <row r="2311" spans="1:8" x14ac:dyDescent="0.35">
      <c r="A2311">
        <v>18080</v>
      </c>
      <c r="B2311" t="s">
        <v>11</v>
      </c>
      <c r="C2311">
        <v>7</v>
      </c>
      <c r="D2311">
        <v>317</v>
      </c>
      <c r="E2311" t="s">
        <v>8</v>
      </c>
      <c r="F2311" t="s">
        <v>9</v>
      </c>
      <c r="G2311" t="s">
        <v>10</v>
      </c>
      <c r="H2311">
        <v>0</v>
      </c>
    </row>
    <row r="2312" spans="1:8" x14ac:dyDescent="0.35">
      <c r="A2312">
        <v>16672</v>
      </c>
      <c r="B2312" t="s">
        <v>11</v>
      </c>
      <c r="C2312">
        <v>6</v>
      </c>
      <c r="D2312">
        <v>213</v>
      </c>
      <c r="E2312" t="s">
        <v>15</v>
      </c>
      <c r="F2312" t="s">
        <v>13</v>
      </c>
      <c r="G2312" t="s">
        <v>12</v>
      </c>
      <c r="H2312">
        <v>1</v>
      </c>
    </row>
    <row r="2313" spans="1:8" x14ac:dyDescent="0.35">
      <c r="A2313">
        <v>12632</v>
      </c>
      <c r="B2313" t="s">
        <v>11</v>
      </c>
      <c r="C2313">
        <v>10</v>
      </c>
      <c r="D2313">
        <v>293</v>
      </c>
      <c r="E2313" t="s">
        <v>8</v>
      </c>
      <c r="F2313" t="s">
        <v>9</v>
      </c>
      <c r="G2313" t="s">
        <v>12</v>
      </c>
      <c r="H2313">
        <v>0</v>
      </c>
    </row>
    <row r="2314" spans="1:8" x14ac:dyDescent="0.35">
      <c r="A2314">
        <v>12810</v>
      </c>
      <c r="B2314" t="s">
        <v>11</v>
      </c>
      <c r="C2314">
        <v>9</v>
      </c>
      <c r="D2314">
        <v>179</v>
      </c>
      <c r="E2314" t="s">
        <v>8</v>
      </c>
      <c r="F2314" t="s">
        <v>9</v>
      </c>
      <c r="G2314" t="s">
        <v>16</v>
      </c>
      <c r="H2314">
        <v>0</v>
      </c>
    </row>
    <row r="2315" spans="1:8" x14ac:dyDescent="0.35">
      <c r="A2315">
        <v>13787</v>
      </c>
      <c r="B2315" t="s">
        <v>7</v>
      </c>
      <c r="C2315">
        <v>6</v>
      </c>
      <c r="D2315">
        <v>96</v>
      </c>
      <c r="E2315" t="s">
        <v>8</v>
      </c>
      <c r="F2315" t="s">
        <v>13</v>
      </c>
      <c r="G2315" t="s">
        <v>10</v>
      </c>
      <c r="H2315">
        <v>0</v>
      </c>
    </row>
    <row r="2316" spans="1:8" x14ac:dyDescent="0.35">
      <c r="A2316">
        <v>18237</v>
      </c>
      <c r="B2316" t="s">
        <v>7</v>
      </c>
      <c r="C2316">
        <v>1</v>
      </c>
      <c r="D2316">
        <v>242</v>
      </c>
      <c r="E2316" t="s">
        <v>15</v>
      </c>
      <c r="F2316" t="s">
        <v>13</v>
      </c>
      <c r="G2316" t="s">
        <v>12</v>
      </c>
      <c r="H2316">
        <v>1</v>
      </c>
    </row>
    <row r="2317" spans="1:8" x14ac:dyDescent="0.35">
      <c r="A2317">
        <v>15416</v>
      </c>
      <c r="B2317" t="s">
        <v>7</v>
      </c>
      <c r="C2317">
        <v>8</v>
      </c>
      <c r="D2317">
        <v>195</v>
      </c>
      <c r="E2317" t="s">
        <v>8</v>
      </c>
      <c r="F2317" t="s">
        <v>9</v>
      </c>
      <c r="G2317" t="s">
        <v>10</v>
      </c>
      <c r="H2317">
        <v>0</v>
      </c>
    </row>
    <row r="2318" spans="1:8" x14ac:dyDescent="0.35">
      <c r="A2318">
        <v>14237</v>
      </c>
      <c r="B2318" t="s">
        <v>7</v>
      </c>
      <c r="C2318">
        <v>2</v>
      </c>
      <c r="D2318">
        <v>185</v>
      </c>
      <c r="E2318" t="s">
        <v>8</v>
      </c>
      <c r="F2318" t="s">
        <v>13</v>
      </c>
      <c r="G2318" t="s">
        <v>12</v>
      </c>
      <c r="H2318">
        <v>0</v>
      </c>
    </row>
    <row r="2319" spans="1:8" x14ac:dyDescent="0.35">
      <c r="A2319">
        <v>17024</v>
      </c>
      <c r="B2319" t="s">
        <v>11</v>
      </c>
      <c r="C2319">
        <v>14</v>
      </c>
      <c r="D2319">
        <v>276</v>
      </c>
      <c r="E2319" t="s">
        <v>8</v>
      </c>
      <c r="F2319" t="s">
        <v>13</v>
      </c>
      <c r="G2319" t="s">
        <v>14</v>
      </c>
      <c r="H2319">
        <v>0</v>
      </c>
    </row>
    <row r="2320" spans="1:8" x14ac:dyDescent="0.35">
      <c r="A2320">
        <v>19025</v>
      </c>
      <c r="B2320" t="s">
        <v>7</v>
      </c>
      <c r="C2320">
        <v>10</v>
      </c>
      <c r="D2320">
        <v>89</v>
      </c>
      <c r="E2320" t="s">
        <v>8</v>
      </c>
      <c r="F2320" t="s">
        <v>9</v>
      </c>
      <c r="G2320" t="s">
        <v>10</v>
      </c>
      <c r="H2320">
        <v>0</v>
      </c>
    </row>
    <row r="2321" spans="1:8" x14ac:dyDescent="0.35">
      <c r="A2321">
        <v>11528</v>
      </c>
      <c r="B2321" t="s">
        <v>7</v>
      </c>
      <c r="C2321">
        <v>7</v>
      </c>
      <c r="D2321">
        <v>131</v>
      </c>
      <c r="E2321" t="s">
        <v>15</v>
      </c>
      <c r="F2321" t="s">
        <v>13</v>
      </c>
      <c r="G2321" t="s">
        <v>16</v>
      </c>
      <c r="H2321">
        <v>1</v>
      </c>
    </row>
    <row r="2322" spans="1:8" x14ac:dyDescent="0.35">
      <c r="A2322">
        <v>15072</v>
      </c>
      <c r="B2322" t="s">
        <v>7</v>
      </c>
      <c r="C2322">
        <v>8</v>
      </c>
      <c r="D2322">
        <v>128</v>
      </c>
      <c r="E2322" t="s">
        <v>8</v>
      </c>
      <c r="F2322" t="s">
        <v>13</v>
      </c>
      <c r="G2322" t="s">
        <v>16</v>
      </c>
      <c r="H2322">
        <v>0</v>
      </c>
    </row>
    <row r="2323" spans="1:8" x14ac:dyDescent="0.35">
      <c r="A2323">
        <v>19912</v>
      </c>
      <c r="B2323" t="s">
        <v>11</v>
      </c>
      <c r="C2323">
        <v>12</v>
      </c>
      <c r="D2323">
        <v>422</v>
      </c>
      <c r="E2323" t="s">
        <v>8</v>
      </c>
      <c r="F2323" t="s">
        <v>13</v>
      </c>
      <c r="G2323" t="s">
        <v>14</v>
      </c>
      <c r="H2323">
        <v>0</v>
      </c>
    </row>
    <row r="2324" spans="1:8" x14ac:dyDescent="0.35">
      <c r="A2324">
        <v>17548</v>
      </c>
      <c r="B2324" t="s">
        <v>11</v>
      </c>
      <c r="C2324">
        <v>11</v>
      </c>
      <c r="D2324">
        <v>416</v>
      </c>
      <c r="E2324" t="s">
        <v>8</v>
      </c>
      <c r="F2324" t="s">
        <v>13</v>
      </c>
      <c r="G2324" t="s">
        <v>16</v>
      </c>
      <c r="H2324">
        <v>0</v>
      </c>
    </row>
    <row r="2325" spans="1:8" x14ac:dyDescent="0.35">
      <c r="A2325">
        <v>11348</v>
      </c>
      <c r="B2325" t="s">
        <v>11</v>
      </c>
      <c r="C2325">
        <v>4</v>
      </c>
      <c r="D2325">
        <v>238</v>
      </c>
      <c r="E2325" t="s">
        <v>8</v>
      </c>
      <c r="F2325" t="s">
        <v>9</v>
      </c>
      <c r="G2325" t="s">
        <v>16</v>
      </c>
      <c r="H2325">
        <v>0</v>
      </c>
    </row>
    <row r="2326" spans="1:8" x14ac:dyDescent="0.35">
      <c r="A2326">
        <v>16418</v>
      </c>
      <c r="B2326" t="s">
        <v>11</v>
      </c>
      <c r="C2326">
        <v>5</v>
      </c>
      <c r="D2326">
        <v>337</v>
      </c>
      <c r="E2326" t="s">
        <v>8</v>
      </c>
      <c r="F2326" t="s">
        <v>13</v>
      </c>
      <c r="G2326" t="s">
        <v>14</v>
      </c>
      <c r="H2326">
        <v>0</v>
      </c>
    </row>
    <row r="2327" spans="1:8" x14ac:dyDescent="0.35">
      <c r="A2327">
        <v>15719</v>
      </c>
      <c r="B2327" t="s">
        <v>11</v>
      </c>
      <c r="C2327">
        <v>3</v>
      </c>
      <c r="D2327">
        <v>129</v>
      </c>
      <c r="E2327" t="s">
        <v>8</v>
      </c>
      <c r="F2327" t="s">
        <v>9</v>
      </c>
      <c r="G2327" t="s">
        <v>16</v>
      </c>
      <c r="H2327">
        <v>0</v>
      </c>
    </row>
    <row r="2328" spans="1:8" x14ac:dyDescent="0.35">
      <c r="A2328">
        <v>15972</v>
      </c>
      <c r="B2328" t="s">
        <v>7</v>
      </c>
      <c r="C2328">
        <v>11</v>
      </c>
      <c r="D2328">
        <v>314</v>
      </c>
      <c r="E2328" t="s">
        <v>8</v>
      </c>
      <c r="F2328" t="s">
        <v>13</v>
      </c>
      <c r="G2328" t="s">
        <v>16</v>
      </c>
      <c r="H2328">
        <v>0</v>
      </c>
    </row>
    <row r="2329" spans="1:8" x14ac:dyDescent="0.35">
      <c r="A2329">
        <v>18023</v>
      </c>
      <c r="B2329" t="s">
        <v>11</v>
      </c>
      <c r="C2329">
        <v>2</v>
      </c>
      <c r="D2329">
        <v>429</v>
      </c>
      <c r="E2329" t="s">
        <v>8</v>
      </c>
      <c r="F2329" t="s">
        <v>13</v>
      </c>
      <c r="G2329" t="s">
        <v>10</v>
      </c>
      <c r="H2329">
        <v>0</v>
      </c>
    </row>
    <row r="2330" spans="1:8" x14ac:dyDescent="0.35">
      <c r="A2330">
        <v>17245</v>
      </c>
      <c r="B2330" t="s">
        <v>11</v>
      </c>
      <c r="C2330">
        <v>9</v>
      </c>
      <c r="D2330">
        <v>286</v>
      </c>
      <c r="E2330" t="s">
        <v>15</v>
      </c>
      <c r="F2330" t="s">
        <v>13</v>
      </c>
      <c r="G2330" t="s">
        <v>14</v>
      </c>
      <c r="H2330">
        <v>1</v>
      </c>
    </row>
    <row r="2331" spans="1:8" x14ac:dyDescent="0.35">
      <c r="A2331">
        <v>12659</v>
      </c>
      <c r="B2331" t="s">
        <v>11</v>
      </c>
      <c r="C2331">
        <v>9</v>
      </c>
      <c r="D2331">
        <v>87</v>
      </c>
      <c r="E2331" t="s">
        <v>8</v>
      </c>
      <c r="F2331" t="s">
        <v>9</v>
      </c>
      <c r="G2331" t="s">
        <v>14</v>
      </c>
      <c r="H2331">
        <v>0</v>
      </c>
    </row>
    <row r="2332" spans="1:8" x14ac:dyDescent="0.35">
      <c r="A2332">
        <v>12787</v>
      </c>
      <c r="B2332" t="s">
        <v>7</v>
      </c>
      <c r="C2332">
        <v>8</v>
      </c>
      <c r="D2332">
        <v>342</v>
      </c>
      <c r="E2332" t="s">
        <v>8</v>
      </c>
      <c r="F2332" t="s">
        <v>13</v>
      </c>
      <c r="G2332" t="s">
        <v>12</v>
      </c>
      <c r="H2332">
        <v>0</v>
      </c>
    </row>
    <row r="2333" spans="1:8" x14ac:dyDescent="0.35">
      <c r="A2333">
        <v>17682</v>
      </c>
      <c r="B2333" t="s">
        <v>7</v>
      </c>
      <c r="C2333">
        <v>11</v>
      </c>
      <c r="D2333">
        <v>51</v>
      </c>
      <c r="E2333" t="s">
        <v>8</v>
      </c>
      <c r="F2333" t="s">
        <v>13</v>
      </c>
      <c r="G2333" t="s">
        <v>16</v>
      </c>
      <c r="H2333">
        <v>0</v>
      </c>
    </row>
    <row r="2334" spans="1:8" x14ac:dyDescent="0.35">
      <c r="A2334">
        <v>12327</v>
      </c>
      <c r="B2334" t="s">
        <v>7</v>
      </c>
      <c r="C2334">
        <v>10</v>
      </c>
      <c r="D2334">
        <v>133</v>
      </c>
      <c r="E2334" t="s">
        <v>8</v>
      </c>
      <c r="F2334" t="s">
        <v>9</v>
      </c>
      <c r="G2334" t="s">
        <v>16</v>
      </c>
      <c r="H2334">
        <v>0</v>
      </c>
    </row>
    <row r="2335" spans="1:8" x14ac:dyDescent="0.35">
      <c r="A2335">
        <v>12784</v>
      </c>
      <c r="B2335" t="s">
        <v>11</v>
      </c>
      <c r="C2335">
        <v>6</v>
      </c>
      <c r="D2335">
        <v>244</v>
      </c>
      <c r="E2335" t="s">
        <v>8</v>
      </c>
      <c r="F2335" t="s">
        <v>13</v>
      </c>
      <c r="G2335" t="s">
        <v>10</v>
      </c>
      <c r="H2335">
        <v>0</v>
      </c>
    </row>
    <row r="2336" spans="1:8" x14ac:dyDescent="0.35">
      <c r="A2336">
        <v>10146</v>
      </c>
      <c r="B2336" t="s">
        <v>7</v>
      </c>
      <c r="C2336">
        <v>4</v>
      </c>
      <c r="D2336">
        <v>61</v>
      </c>
      <c r="E2336" t="s">
        <v>8</v>
      </c>
      <c r="F2336" t="s">
        <v>9</v>
      </c>
      <c r="G2336" t="s">
        <v>12</v>
      </c>
      <c r="H2336">
        <v>0</v>
      </c>
    </row>
    <row r="2337" spans="1:8" x14ac:dyDescent="0.35">
      <c r="A2337">
        <v>10192</v>
      </c>
      <c r="B2337" t="s">
        <v>11</v>
      </c>
      <c r="C2337">
        <v>8</v>
      </c>
      <c r="D2337">
        <v>54</v>
      </c>
      <c r="E2337" t="s">
        <v>8</v>
      </c>
      <c r="F2337" t="s">
        <v>9</v>
      </c>
      <c r="G2337" t="s">
        <v>14</v>
      </c>
      <c r="H2337">
        <v>0</v>
      </c>
    </row>
    <row r="2338" spans="1:8" x14ac:dyDescent="0.35">
      <c r="A2338">
        <v>12243</v>
      </c>
      <c r="B2338" t="s">
        <v>11</v>
      </c>
      <c r="C2338">
        <v>14</v>
      </c>
      <c r="D2338">
        <v>364</v>
      </c>
      <c r="E2338" t="s">
        <v>8</v>
      </c>
      <c r="F2338" t="s">
        <v>9</v>
      </c>
      <c r="G2338" t="s">
        <v>10</v>
      </c>
      <c r="H2338">
        <v>0</v>
      </c>
    </row>
    <row r="2339" spans="1:8" x14ac:dyDescent="0.35">
      <c r="A2339">
        <v>11269</v>
      </c>
      <c r="B2339" t="s">
        <v>7</v>
      </c>
      <c r="C2339">
        <v>12</v>
      </c>
      <c r="D2339">
        <v>105</v>
      </c>
      <c r="E2339" t="s">
        <v>8</v>
      </c>
      <c r="F2339" t="s">
        <v>13</v>
      </c>
      <c r="G2339" t="s">
        <v>14</v>
      </c>
      <c r="H2339">
        <v>0</v>
      </c>
    </row>
    <row r="2340" spans="1:8" x14ac:dyDescent="0.35">
      <c r="A2340">
        <v>18714</v>
      </c>
      <c r="B2340" t="s">
        <v>7</v>
      </c>
      <c r="C2340">
        <v>9</v>
      </c>
      <c r="D2340">
        <v>220</v>
      </c>
      <c r="E2340" t="s">
        <v>8</v>
      </c>
      <c r="F2340" t="s">
        <v>9</v>
      </c>
      <c r="G2340" t="s">
        <v>12</v>
      </c>
      <c r="H2340">
        <v>0</v>
      </c>
    </row>
    <row r="2341" spans="1:8" x14ac:dyDescent="0.35">
      <c r="A2341">
        <v>12161</v>
      </c>
      <c r="B2341" t="s">
        <v>7</v>
      </c>
      <c r="C2341">
        <v>14</v>
      </c>
      <c r="D2341">
        <v>321</v>
      </c>
      <c r="E2341" t="s">
        <v>8</v>
      </c>
      <c r="F2341" t="s">
        <v>9</v>
      </c>
      <c r="G2341" t="s">
        <v>16</v>
      </c>
      <c r="H2341">
        <v>0</v>
      </c>
    </row>
    <row r="2342" spans="1:8" x14ac:dyDescent="0.35">
      <c r="A2342">
        <v>13575</v>
      </c>
      <c r="B2342" t="s">
        <v>11</v>
      </c>
      <c r="C2342">
        <v>9</v>
      </c>
      <c r="D2342">
        <v>88</v>
      </c>
      <c r="E2342" t="s">
        <v>8</v>
      </c>
      <c r="F2342" t="s">
        <v>13</v>
      </c>
      <c r="G2342" t="s">
        <v>14</v>
      </c>
      <c r="H2342">
        <v>0</v>
      </c>
    </row>
    <row r="2343" spans="1:8" x14ac:dyDescent="0.35">
      <c r="A2343">
        <v>10575</v>
      </c>
      <c r="B2343" t="s">
        <v>11</v>
      </c>
      <c r="C2343">
        <v>13</v>
      </c>
      <c r="D2343">
        <v>83</v>
      </c>
      <c r="E2343" t="s">
        <v>8</v>
      </c>
      <c r="F2343" t="s">
        <v>13</v>
      </c>
      <c r="G2343" t="s">
        <v>12</v>
      </c>
      <c r="H2343">
        <v>0</v>
      </c>
    </row>
    <row r="2344" spans="1:8" x14ac:dyDescent="0.35">
      <c r="A2344">
        <v>13421</v>
      </c>
      <c r="B2344" t="s">
        <v>7</v>
      </c>
      <c r="C2344">
        <v>8</v>
      </c>
      <c r="D2344">
        <v>220</v>
      </c>
      <c r="E2344" t="s">
        <v>8</v>
      </c>
      <c r="F2344" t="s">
        <v>9</v>
      </c>
      <c r="G2344" t="s">
        <v>14</v>
      </c>
      <c r="H2344">
        <v>0</v>
      </c>
    </row>
    <row r="2345" spans="1:8" x14ac:dyDescent="0.35">
      <c r="A2345">
        <v>18260</v>
      </c>
      <c r="B2345" t="s">
        <v>11</v>
      </c>
      <c r="C2345">
        <v>10</v>
      </c>
      <c r="D2345">
        <v>375</v>
      </c>
      <c r="E2345" t="s">
        <v>8</v>
      </c>
      <c r="F2345" t="s">
        <v>13</v>
      </c>
      <c r="G2345" t="s">
        <v>10</v>
      </c>
      <c r="H2345">
        <v>0</v>
      </c>
    </row>
    <row r="2346" spans="1:8" x14ac:dyDescent="0.35">
      <c r="A2346">
        <v>15119</v>
      </c>
      <c r="B2346" t="s">
        <v>11</v>
      </c>
      <c r="C2346">
        <v>14</v>
      </c>
      <c r="D2346">
        <v>296</v>
      </c>
      <c r="E2346" t="s">
        <v>8</v>
      </c>
      <c r="F2346" t="s">
        <v>9</v>
      </c>
      <c r="G2346" t="s">
        <v>12</v>
      </c>
      <c r="H2346">
        <v>0</v>
      </c>
    </row>
    <row r="2347" spans="1:8" x14ac:dyDescent="0.35">
      <c r="A2347">
        <v>10793</v>
      </c>
      <c r="B2347" t="s">
        <v>7</v>
      </c>
      <c r="C2347">
        <v>5</v>
      </c>
      <c r="D2347">
        <v>342</v>
      </c>
      <c r="E2347" t="s">
        <v>8</v>
      </c>
      <c r="F2347" t="s">
        <v>13</v>
      </c>
      <c r="G2347" t="s">
        <v>12</v>
      </c>
      <c r="H2347">
        <v>0</v>
      </c>
    </row>
    <row r="2348" spans="1:8" x14ac:dyDescent="0.35">
      <c r="A2348">
        <v>19620</v>
      </c>
      <c r="B2348" t="s">
        <v>11</v>
      </c>
      <c r="C2348">
        <v>1</v>
      </c>
      <c r="D2348">
        <v>238</v>
      </c>
      <c r="E2348" t="s">
        <v>8</v>
      </c>
      <c r="F2348" t="s">
        <v>13</v>
      </c>
      <c r="G2348" t="s">
        <v>10</v>
      </c>
      <c r="H2348">
        <v>0</v>
      </c>
    </row>
    <row r="2349" spans="1:8" x14ac:dyDescent="0.35">
      <c r="A2349">
        <v>18977</v>
      </c>
      <c r="B2349" t="s">
        <v>7</v>
      </c>
      <c r="C2349">
        <v>10</v>
      </c>
      <c r="D2349">
        <v>427</v>
      </c>
      <c r="E2349" t="s">
        <v>8</v>
      </c>
      <c r="F2349" t="s">
        <v>13</v>
      </c>
      <c r="G2349" t="s">
        <v>14</v>
      </c>
      <c r="H2349">
        <v>0</v>
      </c>
    </row>
    <row r="2350" spans="1:8" x14ac:dyDescent="0.35">
      <c r="A2350">
        <v>13606</v>
      </c>
      <c r="B2350" t="s">
        <v>11</v>
      </c>
      <c r="C2350">
        <v>3</v>
      </c>
      <c r="D2350">
        <v>143</v>
      </c>
      <c r="E2350" t="s">
        <v>8</v>
      </c>
      <c r="F2350" t="s">
        <v>9</v>
      </c>
      <c r="G2350" t="s">
        <v>12</v>
      </c>
      <c r="H2350">
        <v>0</v>
      </c>
    </row>
    <row r="2351" spans="1:8" x14ac:dyDescent="0.35">
      <c r="A2351">
        <v>19669</v>
      </c>
      <c r="B2351" t="s">
        <v>11</v>
      </c>
      <c r="C2351">
        <v>6</v>
      </c>
      <c r="D2351">
        <v>336</v>
      </c>
      <c r="E2351" t="s">
        <v>8</v>
      </c>
      <c r="F2351" t="s">
        <v>9</v>
      </c>
      <c r="G2351" t="s">
        <v>10</v>
      </c>
      <c r="H2351">
        <v>0</v>
      </c>
    </row>
    <row r="2352" spans="1:8" x14ac:dyDescent="0.35">
      <c r="A2352">
        <v>18955</v>
      </c>
      <c r="B2352" t="s">
        <v>11</v>
      </c>
      <c r="C2352">
        <v>1</v>
      </c>
      <c r="D2352">
        <v>46</v>
      </c>
      <c r="E2352" t="s">
        <v>8</v>
      </c>
      <c r="F2352" t="s">
        <v>9</v>
      </c>
      <c r="G2352" t="s">
        <v>16</v>
      </c>
      <c r="H2352">
        <v>0</v>
      </c>
    </row>
    <row r="2353" spans="1:8" x14ac:dyDescent="0.35">
      <c r="A2353">
        <v>14146</v>
      </c>
      <c r="B2353" t="s">
        <v>7</v>
      </c>
      <c r="C2353">
        <v>5</v>
      </c>
      <c r="D2353">
        <v>97</v>
      </c>
      <c r="E2353" t="s">
        <v>8</v>
      </c>
      <c r="F2353" t="s">
        <v>9</v>
      </c>
      <c r="G2353" t="s">
        <v>10</v>
      </c>
      <c r="H2353">
        <v>0</v>
      </c>
    </row>
    <row r="2354" spans="1:8" x14ac:dyDescent="0.35">
      <c r="A2354">
        <v>16911</v>
      </c>
      <c r="B2354" t="s">
        <v>11</v>
      </c>
      <c r="C2354">
        <v>11</v>
      </c>
      <c r="D2354">
        <v>111</v>
      </c>
      <c r="E2354" t="s">
        <v>8</v>
      </c>
      <c r="F2354" t="s">
        <v>13</v>
      </c>
      <c r="G2354" t="s">
        <v>12</v>
      </c>
      <c r="H2354">
        <v>0</v>
      </c>
    </row>
    <row r="2355" spans="1:8" x14ac:dyDescent="0.35">
      <c r="A2355">
        <v>14040</v>
      </c>
      <c r="B2355" t="s">
        <v>7</v>
      </c>
      <c r="C2355">
        <v>1</v>
      </c>
      <c r="D2355">
        <v>41</v>
      </c>
      <c r="E2355" t="s">
        <v>15</v>
      </c>
      <c r="F2355" t="s">
        <v>13</v>
      </c>
      <c r="G2355" t="s">
        <v>12</v>
      </c>
      <c r="H2355">
        <v>1</v>
      </c>
    </row>
    <row r="2356" spans="1:8" x14ac:dyDescent="0.35">
      <c r="A2356">
        <v>12241</v>
      </c>
      <c r="B2356" t="s">
        <v>7</v>
      </c>
      <c r="C2356">
        <v>12</v>
      </c>
      <c r="D2356">
        <v>124</v>
      </c>
      <c r="E2356" t="s">
        <v>8</v>
      </c>
      <c r="F2356" t="s">
        <v>13</v>
      </c>
      <c r="G2356" t="s">
        <v>16</v>
      </c>
      <c r="H2356">
        <v>0</v>
      </c>
    </row>
    <row r="2357" spans="1:8" x14ac:dyDescent="0.35">
      <c r="A2357">
        <v>12713</v>
      </c>
      <c r="B2357" t="s">
        <v>11</v>
      </c>
      <c r="C2357">
        <v>4</v>
      </c>
      <c r="D2357">
        <v>410</v>
      </c>
      <c r="E2357" t="s">
        <v>8</v>
      </c>
      <c r="F2357" t="s">
        <v>9</v>
      </c>
      <c r="G2357" t="s">
        <v>12</v>
      </c>
      <c r="H2357">
        <v>0</v>
      </c>
    </row>
    <row r="2358" spans="1:8" x14ac:dyDescent="0.35">
      <c r="A2358">
        <v>11936</v>
      </c>
      <c r="B2358" t="s">
        <v>7</v>
      </c>
      <c r="C2358">
        <v>14</v>
      </c>
      <c r="D2358">
        <v>214</v>
      </c>
      <c r="E2358" t="s">
        <v>15</v>
      </c>
      <c r="F2358" t="s">
        <v>9</v>
      </c>
      <c r="G2358" t="s">
        <v>10</v>
      </c>
      <c r="H2358">
        <v>1</v>
      </c>
    </row>
    <row r="2359" spans="1:8" x14ac:dyDescent="0.35">
      <c r="A2359">
        <v>17968</v>
      </c>
      <c r="B2359" t="s">
        <v>7</v>
      </c>
      <c r="C2359">
        <v>8</v>
      </c>
      <c r="D2359">
        <v>82</v>
      </c>
      <c r="E2359" t="s">
        <v>8</v>
      </c>
      <c r="F2359" t="s">
        <v>13</v>
      </c>
      <c r="G2359" t="s">
        <v>12</v>
      </c>
      <c r="H2359">
        <v>0</v>
      </c>
    </row>
    <row r="2360" spans="1:8" x14ac:dyDescent="0.35">
      <c r="A2360">
        <v>12684</v>
      </c>
      <c r="B2360" t="s">
        <v>7</v>
      </c>
      <c r="C2360">
        <v>8</v>
      </c>
      <c r="D2360">
        <v>347</v>
      </c>
      <c r="E2360" t="s">
        <v>8</v>
      </c>
      <c r="F2360" t="s">
        <v>9</v>
      </c>
      <c r="G2360" t="s">
        <v>16</v>
      </c>
      <c r="H2360">
        <v>0</v>
      </c>
    </row>
    <row r="2361" spans="1:8" x14ac:dyDescent="0.35">
      <c r="A2361">
        <v>12246</v>
      </c>
      <c r="B2361" t="s">
        <v>7</v>
      </c>
      <c r="C2361">
        <v>5</v>
      </c>
      <c r="D2361">
        <v>448</v>
      </c>
      <c r="E2361" t="s">
        <v>8</v>
      </c>
      <c r="F2361" t="s">
        <v>9</v>
      </c>
      <c r="G2361" t="s">
        <v>10</v>
      </c>
      <c r="H2361">
        <v>0</v>
      </c>
    </row>
    <row r="2362" spans="1:8" x14ac:dyDescent="0.35">
      <c r="A2362">
        <v>16990</v>
      </c>
      <c r="B2362" t="s">
        <v>11</v>
      </c>
      <c r="C2362">
        <v>8</v>
      </c>
      <c r="D2362">
        <v>292</v>
      </c>
      <c r="E2362" t="s">
        <v>8</v>
      </c>
      <c r="F2362" t="s">
        <v>13</v>
      </c>
      <c r="G2362" t="s">
        <v>10</v>
      </c>
      <c r="H2362">
        <v>0</v>
      </c>
    </row>
    <row r="2363" spans="1:8" x14ac:dyDescent="0.35">
      <c r="A2363">
        <v>12770</v>
      </c>
      <c r="B2363" t="s">
        <v>11</v>
      </c>
      <c r="C2363">
        <v>1</v>
      </c>
      <c r="D2363">
        <v>359</v>
      </c>
      <c r="E2363" t="s">
        <v>8</v>
      </c>
      <c r="F2363" t="s">
        <v>9</v>
      </c>
      <c r="G2363" t="s">
        <v>16</v>
      </c>
      <c r="H2363">
        <v>0</v>
      </c>
    </row>
    <row r="2364" spans="1:8" x14ac:dyDescent="0.35">
      <c r="A2364">
        <v>16506</v>
      </c>
      <c r="B2364" t="s">
        <v>11</v>
      </c>
      <c r="C2364">
        <v>9</v>
      </c>
      <c r="D2364">
        <v>167</v>
      </c>
      <c r="E2364" t="s">
        <v>8</v>
      </c>
      <c r="F2364" t="s">
        <v>13</v>
      </c>
      <c r="G2364" t="s">
        <v>12</v>
      </c>
      <c r="H2364">
        <v>0</v>
      </c>
    </row>
    <row r="2365" spans="1:8" x14ac:dyDescent="0.35">
      <c r="A2365">
        <v>13548</v>
      </c>
      <c r="B2365" t="s">
        <v>7</v>
      </c>
      <c r="C2365">
        <v>13</v>
      </c>
      <c r="D2365">
        <v>132</v>
      </c>
      <c r="E2365" t="s">
        <v>8</v>
      </c>
      <c r="F2365" t="s">
        <v>9</v>
      </c>
      <c r="G2365" t="s">
        <v>16</v>
      </c>
      <c r="H2365">
        <v>0</v>
      </c>
    </row>
    <row r="2366" spans="1:8" x14ac:dyDescent="0.35">
      <c r="A2366">
        <v>16484</v>
      </c>
      <c r="B2366" t="s">
        <v>7</v>
      </c>
      <c r="C2366">
        <v>5</v>
      </c>
      <c r="D2366">
        <v>171</v>
      </c>
      <c r="E2366" t="s">
        <v>15</v>
      </c>
      <c r="F2366" t="s">
        <v>9</v>
      </c>
      <c r="G2366" t="s">
        <v>14</v>
      </c>
      <c r="H2366">
        <v>1</v>
      </c>
    </row>
    <row r="2367" spans="1:8" x14ac:dyDescent="0.35">
      <c r="A2367">
        <v>15673</v>
      </c>
      <c r="B2367" t="s">
        <v>11</v>
      </c>
      <c r="C2367">
        <v>5</v>
      </c>
      <c r="D2367">
        <v>258</v>
      </c>
      <c r="E2367" t="s">
        <v>8</v>
      </c>
      <c r="F2367" t="s">
        <v>13</v>
      </c>
      <c r="G2367" t="s">
        <v>12</v>
      </c>
      <c r="H2367">
        <v>0</v>
      </c>
    </row>
    <row r="2368" spans="1:8" x14ac:dyDescent="0.35">
      <c r="A2368">
        <v>12889</v>
      </c>
      <c r="B2368" t="s">
        <v>11</v>
      </c>
      <c r="C2368">
        <v>2</v>
      </c>
      <c r="D2368">
        <v>327</v>
      </c>
      <c r="E2368" t="s">
        <v>8</v>
      </c>
      <c r="F2368" t="s">
        <v>9</v>
      </c>
      <c r="G2368" t="s">
        <v>10</v>
      </c>
      <c r="H2368">
        <v>0</v>
      </c>
    </row>
    <row r="2369" spans="1:8" x14ac:dyDescent="0.35">
      <c r="A2369">
        <v>19382</v>
      </c>
      <c r="B2369" t="s">
        <v>7</v>
      </c>
      <c r="C2369">
        <v>2</v>
      </c>
      <c r="D2369">
        <v>371</v>
      </c>
      <c r="E2369" t="s">
        <v>8</v>
      </c>
      <c r="F2369" t="s">
        <v>13</v>
      </c>
      <c r="G2369" t="s">
        <v>16</v>
      </c>
      <c r="H2369">
        <v>0</v>
      </c>
    </row>
    <row r="2370" spans="1:8" x14ac:dyDescent="0.35">
      <c r="A2370">
        <v>17918</v>
      </c>
      <c r="B2370" t="s">
        <v>7</v>
      </c>
      <c r="C2370">
        <v>1</v>
      </c>
      <c r="D2370">
        <v>326</v>
      </c>
      <c r="E2370" t="s">
        <v>15</v>
      </c>
      <c r="F2370" t="s">
        <v>9</v>
      </c>
      <c r="G2370" t="s">
        <v>10</v>
      </c>
      <c r="H2370">
        <v>1</v>
      </c>
    </row>
    <row r="2371" spans="1:8" x14ac:dyDescent="0.35">
      <c r="A2371">
        <v>16295</v>
      </c>
      <c r="B2371" t="s">
        <v>7</v>
      </c>
      <c r="C2371">
        <v>7</v>
      </c>
      <c r="D2371">
        <v>322</v>
      </c>
      <c r="E2371" t="s">
        <v>8</v>
      </c>
      <c r="F2371" t="s">
        <v>13</v>
      </c>
      <c r="G2371" t="s">
        <v>12</v>
      </c>
      <c r="H2371">
        <v>0</v>
      </c>
    </row>
    <row r="2372" spans="1:8" x14ac:dyDescent="0.35">
      <c r="A2372">
        <v>11207</v>
      </c>
      <c r="B2372" t="s">
        <v>11</v>
      </c>
      <c r="C2372">
        <v>8</v>
      </c>
      <c r="D2372">
        <v>416</v>
      </c>
      <c r="E2372" t="s">
        <v>8</v>
      </c>
      <c r="F2372" t="s">
        <v>13</v>
      </c>
      <c r="G2372" t="s">
        <v>16</v>
      </c>
      <c r="H2372">
        <v>0</v>
      </c>
    </row>
    <row r="2373" spans="1:8" x14ac:dyDescent="0.35">
      <c r="A2373">
        <v>10092</v>
      </c>
      <c r="B2373" t="s">
        <v>11</v>
      </c>
      <c r="C2373">
        <v>4</v>
      </c>
      <c r="D2373">
        <v>378</v>
      </c>
      <c r="E2373" t="s">
        <v>8</v>
      </c>
      <c r="F2373" t="s">
        <v>9</v>
      </c>
      <c r="G2373" t="s">
        <v>12</v>
      </c>
      <c r="H2373">
        <v>0</v>
      </c>
    </row>
    <row r="2374" spans="1:8" x14ac:dyDescent="0.35">
      <c r="A2374">
        <v>15587</v>
      </c>
      <c r="B2374" t="s">
        <v>11</v>
      </c>
      <c r="C2374">
        <v>7</v>
      </c>
      <c r="D2374">
        <v>386</v>
      </c>
      <c r="E2374" t="s">
        <v>8</v>
      </c>
      <c r="F2374" t="s">
        <v>9</v>
      </c>
      <c r="G2374" t="s">
        <v>16</v>
      </c>
      <c r="H2374">
        <v>0</v>
      </c>
    </row>
    <row r="2375" spans="1:8" x14ac:dyDescent="0.35">
      <c r="A2375">
        <v>11899</v>
      </c>
      <c r="B2375" t="s">
        <v>11</v>
      </c>
      <c r="C2375">
        <v>13</v>
      </c>
      <c r="D2375">
        <v>350</v>
      </c>
      <c r="E2375" t="s">
        <v>8</v>
      </c>
      <c r="F2375" t="s">
        <v>9</v>
      </c>
      <c r="G2375" t="s">
        <v>14</v>
      </c>
      <c r="H2375">
        <v>0</v>
      </c>
    </row>
    <row r="2376" spans="1:8" x14ac:dyDescent="0.35">
      <c r="A2376">
        <v>14381</v>
      </c>
      <c r="B2376" t="s">
        <v>7</v>
      </c>
      <c r="C2376">
        <v>8</v>
      </c>
      <c r="D2376">
        <v>154</v>
      </c>
      <c r="E2376" t="s">
        <v>8</v>
      </c>
      <c r="F2376" t="s">
        <v>13</v>
      </c>
      <c r="G2376" t="s">
        <v>12</v>
      </c>
      <c r="H2376">
        <v>0</v>
      </c>
    </row>
    <row r="2377" spans="1:8" x14ac:dyDescent="0.35">
      <c r="A2377">
        <v>12480</v>
      </c>
      <c r="B2377" t="s">
        <v>11</v>
      </c>
      <c r="C2377">
        <v>11</v>
      </c>
      <c r="D2377">
        <v>142</v>
      </c>
      <c r="E2377" t="s">
        <v>8</v>
      </c>
      <c r="F2377" t="s">
        <v>9</v>
      </c>
      <c r="G2377" t="s">
        <v>16</v>
      </c>
      <c r="H2377">
        <v>0</v>
      </c>
    </row>
    <row r="2378" spans="1:8" x14ac:dyDescent="0.35">
      <c r="A2378">
        <v>11241</v>
      </c>
      <c r="B2378" t="s">
        <v>7</v>
      </c>
      <c r="C2378">
        <v>9</v>
      </c>
      <c r="D2378">
        <v>118</v>
      </c>
      <c r="E2378" t="s">
        <v>8</v>
      </c>
      <c r="F2378" t="s">
        <v>13</v>
      </c>
      <c r="G2378" t="s">
        <v>12</v>
      </c>
      <c r="H2378">
        <v>0</v>
      </c>
    </row>
    <row r="2379" spans="1:8" x14ac:dyDescent="0.35">
      <c r="A2379">
        <v>18558</v>
      </c>
      <c r="B2379" t="s">
        <v>7</v>
      </c>
      <c r="C2379">
        <v>1</v>
      </c>
      <c r="D2379">
        <v>394</v>
      </c>
      <c r="E2379" t="s">
        <v>8</v>
      </c>
      <c r="F2379" t="s">
        <v>13</v>
      </c>
      <c r="G2379" t="s">
        <v>12</v>
      </c>
      <c r="H2379">
        <v>0</v>
      </c>
    </row>
    <row r="2380" spans="1:8" x14ac:dyDescent="0.35">
      <c r="A2380">
        <v>13428</v>
      </c>
      <c r="B2380" t="s">
        <v>11</v>
      </c>
      <c r="C2380">
        <v>14</v>
      </c>
      <c r="D2380">
        <v>318</v>
      </c>
      <c r="E2380" t="s">
        <v>8</v>
      </c>
      <c r="F2380" t="s">
        <v>9</v>
      </c>
      <c r="G2380" t="s">
        <v>14</v>
      </c>
      <c r="H2380">
        <v>0</v>
      </c>
    </row>
    <row r="2381" spans="1:8" x14ac:dyDescent="0.35">
      <c r="A2381">
        <v>14067</v>
      </c>
      <c r="B2381" t="s">
        <v>11</v>
      </c>
      <c r="C2381">
        <v>2</v>
      </c>
      <c r="D2381">
        <v>183</v>
      </c>
      <c r="E2381" t="s">
        <v>8</v>
      </c>
      <c r="F2381" t="s">
        <v>13</v>
      </c>
      <c r="G2381" t="s">
        <v>14</v>
      </c>
      <c r="H2381">
        <v>0</v>
      </c>
    </row>
    <row r="2382" spans="1:8" x14ac:dyDescent="0.35">
      <c r="A2382">
        <v>11323</v>
      </c>
      <c r="B2382" t="s">
        <v>11</v>
      </c>
      <c r="C2382">
        <v>7</v>
      </c>
      <c r="D2382">
        <v>381</v>
      </c>
      <c r="E2382" t="s">
        <v>8</v>
      </c>
      <c r="F2382" t="s">
        <v>9</v>
      </c>
      <c r="G2382" t="s">
        <v>16</v>
      </c>
      <c r="H2382">
        <v>0</v>
      </c>
    </row>
    <row r="2383" spans="1:8" x14ac:dyDescent="0.35">
      <c r="A2383">
        <v>11054</v>
      </c>
      <c r="B2383" t="s">
        <v>7</v>
      </c>
      <c r="C2383">
        <v>10</v>
      </c>
      <c r="D2383">
        <v>375</v>
      </c>
      <c r="E2383" t="s">
        <v>8</v>
      </c>
      <c r="F2383" t="s">
        <v>9</v>
      </c>
      <c r="G2383" t="s">
        <v>14</v>
      </c>
      <c r="H2383">
        <v>0</v>
      </c>
    </row>
    <row r="2384" spans="1:8" x14ac:dyDescent="0.35">
      <c r="A2384">
        <v>10962</v>
      </c>
      <c r="B2384" t="s">
        <v>11</v>
      </c>
      <c r="C2384">
        <v>6</v>
      </c>
      <c r="D2384">
        <v>62</v>
      </c>
      <c r="E2384" t="s">
        <v>8</v>
      </c>
      <c r="F2384" t="s">
        <v>9</v>
      </c>
      <c r="G2384" t="s">
        <v>14</v>
      </c>
      <c r="H2384">
        <v>0</v>
      </c>
    </row>
    <row r="2385" spans="1:8" x14ac:dyDescent="0.35">
      <c r="A2385">
        <v>11881</v>
      </c>
      <c r="B2385" t="s">
        <v>7</v>
      </c>
      <c r="C2385">
        <v>12</v>
      </c>
      <c r="D2385">
        <v>413</v>
      </c>
      <c r="E2385" t="s">
        <v>8</v>
      </c>
      <c r="F2385" t="s">
        <v>9</v>
      </c>
      <c r="G2385" t="s">
        <v>14</v>
      </c>
      <c r="H2385">
        <v>0</v>
      </c>
    </row>
    <row r="2386" spans="1:8" x14ac:dyDescent="0.35">
      <c r="A2386">
        <v>17995</v>
      </c>
      <c r="B2386" t="s">
        <v>7</v>
      </c>
      <c r="C2386">
        <v>6</v>
      </c>
      <c r="D2386">
        <v>81</v>
      </c>
      <c r="E2386" t="s">
        <v>8</v>
      </c>
      <c r="F2386" t="s">
        <v>9</v>
      </c>
      <c r="G2386" t="s">
        <v>14</v>
      </c>
      <c r="H2386">
        <v>0</v>
      </c>
    </row>
    <row r="2387" spans="1:8" x14ac:dyDescent="0.35">
      <c r="A2387">
        <v>16768</v>
      </c>
      <c r="B2387" t="s">
        <v>7</v>
      </c>
      <c r="C2387">
        <v>14</v>
      </c>
      <c r="D2387">
        <v>314</v>
      </c>
      <c r="E2387" t="s">
        <v>8</v>
      </c>
      <c r="F2387" t="s">
        <v>9</v>
      </c>
      <c r="G2387" t="s">
        <v>10</v>
      </c>
      <c r="H2387">
        <v>0</v>
      </c>
    </row>
    <row r="2388" spans="1:8" x14ac:dyDescent="0.35">
      <c r="A2388">
        <v>18191</v>
      </c>
      <c r="B2388" t="s">
        <v>11</v>
      </c>
      <c r="C2388">
        <v>14</v>
      </c>
      <c r="D2388">
        <v>198</v>
      </c>
      <c r="E2388" t="s">
        <v>8</v>
      </c>
      <c r="F2388" t="s">
        <v>13</v>
      </c>
      <c r="G2388" t="s">
        <v>16</v>
      </c>
      <c r="H2388">
        <v>0</v>
      </c>
    </row>
    <row r="2389" spans="1:8" x14ac:dyDescent="0.35">
      <c r="A2389">
        <v>18086</v>
      </c>
      <c r="B2389" t="s">
        <v>7</v>
      </c>
      <c r="C2389">
        <v>12</v>
      </c>
      <c r="D2389">
        <v>122</v>
      </c>
      <c r="E2389" t="s">
        <v>8</v>
      </c>
      <c r="F2389" t="s">
        <v>13</v>
      </c>
      <c r="G2389" t="s">
        <v>16</v>
      </c>
      <c r="H2389">
        <v>0</v>
      </c>
    </row>
    <row r="2390" spans="1:8" x14ac:dyDescent="0.35">
      <c r="A2390">
        <v>14589</v>
      </c>
      <c r="B2390" t="s">
        <v>7</v>
      </c>
      <c r="C2390">
        <v>11</v>
      </c>
      <c r="D2390">
        <v>266</v>
      </c>
      <c r="E2390" t="s">
        <v>8</v>
      </c>
      <c r="F2390" t="s">
        <v>9</v>
      </c>
      <c r="G2390" t="s">
        <v>10</v>
      </c>
      <c r="H2390">
        <v>0</v>
      </c>
    </row>
    <row r="2391" spans="1:8" x14ac:dyDescent="0.35">
      <c r="A2391">
        <v>17013</v>
      </c>
      <c r="B2391" t="s">
        <v>11</v>
      </c>
      <c r="C2391">
        <v>8</v>
      </c>
      <c r="D2391">
        <v>411</v>
      </c>
      <c r="E2391" t="s">
        <v>8</v>
      </c>
      <c r="F2391" t="s">
        <v>13</v>
      </c>
      <c r="G2391" t="s">
        <v>12</v>
      </c>
      <c r="H2391">
        <v>0</v>
      </c>
    </row>
    <row r="2392" spans="1:8" x14ac:dyDescent="0.35">
      <c r="A2392">
        <v>10913</v>
      </c>
      <c r="B2392" t="s">
        <v>11</v>
      </c>
      <c r="C2392">
        <v>12</v>
      </c>
      <c r="D2392">
        <v>41</v>
      </c>
      <c r="E2392" t="s">
        <v>8</v>
      </c>
      <c r="F2392" t="s">
        <v>9</v>
      </c>
      <c r="G2392" t="s">
        <v>14</v>
      </c>
      <c r="H2392">
        <v>0</v>
      </c>
    </row>
    <row r="2393" spans="1:8" x14ac:dyDescent="0.35">
      <c r="A2393">
        <v>13991</v>
      </c>
      <c r="B2393" t="s">
        <v>7</v>
      </c>
      <c r="C2393">
        <v>1</v>
      </c>
      <c r="D2393">
        <v>257</v>
      </c>
      <c r="E2393" t="s">
        <v>8</v>
      </c>
      <c r="F2393" t="s">
        <v>13</v>
      </c>
      <c r="G2393" t="s">
        <v>12</v>
      </c>
      <c r="H2393">
        <v>0</v>
      </c>
    </row>
    <row r="2394" spans="1:8" x14ac:dyDescent="0.35">
      <c r="A2394">
        <v>17829</v>
      </c>
      <c r="B2394" t="s">
        <v>7</v>
      </c>
      <c r="C2394">
        <v>4</v>
      </c>
      <c r="D2394">
        <v>106</v>
      </c>
      <c r="E2394" t="s">
        <v>8</v>
      </c>
      <c r="F2394" t="s">
        <v>13</v>
      </c>
      <c r="G2394" t="s">
        <v>16</v>
      </c>
      <c r="H2394">
        <v>0</v>
      </c>
    </row>
    <row r="2395" spans="1:8" x14ac:dyDescent="0.35">
      <c r="A2395">
        <v>13232</v>
      </c>
      <c r="B2395" t="s">
        <v>7</v>
      </c>
      <c r="C2395">
        <v>14</v>
      </c>
      <c r="D2395">
        <v>142</v>
      </c>
      <c r="E2395" t="s">
        <v>8</v>
      </c>
      <c r="F2395" t="s">
        <v>13</v>
      </c>
      <c r="G2395" t="s">
        <v>10</v>
      </c>
      <c r="H2395">
        <v>0</v>
      </c>
    </row>
    <row r="2396" spans="1:8" x14ac:dyDescent="0.35">
      <c r="A2396">
        <v>14996</v>
      </c>
      <c r="B2396" t="s">
        <v>11</v>
      </c>
      <c r="C2396">
        <v>12</v>
      </c>
      <c r="D2396">
        <v>397</v>
      </c>
      <c r="E2396" t="s">
        <v>8</v>
      </c>
      <c r="F2396" t="s">
        <v>13</v>
      </c>
      <c r="G2396" t="s">
        <v>16</v>
      </c>
      <c r="H2396">
        <v>0</v>
      </c>
    </row>
    <row r="2397" spans="1:8" x14ac:dyDescent="0.35">
      <c r="A2397">
        <v>15407</v>
      </c>
      <c r="B2397" t="s">
        <v>11</v>
      </c>
      <c r="C2397">
        <v>2</v>
      </c>
      <c r="D2397">
        <v>235</v>
      </c>
      <c r="E2397" t="s">
        <v>15</v>
      </c>
      <c r="F2397" t="s">
        <v>13</v>
      </c>
      <c r="G2397" t="s">
        <v>14</v>
      </c>
      <c r="H2397">
        <v>1</v>
      </c>
    </row>
    <row r="2398" spans="1:8" x14ac:dyDescent="0.35">
      <c r="A2398">
        <v>12514</v>
      </c>
      <c r="B2398" t="s">
        <v>11</v>
      </c>
      <c r="C2398">
        <v>14</v>
      </c>
      <c r="D2398">
        <v>181</v>
      </c>
      <c r="E2398" t="s">
        <v>8</v>
      </c>
      <c r="F2398" t="s">
        <v>9</v>
      </c>
      <c r="G2398" t="s">
        <v>12</v>
      </c>
      <c r="H2398">
        <v>0</v>
      </c>
    </row>
    <row r="2399" spans="1:8" x14ac:dyDescent="0.35">
      <c r="A2399">
        <v>18303</v>
      </c>
      <c r="B2399" t="s">
        <v>11</v>
      </c>
      <c r="C2399">
        <v>9</v>
      </c>
      <c r="D2399">
        <v>217</v>
      </c>
      <c r="E2399" t="s">
        <v>8</v>
      </c>
      <c r="F2399" t="s">
        <v>9</v>
      </c>
      <c r="G2399" t="s">
        <v>14</v>
      </c>
      <c r="H2399">
        <v>0</v>
      </c>
    </row>
    <row r="2400" spans="1:8" x14ac:dyDescent="0.35">
      <c r="A2400">
        <v>19954</v>
      </c>
      <c r="B2400" t="s">
        <v>11</v>
      </c>
      <c r="C2400">
        <v>4</v>
      </c>
      <c r="D2400">
        <v>254</v>
      </c>
      <c r="E2400" t="s">
        <v>8</v>
      </c>
      <c r="F2400" t="s">
        <v>9</v>
      </c>
      <c r="G2400" t="s">
        <v>16</v>
      </c>
      <c r="H2400">
        <v>0</v>
      </c>
    </row>
    <row r="2401" spans="1:8" x14ac:dyDescent="0.35">
      <c r="A2401">
        <v>15929</v>
      </c>
      <c r="B2401" t="s">
        <v>11</v>
      </c>
      <c r="C2401">
        <v>8</v>
      </c>
      <c r="D2401">
        <v>52</v>
      </c>
      <c r="E2401" t="s">
        <v>8</v>
      </c>
      <c r="F2401" t="s">
        <v>13</v>
      </c>
      <c r="G2401" t="s">
        <v>16</v>
      </c>
      <c r="H2401">
        <v>0</v>
      </c>
    </row>
    <row r="2402" spans="1:8" x14ac:dyDescent="0.35">
      <c r="A2402">
        <v>11454</v>
      </c>
      <c r="B2402" t="s">
        <v>7</v>
      </c>
      <c r="C2402">
        <v>13</v>
      </c>
      <c r="D2402">
        <v>222</v>
      </c>
      <c r="E2402" t="s">
        <v>8</v>
      </c>
      <c r="F2402" t="s">
        <v>13</v>
      </c>
      <c r="G2402" t="s">
        <v>16</v>
      </c>
      <c r="H2402">
        <v>0</v>
      </c>
    </row>
    <row r="2403" spans="1:8" x14ac:dyDescent="0.35">
      <c r="A2403">
        <v>17299</v>
      </c>
      <c r="B2403" t="s">
        <v>11</v>
      </c>
      <c r="C2403">
        <v>5</v>
      </c>
      <c r="D2403">
        <v>315</v>
      </c>
      <c r="E2403" t="s">
        <v>8</v>
      </c>
      <c r="F2403" t="s">
        <v>13</v>
      </c>
      <c r="G2403" t="s">
        <v>10</v>
      </c>
      <c r="H2403">
        <v>0</v>
      </c>
    </row>
    <row r="2404" spans="1:8" x14ac:dyDescent="0.35">
      <c r="A2404">
        <v>17422</v>
      </c>
      <c r="B2404" t="s">
        <v>11</v>
      </c>
      <c r="C2404">
        <v>6</v>
      </c>
      <c r="D2404">
        <v>99</v>
      </c>
      <c r="E2404" t="s">
        <v>8</v>
      </c>
      <c r="F2404" t="s">
        <v>9</v>
      </c>
      <c r="G2404" t="s">
        <v>16</v>
      </c>
      <c r="H2404">
        <v>0</v>
      </c>
    </row>
    <row r="2405" spans="1:8" x14ac:dyDescent="0.35">
      <c r="A2405">
        <v>13369</v>
      </c>
      <c r="B2405" t="s">
        <v>7</v>
      </c>
      <c r="C2405">
        <v>13</v>
      </c>
      <c r="D2405">
        <v>49</v>
      </c>
      <c r="E2405" t="s">
        <v>8</v>
      </c>
      <c r="F2405" t="s">
        <v>9</v>
      </c>
      <c r="G2405" t="s">
        <v>14</v>
      </c>
      <c r="H2405">
        <v>0</v>
      </c>
    </row>
    <row r="2406" spans="1:8" x14ac:dyDescent="0.35">
      <c r="A2406">
        <v>15117</v>
      </c>
      <c r="B2406" t="s">
        <v>11</v>
      </c>
      <c r="C2406">
        <v>14</v>
      </c>
      <c r="D2406">
        <v>131</v>
      </c>
      <c r="E2406" t="s">
        <v>8</v>
      </c>
      <c r="F2406" t="s">
        <v>13</v>
      </c>
      <c r="G2406" t="s">
        <v>14</v>
      </c>
      <c r="H2406">
        <v>0</v>
      </c>
    </row>
    <row r="2407" spans="1:8" x14ac:dyDescent="0.35">
      <c r="A2407">
        <v>16691</v>
      </c>
      <c r="B2407" t="s">
        <v>11</v>
      </c>
      <c r="C2407">
        <v>4</v>
      </c>
      <c r="D2407">
        <v>255</v>
      </c>
      <c r="E2407" t="s">
        <v>15</v>
      </c>
      <c r="F2407" t="s">
        <v>13</v>
      </c>
      <c r="G2407" t="s">
        <v>10</v>
      </c>
      <c r="H2407">
        <v>1</v>
      </c>
    </row>
    <row r="2408" spans="1:8" x14ac:dyDescent="0.35">
      <c r="A2408">
        <v>19002</v>
      </c>
      <c r="B2408" t="s">
        <v>7</v>
      </c>
      <c r="C2408">
        <v>1</v>
      </c>
      <c r="D2408">
        <v>193</v>
      </c>
      <c r="E2408" t="s">
        <v>8</v>
      </c>
      <c r="F2408" t="s">
        <v>13</v>
      </c>
      <c r="G2408" t="s">
        <v>12</v>
      </c>
      <c r="H2408">
        <v>0</v>
      </c>
    </row>
    <row r="2409" spans="1:8" x14ac:dyDescent="0.35">
      <c r="A2409">
        <v>17697</v>
      </c>
      <c r="B2409" t="s">
        <v>7</v>
      </c>
      <c r="C2409">
        <v>13</v>
      </c>
      <c r="D2409">
        <v>81</v>
      </c>
      <c r="E2409" t="s">
        <v>8</v>
      </c>
      <c r="F2409" t="s">
        <v>9</v>
      </c>
      <c r="G2409" t="s">
        <v>14</v>
      </c>
      <c r="H2409">
        <v>0</v>
      </c>
    </row>
    <row r="2410" spans="1:8" x14ac:dyDescent="0.35">
      <c r="A2410">
        <v>10537</v>
      </c>
      <c r="B2410" t="s">
        <v>7</v>
      </c>
      <c r="C2410">
        <v>12</v>
      </c>
      <c r="D2410">
        <v>438</v>
      </c>
      <c r="E2410" t="s">
        <v>8</v>
      </c>
      <c r="F2410" t="s">
        <v>13</v>
      </c>
      <c r="G2410" t="s">
        <v>14</v>
      </c>
      <c r="H2410">
        <v>0</v>
      </c>
    </row>
    <row r="2411" spans="1:8" x14ac:dyDescent="0.35">
      <c r="A2411">
        <v>11364</v>
      </c>
      <c r="B2411" t="s">
        <v>7</v>
      </c>
      <c r="C2411">
        <v>3</v>
      </c>
      <c r="D2411">
        <v>209</v>
      </c>
      <c r="E2411" t="s">
        <v>8</v>
      </c>
      <c r="F2411" t="s">
        <v>13</v>
      </c>
      <c r="G2411" t="s">
        <v>12</v>
      </c>
      <c r="H2411">
        <v>0</v>
      </c>
    </row>
    <row r="2412" spans="1:8" x14ac:dyDescent="0.35">
      <c r="A2412">
        <v>13370</v>
      </c>
      <c r="B2412" t="s">
        <v>7</v>
      </c>
      <c r="C2412">
        <v>12</v>
      </c>
      <c r="D2412">
        <v>213</v>
      </c>
      <c r="E2412" t="s">
        <v>8</v>
      </c>
      <c r="F2412" t="s">
        <v>9</v>
      </c>
      <c r="G2412" t="s">
        <v>16</v>
      </c>
      <c r="H2412">
        <v>0</v>
      </c>
    </row>
    <row r="2413" spans="1:8" x14ac:dyDescent="0.35">
      <c r="A2413">
        <v>18410</v>
      </c>
      <c r="B2413" t="s">
        <v>11</v>
      </c>
      <c r="C2413">
        <v>4</v>
      </c>
      <c r="D2413">
        <v>355</v>
      </c>
      <c r="E2413" t="s">
        <v>8</v>
      </c>
      <c r="F2413" t="s">
        <v>9</v>
      </c>
      <c r="G2413" t="s">
        <v>10</v>
      </c>
      <c r="H2413">
        <v>0</v>
      </c>
    </row>
    <row r="2414" spans="1:8" x14ac:dyDescent="0.35">
      <c r="A2414">
        <v>16923</v>
      </c>
      <c r="B2414" t="s">
        <v>11</v>
      </c>
      <c r="C2414">
        <v>7</v>
      </c>
      <c r="D2414">
        <v>49</v>
      </c>
      <c r="E2414" t="s">
        <v>8</v>
      </c>
      <c r="F2414" t="s">
        <v>13</v>
      </c>
      <c r="G2414" t="s">
        <v>10</v>
      </c>
      <c r="H2414">
        <v>0</v>
      </c>
    </row>
    <row r="2415" spans="1:8" x14ac:dyDescent="0.35">
      <c r="A2415">
        <v>19441</v>
      </c>
      <c r="B2415" t="s">
        <v>11</v>
      </c>
      <c r="C2415">
        <v>2</v>
      </c>
      <c r="D2415">
        <v>98</v>
      </c>
      <c r="E2415" t="s">
        <v>8</v>
      </c>
      <c r="F2415" t="s">
        <v>9</v>
      </c>
      <c r="G2415" t="s">
        <v>14</v>
      </c>
      <c r="H2415">
        <v>0</v>
      </c>
    </row>
    <row r="2416" spans="1:8" x14ac:dyDescent="0.35">
      <c r="A2416">
        <v>13660</v>
      </c>
      <c r="B2416" t="s">
        <v>11</v>
      </c>
      <c r="C2416">
        <v>4</v>
      </c>
      <c r="D2416">
        <v>124</v>
      </c>
      <c r="E2416" t="s">
        <v>8</v>
      </c>
      <c r="F2416" t="s">
        <v>13</v>
      </c>
      <c r="G2416" t="s">
        <v>12</v>
      </c>
      <c r="H2416">
        <v>0</v>
      </c>
    </row>
    <row r="2417" spans="1:8" x14ac:dyDescent="0.35">
      <c r="A2417">
        <v>14284</v>
      </c>
      <c r="B2417" t="s">
        <v>11</v>
      </c>
      <c r="C2417">
        <v>11</v>
      </c>
      <c r="D2417">
        <v>399</v>
      </c>
      <c r="E2417" t="s">
        <v>8</v>
      </c>
      <c r="F2417" t="s">
        <v>9</v>
      </c>
      <c r="G2417" t="s">
        <v>12</v>
      </c>
      <c r="H2417">
        <v>0</v>
      </c>
    </row>
    <row r="2418" spans="1:8" x14ac:dyDescent="0.35">
      <c r="A2418">
        <v>12680</v>
      </c>
      <c r="B2418" t="s">
        <v>11</v>
      </c>
      <c r="C2418">
        <v>12</v>
      </c>
      <c r="D2418">
        <v>232</v>
      </c>
      <c r="E2418" t="s">
        <v>8</v>
      </c>
      <c r="F2418" t="s">
        <v>13</v>
      </c>
      <c r="G2418" t="s">
        <v>16</v>
      </c>
      <c r="H2418">
        <v>0</v>
      </c>
    </row>
    <row r="2419" spans="1:8" x14ac:dyDescent="0.35">
      <c r="A2419">
        <v>12113</v>
      </c>
      <c r="B2419" t="s">
        <v>7</v>
      </c>
      <c r="C2419">
        <v>2</v>
      </c>
      <c r="D2419">
        <v>412</v>
      </c>
      <c r="E2419" t="s">
        <v>8</v>
      </c>
      <c r="F2419" t="s">
        <v>13</v>
      </c>
      <c r="G2419" t="s">
        <v>12</v>
      </c>
      <c r="H2419">
        <v>0</v>
      </c>
    </row>
    <row r="2420" spans="1:8" x14ac:dyDescent="0.35">
      <c r="A2420">
        <v>13656</v>
      </c>
      <c r="B2420" t="s">
        <v>7</v>
      </c>
      <c r="C2420">
        <v>1</v>
      </c>
      <c r="D2420">
        <v>304</v>
      </c>
      <c r="E2420" t="s">
        <v>8</v>
      </c>
      <c r="F2420" t="s">
        <v>13</v>
      </c>
      <c r="G2420" t="s">
        <v>10</v>
      </c>
      <c r="H2420">
        <v>0</v>
      </c>
    </row>
    <row r="2421" spans="1:8" x14ac:dyDescent="0.35">
      <c r="A2421">
        <v>12534</v>
      </c>
      <c r="B2421" t="s">
        <v>7</v>
      </c>
      <c r="C2421">
        <v>11</v>
      </c>
      <c r="D2421">
        <v>336</v>
      </c>
      <c r="E2421" t="s">
        <v>8</v>
      </c>
      <c r="F2421" t="s">
        <v>13</v>
      </c>
      <c r="G2421" t="s">
        <v>10</v>
      </c>
      <c r="H2421">
        <v>0</v>
      </c>
    </row>
    <row r="2422" spans="1:8" x14ac:dyDescent="0.35">
      <c r="A2422">
        <v>13646</v>
      </c>
      <c r="B2422" t="s">
        <v>11</v>
      </c>
      <c r="C2422">
        <v>5</v>
      </c>
      <c r="D2422">
        <v>106</v>
      </c>
      <c r="E2422" t="s">
        <v>8</v>
      </c>
      <c r="F2422" t="s">
        <v>13</v>
      </c>
      <c r="G2422" t="s">
        <v>14</v>
      </c>
      <c r="H2422">
        <v>0</v>
      </c>
    </row>
    <row r="2423" spans="1:8" x14ac:dyDescent="0.35">
      <c r="A2423">
        <v>12266</v>
      </c>
      <c r="B2423" t="s">
        <v>11</v>
      </c>
      <c r="C2423">
        <v>5</v>
      </c>
      <c r="D2423">
        <v>223</v>
      </c>
      <c r="E2423" t="s">
        <v>8</v>
      </c>
      <c r="F2423" t="s">
        <v>9</v>
      </c>
      <c r="G2423" t="s">
        <v>14</v>
      </c>
      <c r="H2423">
        <v>0</v>
      </c>
    </row>
    <row r="2424" spans="1:8" x14ac:dyDescent="0.35">
      <c r="A2424">
        <v>19766</v>
      </c>
      <c r="B2424" t="s">
        <v>7</v>
      </c>
      <c r="C2424">
        <v>6</v>
      </c>
      <c r="D2424">
        <v>364</v>
      </c>
      <c r="E2424" t="s">
        <v>8</v>
      </c>
      <c r="F2424" t="s">
        <v>13</v>
      </c>
      <c r="G2424" t="s">
        <v>14</v>
      </c>
      <c r="H2424">
        <v>0</v>
      </c>
    </row>
    <row r="2425" spans="1:8" x14ac:dyDescent="0.35">
      <c r="A2425">
        <v>15251</v>
      </c>
      <c r="B2425" t="s">
        <v>7</v>
      </c>
      <c r="C2425">
        <v>11</v>
      </c>
      <c r="D2425">
        <v>59</v>
      </c>
      <c r="E2425" t="s">
        <v>8</v>
      </c>
      <c r="F2425" t="s">
        <v>9</v>
      </c>
      <c r="G2425" t="s">
        <v>14</v>
      </c>
      <c r="H2425">
        <v>0</v>
      </c>
    </row>
    <row r="2426" spans="1:8" x14ac:dyDescent="0.35">
      <c r="A2426">
        <v>11976</v>
      </c>
      <c r="B2426" t="s">
        <v>7</v>
      </c>
      <c r="C2426">
        <v>13</v>
      </c>
      <c r="D2426">
        <v>214</v>
      </c>
      <c r="E2426" t="s">
        <v>8</v>
      </c>
      <c r="F2426" t="s">
        <v>13</v>
      </c>
      <c r="G2426" t="s">
        <v>10</v>
      </c>
      <c r="H2426">
        <v>0</v>
      </c>
    </row>
    <row r="2427" spans="1:8" x14ac:dyDescent="0.35">
      <c r="A2427">
        <v>16183</v>
      </c>
      <c r="B2427" t="s">
        <v>7</v>
      </c>
      <c r="C2427">
        <v>5</v>
      </c>
      <c r="D2427">
        <v>46</v>
      </c>
      <c r="E2427" t="s">
        <v>8</v>
      </c>
      <c r="F2427" t="s">
        <v>9</v>
      </c>
      <c r="G2427" t="s">
        <v>12</v>
      </c>
      <c r="H2427">
        <v>0</v>
      </c>
    </row>
    <row r="2428" spans="1:8" x14ac:dyDescent="0.35">
      <c r="A2428">
        <v>12916</v>
      </c>
      <c r="B2428" t="s">
        <v>11</v>
      </c>
      <c r="C2428">
        <v>9</v>
      </c>
      <c r="D2428">
        <v>87</v>
      </c>
      <c r="E2428" t="s">
        <v>8</v>
      </c>
      <c r="F2428" t="s">
        <v>13</v>
      </c>
      <c r="G2428" t="s">
        <v>14</v>
      </c>
      <c r="H2428">
        <v>0</v>
      </c>
    </row>
    <row r="2429" spans="1:8" x14ac:dyDescent="0.35">
      <c r="A2429">
        <v>19171</v>
      </c>
      <c r="B2429" t="s">
        <v>11</v>
      </c>
      <c r="C2429">
        <v>2</v>
      </c>
      <c r="D2429">
        <v>348</v>
      </c>
      <c r="E2429" t="s">
        <v>15</v>
      </c>
      <c r="F2429" t="s">
        <v>13</v>
      </c>
      <c r="G2429" t="s">
        <v>12</v>
      </c>
      <c r="H2429">
        <v>1</v>
      </c>
    </row>
    <row r="2430" spans="1:8" x14ac:dyDescent="0.35">
      <c r="A2430">
        <v>12262</v>
      </c>
      <c r="B2430" t="s">
        <v>11</v>
      </c>
      <c r="C2430">
        <v>9</v>
      </c>
      <c r="D2430">
        <v>302</v>
      </c>
      <c r="E2430" t="s">
        <v>8</v>
      </c>
      <c r="F2430" t="s">
        <v>9</v>
      </c>
      <c r="G2430" t="s">
        <v>16</v>
      </c>
      <c r="H2430">
        <v>0</v>
      </c>
    </row>
    <row r="2431" spans="1:8" x14ac:dyDescent="0.35">
      <c r="A2431">
        <v>14446</v>
      </c>
      <c r="B2431" t="s">
        <v>11</v>
      </c>
      <c r="C2431">
        <v>8</v>
      </c>
      <c r="D2431">
        <v>227</v>
      </c>
      <c r="E2431" t="s">
        <v>8</v>
      </c>
      <c r="F2431" t="s">
        <v>9</v>
      </c>
      <c r="G2431" t="s">
        <v>14</v>
      </c>
      <c r="H2431">
        <v>0</v>
      </c>
    </row>
    <row r="2432" spans="1:8" x14ac:dyDescent="0.35">
      <c r="A2432">
        <v>11224</v>
      </c>
      <c r="B2432" t="s">
        <v>7</v>
      </c>
      <c r="C2432">
        <v>6</v>
      </c>
      <c r="D2432">
        <v>93</v>
      </c>
      <c r="E2432" t="s">
        <v>8</v>
      </c>
      <c r="F2432" t="s">
        <v>13</v>
      </c>
      <c r="G2432" t="s">
        <v>10</v>
      </c>
      <c r="H2432">
        <v>0</v>
      </c>
    </row>
    <row r="2433" spans="1:8" x14ac:dyDescent="0.35">
      <c r="A2433">
        <v>19653</v>
      </c>
      <c r="B2433" t="s">
        <v>11</v>
      </c>
      <c r="C2433">
        <v>7</v>
      </c>
      <c r="D2433">
        <v>51</v>
      </c>
      <c r="E2433" t="s">
        <v>8</v>
      </c>
      <c r="F2433" t="s">
        <v>9</v>
      </c>
      <c r="G2433" t="s">
        <v>16</v>
      </c>
      <c r="H2433">
        <v>0</v>
      </c>
    </row>
    <row r="2434" spans="1:8" x14ac:dyDescent="0.35">
      <c r="A2434">
        <v>12582</v>
      </c>
      <c r="B2434" t="s">
        <v>7</v>
      </c>
      <c r="C2434">
        <v>5</v>
      </c>
      <c r="D2434">
        <v>279</v>
      </c>
      <c r="E2434" t="s">
        <v>8</v>
      </c>
      <c r="F2434" t="s">
        <v>9</v>
      </c>
      <c r="G2434" t="s">
        <v>12</v>
      </c>
      <c r="H2434">
        <v>0</v>
      </c>
    </row>
    <row r="2435" spans="1:8" x14ac:dyDescent="0.35">
      <c r="A2435">
        <v>12989</v>
      </c>
      <c r="B2435" t="s">
        <v>11</v>
      </c>
      <c r="C2435">
        <v>3</v>
      </c>
      <c r="D2435">
        <v>358</v>
      </c>
      <c r="E2435" t="s">
        <v>15</v>
      </c>
      <c r="F2435" t="s">
        <v>13</v>
      </c>
      <c r="G2435" t="s">
        <v>14</v>
      </c>
      <c r="H2435">
        <v>1</v>
      </c>
    </row>
    <row r="2436" spans="1:8" x14ac:dyDescent="0.35">
      <c r="A2436">
        <v>13279</v>
      </c>
      <c r="B2436" t="s">
        <v>11</v>
      </c>
      <c r="C2436">
        <v>1</v>
      </c>
      <c r="D2436">
        <v>380</v>
      </c>
      <c r="E2436" t="s">
        <v>8</v>
      </c>
      <c r="F2436" t="s">
        <v>13</v>
      </c>
      <c r="G2436" t="s">
        <v>14</v>
      </c>
      <c r="H2436">
        <v>0</v>
      </c>
    </row>
    <row r="2437" spans="1:8" x14ac:dyDescent="0.35">
      <c r="A2437">
        <v>12505</v>
      </c>
      <c r="B2437" t="s">
        <v>7</v>
      </c>
      <c r="C2437">
        <v>11</v>
      </c>
      <c r="D2437">
        <v>265</v>
      </c>
      <c r="E2437" t="s">
        <v>8</v>
      </c>
      <c r="F2437" t="s">
        <v>13</v>
      </c>
      <c r="G2437" t="s">
        <v>12</v>
      </c>
      <c r="H2437">
        <v>0</v>
      </c>
    </row>
    <row r="2438" spans="1:8" x14ac:dyDescent="0.35">
      <c r="A2438">
        <v>18282</v>
      </c>
      <c r="B2438" t="s">
        <v>11</v>
      </c>
      <c r="C2438">
        <v>11</v>
      </c>
      <c r="D2438">
        <v>373</v>
      </c>
      <c r="E2438" t="s">
        <v>8</v>
      </c>
      <c r="F2438" t="s">
        <v>9</v>
      </c>
      <c r="G2438" t="s">
        <v>14</v>
      </c>
      <c r="H2438">
        <v>0</v>
      </c>
    </row>
    <row r="2439" spans="1:8" x14ac:dyDescent="0.35">
      <c r="A2439">
        <v>18272</v>
      </c>
      <c r="B2439" t="s">
        <v>7</v>
      </c>
      <c r="C2439">
        <v>3</v>
      </c>
      <c r="D2439">
        <v>200</v>
      </c>
      <c r="E2439" t="s">
        <v>8</v>
      </c>
      <c r="F2439" t="s">
        <v>9</v>
      </c>
      <c r="G2439" t="s">
        <v>10</v>
      </c>
      <c r="H2439">
        <v>0</v>
      </c>
    </row>
    <row r="2440" spans="1:8" x14ac:dyDescent="0.35">
      <c r="A2440">
        <v>19621</v>
      </c>
      <c r="B2440" t="s">
        <v>11</v>
      </c>
      <c r="C2440">
        <v>8</v>
      </c>
      <c r="D2440">
        <v>435</v>
      </c>
      <c r="E2440" t="s">
        <v>8</v>
      </c>
      <c r="F2440" t="s">
        <v>13</v>
      </c>
      <c r="G2440" t="s">
        <v>12</v>
      </c>
      <c r="H2440">
        <v>0</v>
      </c>
    </row>
    <row r="2441" spans="1:8" x14ac:dyDescent="0.35">
      <c r="A2441">
        <v>19627</v>
      </c>
      <c r="B2441" t="s">
        <v>7</v>
      </c>
      <c r="C2441">
        <v>7</v>
      </c>
      <c r="D2441">
        <v>169</v>
      </c>
      <c r="E2441" t="s">
        <v>8</v>
      </c>
      <c r="F2441" t="s">
        <v>9</v>
      </c>
      <c r="G2441" t="s">
        <v>10</v>
      </c>
      <c r="H2441">
        <v>0</v>
      </c>
    </row>
    <row r="2442" spans="1:8" x14ac:dyDescent="0.35">
      <c r="A2442">
        <v>11139</v>
      </c>
      <c r="B2442" t="s">
        <v>11</v>
      </c>
      <c r="C2442">
        <v>14</v>
      </c>
      <c r="D2442">
        <v>338</v>
      </c>
      <c r="E2442" t="s">
        <v>8</v>
      </c>
      <c r="F2442" t="s">
        <v>13</v>
      </c>
      <c r="G2442" t="s">
        <v>10</v>
      </c>
      <c r="H2442">
        <v>0</v>
      </c>
    </row>
    <row r="2443" spans="1:8" x14ac:dyDescent="0.35">
      <c r="A2443">
        <v>15380</v>
      </c>
      <c r="B2443" t="s">
        <v>7</v>
      </c>
      <c r="C2443">
        <v>7</v>
      </c>
      <c r="D2443">
        <v>282</v>
      </c>
      <c r="E2443" t="s">
        <v>8</v>
      </c>
      <c r="F2443" t="s">
        <v>9</v>
      </c>
      <c r="G2443" t="s">
        <v>14</v>
      </c>
      <c r="H2443">
        <v>0</v>
      </c>
    </row>
    <row r="2444" spans="1:8" x14ac:dyDescent="0.35">
      <c r="A2444">
        <v>18825</v>
      </c>
      <c r="B2444" t="s">
        <v>7</v>
      </c>
      <c r="C2444">
        <v>5</v>
      </c>
      <c r="D2444">
        <v>438</v>
      </c>
      <c r="E2444" t="s">
        <v>8</v>
      </c>
      <c r="F2444" t="s">
        <v>13</v>
      </c>
      <c r="G2444" t="s">
        <v>14</v>
      </c>
      <c r="H2444">
        <v>0</v>
      </c>
    </row>
    <row r="2445" spans="1:8" x14ac:dyDescent="0.35">
      <c r="A2445">
        <v>10065</v>
      </c>
      <c r="B2445" t="s">
        <v>11</v>
      </c>
      <c r="C2445">
        <v>3</v>
      </c>
      <c r="D2445">
        <v>225</v>
      </c>
      <c r="E2445" t="s">
        <v>8</v>
      </c>
      <c r="F2445" t="s">
        <v>9</v>
      </c>
      <c r="G2445" t="s">
        <v>12</v>
      </c>
      <c r="H2445">
        <v>0</v>
      </c>
    </row>
    <row r="2446" spans="1:8" x14ac:dyDescent="0.35">
      <c r="A2446">
        <v>17105</v>
      </c>
      <c r="B2446" t="s">
        <v>7</v>
      </c>
      <c r="C2446">
        <v>4</v>
      </c>
      <c r="D2446">
        <v>326</v>
      </c>
      <c r="E2446" t="s">
        <v>15</v>
      </c>
      <c r="F2446" t="s">
        <v>9</v>
      </c>
      <c r="G2446" t="s">
        <v>14</v>
      </c>
      <c r="H2446">
        <v>1</v>
      </c>
    </row>
    <row r="2447" spans="1:8" x14ac:dyDescent="0.35">
      <c r="A2447">
        <v>11133</v>
      </c>
      <c r="B2447" t="s">
        <v>7</v>
      </c>
      <c r="C2447">
        <v>6</v>
      </c>
      <c r="D2447">
        <v>202</v>
      </c>
      <c r="E2447" t="s">
        <v>8</v>
      </c>
      <c r="F2447" t="s">
        <v>13</v>
      </c>
      <c r="G2447" t="s">
        <v>16</v>
      </c>
      <c r="H2447">
        <v>0</v>
      </c>
    </row>
    <row r="2448" spans="1:8" x14ac:dyDescent="0.35">
      <c r="A2448">
        <v>13245</v>
      </c>
      <c r="B2448" t="s">
        <v>7</v>
      </c>
      <c r="C2448">
        <v>12</v>
      </c>
      <c r="D2448">
        <v>213</v>
      </c>
      <c r="E2448" t="s">
        <v>8</v>
      </c>
      <c r="F2448" t="s">
        <v>13</v>
      </c>
      <c r="G2448" t="s">
        <v>10</v>
      </c>
      <c r="H2448">
        <v>0</v>
      </c>
    </row>
    <row r="2449" spans="1:8" x14ac:dyDescent="0.35">
      <c r="A2449">
        <v>19317</v>
      </c>
      <c r="B2449" t="s">
        <v>7</v>
      </c>
      <c r="C2449">
        <v>4</v>
      </c>
      <c r="D2449">
        <v>419</v>
      </c>
      <c r="E2449" t="s">
        <v>8</v>
      </c>
      <c r="F2449" t="s">
        <v>9</v>
      </c>
      <c r="G2449" t="s">
        <v>14</v>
      </c>
      <c r="H2449">
        <v>0</v>
      </c>
    </row>
    <row r="2450" spans="1:8" x14ac:dyDescent="0.35">
      <c r="A2450">
        <v>17816</v>
      </c>
      <c r="B2450" t="s">
        <v>7</v>
      </c>
      <c r="C2450">
        <v>4</v>
      </c>
      <c r="D2450">
        <v>363</v>
      </c>
      <c r="E2450" t="s">
        <v>15</v>
      </c>
      <c r="F2450" t="s">
        <v>13</v>
      </c>
      <c r="G2450" t="s">
        <v>14</v>
      </c>
      <c r="H2450">
        <v>1</v>
      </c>
    </row>
    <row r="2451" spans="1:8" x14ac:dyDescent="0.35">
      <c r="A2451">
        <v>13952</v>
      </c>
      <c r="B2451" t="s">
        <v>7</v>
      </c>
      <c r="C2451">
        <v>1</v>
      </c>
      <c r="D2451">
        <v>265</v>
      </c>
      <c r="E2451" t="s">
        <v>8</v>
      </c>
      <c r="F2451" t="s">
        <v>13</v>
      </c>
      <c r="G2451" t="s">
        <v>10</v>
      </c>
      <c r="H2451">
        <v>0</v>
      </c>
    </row>
    <row r="2452" spans="1:8" x14ac:dyDescent="0.35">
      <c r="A2452">
        <v>15032</v>
      </c>
      <c r="B2452" t="s">
        <v>11</v>
      </c>
      <c r="C2452">
        <v>3</v>
      </c>
      <c r="D2452">
        <v>214</v>
      </c>
      <c r="E2452" t="s">
        <v>8</v>
      </c>
      <c r="F2452" t="s">
        <v>9</v>
      </c>
      <c r="G2452" t="s">
        <v>16</v>
      </c>
      <c r="H2452">
        <v>0</v>
      </c>
    </row>
    <row r="2453" spans="1:8" x14ac:dyDescent="0.35">
      <c r="A2453">
        <v>17799</v>
      </c>
      <c r="B2453" t="s">
        <v>7</v>
      </c>
      <c r="C2453">
        <v>8</v>
      </c>
      <c r="D2453">
        <v>429</v>
      </c>
      <c r="E2453" t="s">
        <v>8</v>
      </c>
      <c r="F2453" t="s">
        <v>9</v>
      </c>
      <c r="G2453" t="s">
        <v>10</v>
      </c>
      <c r="H2453">
        <v>0</v>
      </c>
    </row>
    <row r="2454" spans="1:8" x14ac:dyDescent="0.35">
      <c r="A2454">
        <v>18569</v>
      </c>
      <c r="B2454" t="s">
        <v>7</v>
      </c>
      <c r="C2454">
        <v>13</v>
      </c>
      <c r="D2454">
        <v>360</v>
      </c>
      <c r="E2454" t="s">
        <v>8</v>
      </c>
      <c r="F2454" t="s">
        <v>9</v>
      </c>
      <c r="G2454" t="s">
        <v>10</v>
      </c>
      <c r="H2454">
        <v>0</v>
      </c>
    </row>
    <row r="2455" spans="1:8" x14ac:dyDescent="0.35">
      <c r="A2455">
        <v>19821</v>
      </c>
      <c r="B2455" t="s">
        <v>7</v>
      </c>
      <c r="C2455">
        <v>6</v>
      </c>
      <c r="D2455">
        <v>395</v>
      </c>
      <c r="E2455" t="s">
        <v>8</v>
      </c>
      <c r="F2455" t="s">
        <v>13</v>
      </c>
      <c r="G2455" t="s">
        <v>12</v>
      </c>
      <c r="H2455">
        <v>0</v>
      </c>
    </row>
    <row r="2456" spans="1:8" x14ac:dyDescent="0.35">
      <c r="A2456">
        <v>12716</v>
      </c>
      <c r="B2456" t="s">
        <v>11</v>
      </c>
      <c r="C2456">
        <v>13</v>
      </c>
      <c r="D2456">
        <v>371</v>
      </c>
      <c r="E2456" t="s">
        <v>8</v>
      </c>
      <c r="F2456" t="s">
        <v>13</v>
      </c>
      <c r="G2456" t="s">
        <v>12</v>
      </c>
      <c r="H2456">
        <v>0</v>
      </c>
    </row>
    <row r="2457" spans="1:8" x14ac:dyDescent="0.35">
      <c r="A2457">
        <v>13502</v>
      </c>
      <c r="B2457" t="s">
        <v>11</v>
      </c>
      <c r="C2457">
        <v>5</v>
      </c>
      <c r="D2457">
        <v>392</v>
      </c>
      <c r="E2457" t="s">
        <v>8</v>
      </c>
      <c r="F2457" t="s">
        <v>9</v>
      </c>
      <c r="G2457" t="s">
        <v>12</v>
      </c>
      <c r="H2457">
        <v>0</v>
      </c>
    </row>
    <row r="2458" spans="1:8" x14ac:dyDescent="0.35">
      <c r="A2458">
        <v>17391</v>
      </c>
      <c r="B2458" t="s">
        <v>11</v>
      </c>
      <c r="C2458">
        <v>9</v>
      </c>
      <c r="D2458">
        <v>368</v>
      </c>
      <c r="E2458" t="s">
        <v>8</v>
      </c>
      <c r="F2458" t="s">
        <v>9</v>
      </c>
      <c r="G2458" t="s">
        <v>16</v>
      </c>
      <c r="H2458">
        <v>0</v>
      </c>
    </row>
    <row r="2459" spans="1:8" x14ac:dyDescent="0.35">
      <c r="A2459">
        <v>15211</v>
      </c>
      <c r="B2459" t="s">
        <v>7</v>
      </c>
      <c r="C2459">
        <v>10</v>
      </c>
      <c r="D2459">
        <v>324</v>
      </c>
      <c r="E2459" t="s">
        <v>8</v>
      </c>
      <c r="F2459" t="s">
        <v>9</v>
      </c>
      <c r="G2459" t="s">
        <v>16</v>
      </c>
      <c r="H2459">
        <v>0</v>
      </c>
    </row>
    <row r="2460" spans="1:8" x14ac:dyDescent="0.35">
      <c r="A2460">
        <v>17163</v>
      </c>
      <c r="B2460" t="s">
        <v>11</v>
      </c>
      <c r="C2460">
        <v>10</v>
      </c>
      <c r="D2460">
        <v>190</v>
      </c>
      <c r="E2460" t="s">
        <v>8</v>
      </c>
      <c r="F2460" t="s">
        <v>13</v>
      </c>
      <c r="G2460" t="s">
        <v>10</v>
      </c>
      <c r="H2460">
        <v>0</v>
      </c>
    </row>
    <row r="2461" spans="1:8" x14ac:dyDescent="0.35">
      <c r="A2461">
        <v>10732</v>
      </c>
      <c r="B2461" t="s">
        <v>7</v>
      </c>
      <c r="C2461">
        <v>8</v>
      </c>
      <c r="D2461">
        <v>83</v>
      </c>
      <c r="E2461" t="s">
        <v>8</v>
      </c>
      <c r="F2461" t="s">
        <v>9</v>
      </c>
      <c r="G2461" t="s">
        <v>14</v>
      </c>
      <c r="H2461">
        <v>0</v>
      </c>
    </row>
    <row r="2462" spans="1:8" x14ac:dyDescent="0.35">
      <c r="A2462">
        <v>12175</v>
      </c>
      <c r="B2462" t="s">
        <v>7</v>
      </c>
      <c r="C2462">
        <v>10</v>
      </c>
      <c r="D2462">
        <v>67</v>
      </c>
      <c r="E2462" t="s">
        <v>8</v>
      </c>
      <c r="F2462" t="s">
        <v>9</v>
      </c>
      <c r="G2462" t="s">
        <v>16</v>
      </c>
      <c r="H2462">
        <v>0</v>
      </c>
    </row>
    <row r="2463" spans="1:8" x14ac:dyDescent="0.35">
      <c r="A2463">
        <v>10765</v>
      </c>
      <c r="B2463" t="s">
        <v>7</v>
      </c>
      <c r="C2463">
        <v>6</v>
      </c>
      <c r="D2463">
        <v>61</v>
      </c>
      <c r="E2463" t="s">
        <v>8</v>
      </c>
      <c r="F2463" t="s">
        <v>9</v>
      </c>
      <c r="G2463" t="s">
        <v>16</v>
      </c>
      <c r="H2463">
        <v>0</v>
      </c>
    </row>
    <row r="2464" spans="1:8" x14ac:dyDescent="0.35">
      <c r="A2464">
        <v>16548</v>
      </c>
      <c r="B2464" t="s">
        <v>11</v>
      </c>
      <c r="C2464">
        <v>10</v>
      </c>
      <c r="D2464">
        <v>119</v>
      </c>
      <c r="E2464" t="s">
        <v>8</v>
      </c>
      <c r="F2464" t="s">
        <v>13</v>
      </c>
      <c r="G2464" t="s">
        <v>14</v>
      </c>
      <c r="H2464">
        <v>0</v>
      </c>
    </row>
    <row r="2465" spans="1:8" x14ac:dyDescent="0.35">
      <c r="A2465">
        <v>12201</v>
      </c>
      <c r="B2465" t="s">
        <v>11</v>
      </c>
      <c r="C2465">
        <v>11</v>
      </c>
      <c r="D2465">
        <v>303</v>
      </c>
      <c r="E2465" t="s">
        <v>8</v>
      </c>
      <c r="F2465" t="s">
        <v>13</v>
      </c>
      <c r="G2465" t="s">
        <v>12</v>
      </c>
      <c r="H2465">
        <v>0</v>
      </c>
    </row>
    <row r="2466" spans="1:8" x14ac:dyDescent="0.35">
      <c r="A2466">
        <v>11495</v>
      </c>
      <c r="B2466" t="s">
        <v>11</v>
      </c>
      <c r="C2466">
        <v>12</v>
      </c>
      <c r="D2466">
        <v>97</v>
      </c>
      <c r="E2466" t="s">
        <v>8</v>
      </c>
      <c r="F2466" t="s">
        <v>13</v>
      </c>
      <c r="G2466" t="s">
        <v>14</v>
      </c>
      <c r="H2466">
        <v>0</v>
      </c>
    </row>
    <row r="2467" spans="1:8" x14ac:dyDescent="0.35">
      <c r="A2467">
        <v>10077</v>
      </c>
      <c r="B2467" t="s">
        <v>7</v>
      </c>
      <c r="C2467">
        <v>11</v>
      </c>
      <c r="D2467">
        <v>263</v>
      </c>
      <c r="E2467" t="s">
        <v>8</v>
      </c>
      <c r="F2467" t="s">
        <v>13</v>
      </c>
      <c r="G2467" t="s">
        <v>12</v>
      </c>
      <c r="H2467">
        <v>0</v>
      </c>
    </row>
    <row r="2468" spans="1:8" x14ac:dyDescent="0.35">
      <c r="A2468">
        <v>15245</v>
      </c>
      <c r="B2468" t="s">
        <v>11</v>
      </c>
      <c r="C2468">
        <v>7</v>
      </c>
      <c r="D2468">
        <v>173</v>
      </c>
      <c r="E2468" t="s">
        <v>8</v>
      </c>
      <c r="F2468" t="s">
        <v>9</v>
      </c>
      <c r="G2468" t="s">
        <v>12</v>
      </c>
      <c r="H2468">
        <v>0</v>
      </c>
    </row>
    <row r="2469" spans="1:8" x14ac:dyDescent="0.35">
      <c r="A2469">
        <v>10179</v>
      </c>
      <c r="B2469" t="s">
        <v>7</v>
      </c>
      <c r="C2469">
        <v>7</v>
      </c>
      <c r="D2469">
        <v>74</v>
      </c>
      <c r="E2469" t="s">
        <v>8</v>
      </c>
      <c r="F2469" t="s">
        <v>13</v>
      </c>
      <c r="G2469" t="s">
        <v>10</v>
      </c>
      <c r="H2469">
        <v>0</v>
      </c>
    </row>
    <row r="2470" spans="1:8" x14ac:dyDescent="0.35">
      <c r="A2470">
        <v>18217</v>
      </c>
      <c r="B2470" t="s">
        <v>11</v>
      </c>
      <c r="C2470">
        <v>8</v>
      </c>
      <c r="D2470">
        <v>135</v>
      </c>
      <c r="E2470" t="s">
        <v>8</v>
      </c>
      <c r="F2470" t="s">
        <v>13</v>
      </c>
      <c r="G2470" t="s">
        <v>16</v>
      </c>
      <c r="H2470">
        <v>0</v>
      </c>
    </row>
    <row r="2471" spans="1:8" x14ac:dyDescent="0.35">
      <c r="A2471">
        <v>12297</v>
      </c>
      <c r="B2471" t="s">
        <v>7</v>
      </c>
      <c r="C2471">
        <v>4</v>
      </c>
      <c r="D2471">
        <v>145</v>
      </c>
      <c r="E2471" t="s">
        <v>8</v>
      </c>
      <c r="F2471" t="s">
        <v>9</v>
      </c>
      <c r="G2471" t="s">
        <v>14</v>
      </c>
      <c r="H2471">
        <v>0</v>
      </c>
    </row>
    <row r="2472" spans="1:8" x14ac:dyDescent="0.35">
      <c r="A2472">
        <v>16322</v>
      </c>
      <c r="B2472" t="s">
        <v>7</v>
      </c>
      <c r="C2472">
        <v>2</v>
      </c>
      <c r="D2472">
        <v>93</v>
      </c>
      <c r="E2472" t="s">
        <v>8</v>
      </c>
      <c r="F2472" t="s">
        <v>9</v>
      </c>
      <c r="G2472" t="s">
        <v>10</v>
      </c>
      <c r="H2472">
        <v>0</v>
      </c>
    </row>
    <row r="2473" spans="1:8" x14ac:dyDescent="0.35">
      <c r="A2473">
        <v>11619</v>
      </c>
      <c r="B2473" t="s">
        <v>7</v>
      </c>
      <c r="C2473">
        <v>7</v>
      </c>
      <c r="D2473">
        <v>378</v>
      </c>
      <c r="E2473" t="s">
        <v>8</v>
      </c>
      <c r="F2473" t="s">
        <v>9</v>
      </c>
      <c r="G2473" t="s">
        <v>14</v>
      </c>
      <c r="H2473">
        <v>0</v>
      </c>
    </row>
    <row r="2474" spans="1:8" x14ac:dyDescent="0.35">
      <c r="A2474">
        <v>10186</v>
      </c>
      <c r="B2474" t="s">
        <v>11</v>
      </c>
      <c r="C2474">
        <v>5</v>
      </c>
      <c r="D2474">
        <v>380</v>
      </c>
      <c r="E2474" t="s">
        <v>8</v>
      </c>
      <c r="F2474" t="s">
        <v>13</v>
      </c>
      <c r="G2474" t="s">
        <v>10</v>
      </c>
      <c r="H2474">
        <v>0</v>
      </c>
    </row>
    <row r="2475" spans="1:8" x14ac:dyDescent="0.35">
      <c r="A2475">
        <v>19286</v>
      </c>
      <c r="B2475" t="s">
        <v>11</v>
      </c>
      <c r="C2475">
        <v>10</v>
      </c>
      <c r="D2475">
        <v>260</v>
      </c>
      <c r="E2475" t="s">
        <v>8</v>
      </c>
      <c r="F2475" t="s">
        <v>13</v>
      </c>
      <c r="G2475" t="s">
        <v>12</v>
      </c>
      <c r="H2475">
        <v>0</v>
      </c>
    </row>
    <row r="2476" spans="1:8" x14ac:dyDescent="0.35">
      <c r="A2476">
        <v>12300</v>
      </c>
      <c r="B2476" t="s">
        <v>11</v>
      </c>
      <c r="C2476">
        <v>3</v>
      </c>
      <c r="D2476">
        <v>262</v>
      </c>
      <c r="E2476" t="s">
        <v>8</v>
      </c>
      <c r="F2476" t="s">
        <v>13</v>
      </c>
      <c r="G2476" t="s">
        <v>16</v>
      </c>
      <c r="H2476">
        <v>0</v>
      </c>
    </row>
    <row r="2477" spans="1:8" x14ac:dyDescent="0.35">
      <c r="A2477">
        <v>17883</v>
      </c>
      <c r="B2477" t="s">
        <v>7</v>
      </c>
      <c r="C2477">
        <v>5</v>
      </c>
      <c r="D2477">
        <v>214</v>
      </c>
      <c r="E2477" t="s">
        <v>8</v>
      </c>
      <c r="F2477" t="s">
        <v>9</v>
      </c>
      <c r="G2477" t="s">
        <v>10</v>
      </c>
      <c r="H2477">
        <v>0</v>
      </c>
    </row>
    <row r="2478" spans="1:8" x14ac:dyDescent="0.35">
      <c r="A2478">
        <v>11767</v>
      </c>
      <c r="B2478" t="s">
        <v>7</v>
      </c>
      <c r="C2478">
        <v>6</v>
      </c>
      <c r="D2478">
        <v>199</v>
      </c>
      <c r="E2478" t="s">
        <v>8</v>
      </c>
      <c r="F2478" t="s">
        <v>9</v>
      </c>
      <c r="G2478" t="s">
        <v>10</v>
      </c>
      <c r="H2478">
        <v>0</v>
      </c>
    </row>
    <row r="2479" spans="1:8" x14ac:dyDescent="0.35">
      <c r="A2479">
        <v>16833</v>
      </c>
      <c r="B2479" t="s">
        <v>11</v>
      </c>
      <c r="C2479">
        <v>8</v>
      </c>
      <c r="D2479">
        <v>83</v>
      </c>
      <c r="E2479" t="s">
        <v>8</v>
      </c>
      <c r="F2479" t="s">
        <v>13</v>
      </c>
      <c r="G2479" t="s">
        <v>10</v>
      </c>
      <c r="H2479">
        <v>0</v>
      </c>
    </row>
    <row r="2480" spans="1:8" x14ac:dyDescent="0.35">
      <c r="A2480">
        <v>10095</v>
      </c>
      <c r="B2480" t="s">
        <v>7</v>
      </c>
      <c r="C2480">
        <v>6</v>
      </c>
      <c r="D2480">
        <v>105</v>
      </c>
      <c r="E2480" t="s">
        <v>8</v>
      </c>
      <c r="F2480" t="s">
        <v>13</v>
      </c>
      <c r="G2480" t="s">
        <v>10</v>
      </c>
      <c r="H2480">
        <v>0</v>
      </c>
    </row>
    <row r="2481" spans="1:8" x14ac:dyDescent="0.35">
      <c r="A2481">
        <v>15812</v>
      </c>
      <c r="B2481" t="s">
        <v>11</v>
      </c>
      <c r="C2481">
        <v>5</v>
      </c>
      <c r="D2481">
        <v>118</v>
      </c>
      <c r="E2481" t="s">
        <v>15</v>
      </c>
      <c r="F2481" t="s">
        <v>13</v>
      </c>
      <c r="G2481" t="s">
        <v>10</v>
      </c>
      <c r="H2481">
        <v>1</v>
      </c>
    </row>
    <row r="2482" spans="1:8" x14ac:dyDescent="0.35">
      <c r="A2482">
        <v>16558</v>
      </c>
      <c r="B2482" t="s">
        <v>7</v>
      </c>
      <c r="C2482">
        <v>10</v>
      </c>
      <c r="D2482">
        <v>70</v>
      </c>
      <c r="E2482" t="s">
        <v>8</v>
      </c>
      <c r="F2482" t="s">
        <v>9</v>
      </c>
      <c r="G2482" t="s">
        <v>14</v>
      </c>
      <c r="H2482">
        <v>0</v>
      </c>
    </row>
    <row r="2483" spans="1:8" x14ac:dyDescent="0.35">
      <c r="A2483">
        <v>10928</v>
      </c>
      <c r="B2483" t="s">
        <v>7</v>
      </c>
      <c r="C2483">
        <v>13</v>
      </c>
      <c r="D2483">
        <v>43</v>
      </c>
      <c r="E2483" t="s">
        <v>8</v>
      </c>
      <c r="F2483" t="s">
        <v>13</v>
      </c>
      <c r="G2483" t="s">
        <v>14</v>
      </c>
      <c r="H2483">
        <v>0</v>
      </c>
    </row>
    <row r="2484" spans="1:8" x14ac:dyDescent="0.35">
      <c r="A2484">
        <v>18505</v>
      </c>
      <c r="B2484" t="s">
        <v>7</v>
      </c>
      <c r="C2484">
        <v>13</v>
      </c>
      <c r="D2484">
        <v>82</v>
      </c>
      <c r="E2484" t="s">
        <v>8</v>
      </c>
      <c r="F2484" t="s">
        <v>13</v>
      </c>
      <c r="G2484" t="s">
        <v>14</v>
      </c>
      <c r="H2484">
        <v>0</v>
      </c>
    </row>
    <row r="2485" spans="1:8" x14ac:dyDescent="0.35">
      <c r="A2485">
        <v>17392</v>
      </c>
      <c r="B2485" t="s">
        <v>11</v>
      </c>
      <c r="C2485">
        <v>7</v>
      </c>
      <c r="D2485">
        <v>312</v>
      </c>
      <c r="E2485" t="s">
        <v>8</v>
      </c>
      <c r="F2485" t="s">
        <v>9</v>
      </c>
      <c r="G2485" t="s">
        <v>14</v>
      </c>
      <c r="H2485">
        <v>0</v>
      </c>
    </row>
    <row r="2486" spans="1:8" x14ac:dyDescent="0.35">
      <c r="A2486">
        <v>12291</v>
      </c>
      <c r="B2486" t="s">
        <v>11</v>
      </c>
      <c r="C2486">
        <v>7</v>
      </c>
      <c r="D2486">
        <v>96</v>
      </c>
      <c r="E2486" t="s">
        <v>8</v>
      </c>
      <c r="F2486" t="s">
        <v>13</v>
      </c>
      <c r="G2486" t="s">
        <v>14</v>
      </c>
      <c r="H2486">
        <v>0</v>
      </c>
    </row>
    <row r="2487" spans="1:8" x14ac:dyDescent="0.35">
      <c r="A2487">
        <v>18624</v>
      </c>
      <c r="B2487" t="s">
        <v>7</v>
      </c>
      <c r="C2487">
        <v>9</v>
      </c>
      <c r="D2487">
        <v>386</v>
      </c>
      <c r="E2487" t="s">
        <v>8</v>
      </c>
      <c r="F2487" t="s">
        <v>13</v>
      </c>
      <c r="G2487" t="s">
        <v>12</v>
      </c>
      <c r="H2487">
        <v>0</v>
      </c>
    </row>
    <row r="2488" spans="1:8" x14ac:dyDescent="0.35">
      <c r="A2488">
        <v>14631</v>
      </c>
      <c r="B2488" t="s">
        <v>7</v>
      </c>
      <c r="C2488">
        <v>13</v>
      </c>
      <c r="D2488">
        <v>378</v>
      </c>
      <c r="E2488" t="s">
        <v>8</v>
      </c>
      <c r="F2488" t="s">
        <v>13</v>
      </c>
      <c r="G2488" t="s">
        <v>12</v>
      </c>
      <c r="H2488">
        <v>0</v>
      </c>
    </row>
    <row r="2489" spans="1:8" x14ac:dyDescent="0.35">
      <c r="A2489">
        <v>19003</v>
      </c>
      <c r="B2489" t="s">
        <v>11</v>
      </c>
      <c r="C2489">
        <v>14</v>
      </c>
      <c r="D2489">
        <v>405</v>
      </c>
      <c r="E2489" t="s">
        <v>8</v>
      </c>
      <c r="F2489" t="s">
        <v>9</v>
      </c>
      <c r="G2489" t="s">
        <v>16</v>
      </c>
      <c r="H2489">
        <v>0</v>
      </c>
    </row>
    <row r="2490" spans="1:8" x14ac:dyDescent="0.35">
      <c r="A2490">
        <v>16358</v>
      </c>
      <c r="B2490" t="s">
        <v>7</v>
      </c>
      <c r="C2490">
        <v>2</v>
      </c>
      <c r="D2490">
        <v>239</v>
      </c>
      <c r="E2490" t="s">
        <v>8</v>
      </c>
      <c r="F2490" t="s">
        <v>13</v>
      </c>
      <c r="G2490" t="s">
        <v>10</v>
      </c>
      <c r="H2490">
        <v>0</v>
      </c>
    </row>
    <row r="2491" spans="1:8" x14ac:dyDescent="0.35">
      <c r="A2491">
        <v>18305</v>
      </c>
      <c r="B2491" t="s">
        <v>11</v>
      </c>
      <c r="C2491">
        <v>2</v>
      </c>
      <c r="D2491">
        <v>391</v>
      </c>
      <c r="E2491" t="s">
        <v>8</v>
      </c>
      <c r="F2491" t="s">
        <v>13</v>
      </c>
      <c r="G2491" t="s">
        <v>10</v>
      </c>
      <c r="H2491">
        <v>0</v>
      </c>
    </row>
    <row r="2492" spans="1:8" x14ac:dyDescent="0.35">
      <c r="A2492">
        <v>17819</v>
      </c>
      <c r="B2492" t="s">
        <v>11</v>
      </c>
      <c r="C2492">
        <v>1</v>
      </c>
      <c r="D2492">
        <v>58</v>
      </c>
      <c r="E2492" t="s">
        <v>8</v>
      </c>
      <c r="F2492" t="s">
        <v>13</v>
      </c>
      <c r="G2492" t="s">
        <v>10</v>
      </c>
      <c r="H2492">
        <v>0</v>
      </c>
    </row>
    <row r="2493" spans="1:8" x14ac:dyDescent="0.35">
      <c r="A2493">
        <v>19531</v>
      </c>
      <c r="B2493" t="s">
        <v>7</v>
      </c>
      <c r="C2493">
        <v>10</v>
      </c>
      <c r="D2493">
        <v>265</v>
      </c>
      <c r="E2493" t="s">
        <v>8</v>
      </c>
      <c r="F2493" t="s">
        <v>9</v>
      </c>
      <c r="G2493" t="s">
        <v>16</v>
      </c>
      <c r="H2493">
        <v>0</v>
      </c>
    </row>
    <row r="2494" spans="1:8" x14ac:dyDescent="0.35">
      <c r="A2494">
        <v>13456</v>
      </c>
      <c r="B2494" t="s">
        <v>11</v>
      </c>
      <c r="C2494">
        <v>2</v>
      </c>
      <c r="D2494">
        <v>84</v>
      </c>
      <c r="E2494" t="s">
        <v>8</v>
      </c>
      <c r="F2494" t="s">
        <v>9</v>
      </c>
      <c r="G2494" t="s">
        <v>16</v>
      </c>
      <c r="H2494">
        <v>0</v>
      </c>
    </row>
    <row r="2495" spans="1:8" x14ac:dyDescent="0.35">
      <c r="A2495">
        <v>15295</v>
      </c>
      <c r="B2495" t="s">
        <v>11</v>
      </c>
      <c r="C2495">
        <v>14</v>
      </c>
      <c r="D2495">
        <v>110</v>
      </c>
      <c r="E2495" t="s">
        <v>8</v>
      </c>
      <c r="F2495" t="s">
        <v>13</v>
      </c>
      <c r="G2495" t="s">
        <v>10</v>
      </c>
      <c r="H2495">
        <v>0</v>
      </c>
    </row>
    <row r="2496" spans="1:8" x14ac:dyDescent="0.35">
      <c r="A2496">
        <v>12824</v>
      </c>
      <c r="B2496" t="s">
        <v>11</v>
      </c>
      <c r="C2496">
        <v>11</v>
      </c>
      <c r="D2496">
        <v>122</v>
      </c>
      <c r="E2496" t="s">
        <v>8</v>
      </c>
      <c r="F2496" t="s">
        <v>13</v>
      </c>
      <c r="G2496" t="s">
        <v>10</v>
      </c>
      <c r="H2496">
        <v>0</v>
      </c>
    </row>
    <row r="2497" spans="1:8" x14ac:dyDescent="0.35">
      <c r="A2497">
        <v>13670</v>
      </c>
      <c r="B2497" t="s">
        <v>7</v>
      </c>
      <c r="C2497">
        <v>13</v>
      </c>
      <c r="D2497">
        <v>186</v>
      </c>
      <c r="E2497" t="s">
        <v>8</v>
      </c>
      <c r="F2497" t="s">
        <v>13</v>
      </c>
      <c r="G2497" t="s">
        <v>14</v>
      </c>
      <c r="H2497">
        <v>0</v>
      </c>
    </row>
    <row r="2498" spans="1:8" x14ac:dyDescent="0.35">
      <c r="A2498">
        <v>13704</v>
      </c>
      <c r="B2498" t="s">
        <v>7</v>
      </c>
      <c r="C2498">
        <v>10</v>
      </c>
      <c r="D2498">
        <v>130</v>
      </c>
      <c r="E2498" t="s">
        <v>15</v>
      </c>
      <c r="F2498" t="s">
        <v>9</v>
      </c>
      <c r="G2498" t="s">
        <v>16</v>
      </c>
      <c r="H2498">
        <v>1</v>
      </c>
    </row>
    <row r="2499" spans="1:8" x14ac:dyDescent="0.35">
      <c r="A2499">
        <v>11633</v>
      </c>
      <c r="B2499" t="s">
        <v>7</v>
      </c>
      <c r="C2499">
        <v>13</v>
      </c>
      <c r="D2499">
        <v>42</v>
      </c>
      <c r="E2499" t="s">
        <v>8</v>
      </c>
      <c r="F2499" t="s">
        <v>13</v>
      </c>
      <c r="G2499" t="s">
        <v>16</v>
      </c>
      <c r="H2499">
        <v>0</v>
      </c>
    </row>
    <row r="2500" spans="1:8" x14ac:dyDescent="0.35">
      <c r="A2500">
        <v>14133</v>
      </c>
      <c r="B2500" t="s">
        <v>11</v>
      </c>
      <c r="C2500">
        <v>9</v>
      </c>
      <c r="D2500">
        <v>413</v>
      </c>
      <c r="E2500" t="s">
        <v>8</v>
      </c>
      <c r="F2500" t="s">
        <v>13</v>
      </c>
      <c r="G2500" t="s">
        <v>10</v>
      </c>
      <c r="H2500">
        <v>0</v>
      </c>
    </row>
    <row r="2501" spans="1:8" x14ac:dyDescent="0.35">
      <c r="A2501">
        <v>13922</v>
      </c>
      <c r="B2501" t="s">
        <v>11</v>
      </c>
      <c r="C2501">
        <v>12</v>
      </c>
      <c r="D2501">
        <v>151</v>
      </c>
      <c r="E2501" t="s">
        <v>8</v>
      </c>
      <c r="F2501" t="s">
        <v>9</v>
      </c>
      <c r="G2501" t="s">
        <v>14</v>
      </c>
      <c r="H2501">
        <v>0</v>
      </c>
    </row>
    <row r="2502" spans="1:8" x14ac:dyDescent="0.35">
      <c r="A2502">
        <v>12975</v>
      </c>
      <c r="B2502" t="s">
        <v>11</v>
      </c>
      <c r="C2502">
        <v>14</v>
      </c>
      <c r="D2502">
        <v>70</v>
      </c>
      <c r="E2502" t="s">
        <v>8</v>
      </c>
      <c r="F2502" t="s">
        <v>13</v>
      </c>
      <c r="G2502" t="s">
        <v>10</v>
      </c>
      <c r="H2502">
        <v>0</v>
      </c>
    </row>
    <row r="2503" spans="1:8" x14ac:dyDescent="0.35">
      <c r="A2503">
        <v>10245</v>
      </c>
      <c r="B2503" t="s">
        <v>11</v>
      </c>
      <c r="C2503">
        <v>9</v>
      </c>
      <c r="D2503">
        <v>438</v>
      </c>
      <c r="E2503" t="s">
        <v>8</v>
      </c>
      <c r="F2503" t="s">
        <v>9</v>
      </c>
      <c r="G2503" t="s">
        <v>12</v>
      </c>
      <c r="H2503">
        <v>0</v>
      </c>
    </row>
    <row r="2504" spans="1:8" x14ac:dyDescent="0.35">
      <c r="A2504">
        <v>13138</v>
      </c>
      <c r="B2504" t="s">
        <v>11</v>
      </c>
      <c r="C2504">
        <v>9</v>
      </c>
      <c r="D2504">
        <v>262</v>
      </c>
      <c r="E2504" t="s">
        <v>8</v>
      </c>
      <c r="F2504" t="s">
        <v>13</v>
      </c>
      <c r="G2504" t="s">
        <v>12</v>
      </c>
      <c r="H2504">
        <v>0</v>
      </c>
    </row>
    <row r="2505" spans="1:8" x14ac:dyDescent="0.35">
      <c r="A2505">
        <v>15654</v>
      </c>
      <c r="B2505" t="s">
        <v>11</v>
      </c>
      <c r="C2505">
        <v>7</v>
      </c>
      <c r="D2505">
        <v>321</v>
      </c>
      <c r="E2505" t="s">
        <v>8</v>
      </c>
      <c r="F2505" t="s">
        <v>9</v>
      </c>
      <c r="G2505" t="s">
        <v>14</v>
      </c>
      <c r="H2505">
        <v>0</v>
      </c>
    </row>
    <row r="2506" spans="1:8" x14ac:dyDescent="0.35">
      <c r="A2506">
        <v>16729</v>
      </c>
      <c r="B2506" t="s">
        <v>11</v>
      </c>
      <c r="C2506">
        <v>2</v>
      </c>
      <c r="D2506">
        <v>243</v>
      </c>
      <c r="E2506" t="s">
        <v>8</v>
      </c>
      <c r="F2506" t="s">
        <v>9</v>
      </c>
      <c r="G2506" t="s">
        <v>14</v>
      </c>
      <c r="H2506">
        <v>0</v>
      </c>
    </row>
    <row r="2507" spans="1:8" x14ac:dyDescent="0.35">
      <c r="A2507">
        <v>15513</v>
      </c>
      <c r="B2507" t="s">
        <v>11</v>
      </c>
      <c r="C2507">
        <v>1</v>
      </c>
      <c r="D2507">
        <v>439</v>
      </c>
      <c r="E2507" t="s">
        <v>8</v>
      </c>
      <c r="F2507" t="s">
        <v>9</v>
      </c>
      <c r="G2507" t="s">
        <v>16</v>
      </c>
      <c r="H2507">
        <v>0</v>
      </c>
    </row>
    <row r="2508" spans="1:8" x14ac:dyDescent="0.35">
      <c r="A2508">
        <v>12559</v>
      </c>
      <c r="B2508" t="s">
        <v>11</v>
      </c>
      <c r="C2508">
        <v>2</v>
      </c>
      <c r="D2508">
        <v>72</v>
      </c>
      <c r="E2508" t="s">
        <v>8</v>
      </c>
      <c r="F2508" t="s">
        <v>13</v>
      </c>
      <c r="G2508" t="s">
        <v>14</v>
      </c>
      <c r="H2508">
        <v>0</v>
      </c>
    </row>
    <row r="2509" spans="1:8" x14ac:dyDescent="0.35">
      <c r="A2509">
        <v>14524</v>
      </c>
      <c r="B2509" t="s">
        <v>11</v>
      </c>
      <c r="C2509">
        <v>14</v>
      </c>
      <c r="D2509">
        <v>284</v>
      </c>
      <c r="E2509" t="s">
        <v>8</v>
      </c>
      <c r="F2509" t="s">
        <v>9</v>
      </c>
      <c r="G2509" t="s">
        <v>14</v>
      </c>
      <c r="H2509">
        <v>0</v>
      </c>
    </row>
    <row r="2510" spans="1:8" x14ac:dyDescent="0.35">
      <c r="A2510">
        <v>15461</v>
      </c>
      <c r="B2510" t="s">
        <v>11</v>
      </c>
      <c r="C2510">
        <v>12</v>
      </c>
      <c r="D2510">
        <v>199</v>
      </c>
      <c r="E2510" t="s">
        <v>8</v>
      </c>
      <c r="F2510" t="s">
        <v>13</v>
      </c>
      <c r="G2510" t="s">
        <v>10</v>
      </c>
      <c r="H2510">
        <v>0</v>
      </c>
    </row>
    <row r="2511" spans="1:8" x14ac:dyDescent="0.35">
      <c r="A2511">
        <v>17763</v>
      </c>
      <c r="B2511" t="s">
        <v>11</v>
      </c>
      <c r="C2511">
        <v>3</v>
      </c>
      <c r="D2511">
        <v>194</v>
      </c>
      <c r="E2511" t="s">
        <v>8</v>
      </c>
      <c r="F2511" t="s">
        <v>9</v>
      </c>
      <c r="G2511" t="s">
        <v>14</v>
      </c>
      <c r="H2511">
        <v>0</v>
      </c>
    </row>
    <row r="2512" spans="1:8" x14ac:dyDescent="0.35">
      <c r="A2512">
        <v>12870</v>
      </c>
      <c r="B2512" t="s">
        <v>11</v>
      </c>
      <c r="C2512">
        <v>5</v>
      </c>
      <c r="D2512">
        <v>250</v>
      </c>
      <c r="E2512" t="s">
        <v>8</v>
      </c>
      <c r="F2512" t="s">
        <v>9</v>
      </c>
      <c r="G2512" t="s">
        <v>14</v>
      </c>
      <c r="H2512">
        <v>0</v>
      </c>
    </row>
    <row r="2513" spans="1:8" x14ac:dyDescent="0.35">
      <c r="A2513">
        <v>17131</v>
      </c>
      <c r="B2513" t="s">
        <v>11</v>
      </c>
      <c r="C2513">
        <v>13</v>
      </c>
      <c r="D2513">
        <v>174</v>
      </c>
      <c r="E2513" t="s">
        <v>8</v>
      </c>
      <c r="F2513" t="s">
        <v>13</v>
      </c>
      <c r="G2513" t="s">
        <v>10</v>
      </c>
      <c r="H2513">
        <v>0</v>
      </c>
    </row>
    <row r="2514" spans="1:8" x14ac:dyDescent="0.35">
      <c r="A2514">
        <v>14962</v>
      </c>
      <c r="B2514" t="s">
        <v>11</v>
      </c>
      <c r="C2514">
        <v>4</v>
      </c>
      <c r="D2514">
        <v>371</v>
      </c>
      <c r="E2514" t="s">
        <v>8</v>
      </c>
      <c r="F2514" t="s">
        <v>13</v>
      </c>
      <c r="G2514" t="s">
        <v>10</v>
      </c>
      <c r="H2514">
        <v>0</v>
      </c>
    </row>
    <row r="2515" spans="1:8" x14ac:dyDescent="0.35">
      <c r="A2515">
        <v>17282</v>
      </c>
      <c r="B2515" t="s">
        <v>7</v>
      </c>
      <c r="C2515">
        <v>7</v>
      </c>
      <c r="D2515">
        <v>104</v>
      </c>
      <c r="E2515" t="s">
        <v>8</v>
      </c>
      <c r="F2515" t="s">
        <v>9</v>
      </c>
      <c r="G2515" t="s">
        <v>12</v>
      </c>
      <c r="H2515">
        <v>0</v>
      </c>
    </row>
    <row r="2516" spans="1:8" x14ac:dyDescent="0.35">
      <c r="A2516">
        <v>15424</v>
      </c>
      <c r="B2516" t="s">
        <v>11</v>
      </c>
      <c r="C2516">
        <v>13</v>
      </c>
      <c r="D2516">
        <v>78</v>
      </c>
      <c r="E2516" t="s">
        <v>8</v>
      </c>
      <c r="F2516" t="s">
        <v>13</v>
      </c>
      <c r="G2516" t="s">
        <v>16</v>
      </c>
      <c r="H2516">
        <v>0</v>
      </c>
    </row>
    <row r="2517" spans="1:8" x14ac:dyDescent="0.35">
      <c r="A2517">
        <v>16694</v>
      </c>
      <c r="B2517" t="s">
        <v>11</v>
      </c>
      <c r="C2517">
        <v>11</v>
      </c>
      <c r="D2517">
        <v>317</v>
      </c>
      <c r="E2517" t="s">
        <v>8</v>
      </c>
      <c r="F2517" t="s">
        <v>9</v>
      </c>
      <c r="G2517" t="s">
        <v>12</v>
      </c>
      <c r="H2517">
        <v>0</v>
      </c>
    </row>
    <row r="2518" spans="1:8" x14ac:dyDescent="0.35">
      <c r="A2518">
        <v>18636</v>
      </c>
      <c r="B2518" t="s">
        <v>11</v>
      </c>
      <c r="C2518">
        <v>9</v>
      </c>
      <c r="D2518">
        <v>231</v>
      </c>
      <c r="E2518" t="s">
        <v>8</v>
      </c>
      <c r="F2518" t="s">
        <v>9</v>
      </c>
      <c r="G2518" t="s">
        <v>10</v>
      </c>
      <c r="H2518">
        <v>0</v>
      </c>
    </row>
    <row r="2519" spans="1:8" x14ac:dyDescent="0.35">
      <c r="A2519">
        <v>15956</v>
      </c>
      <c r="B2519" t="s">
        <v>7</v>
      </c>
      <c r="C2519">
        <v>3</v>
      </c>
      <c r="D2519">
        <v>251</v>
      </c>
      <c r="E2519" t="s">
        <v>8</v>
      </c>
      <c r="F2519" t="s">
        <v>9</v>
      </c>
      <c r="G2519" t="s">
        <v>14</v>
      </c>
      <c r="H2519">
        <v>0</v>
      </c>
    </row>
    <row r="2520" spans="1:8" x14ac:dyDescent="0.35">
      <c r="A2520">
        <v>12106</v>
      </c>
      <c r="B2520" t="s">
        <v>7</v>
      </c>
      <c r="C2520">
        <v>3</v>
      </c>
      <c r="D2520">
        <v>320</v>
      </c>
      <c r="E2520" t="s">
        <v>8</v>
      </c>
      <c r="F2520" t="s">
        <v>9</v>
      </c>
      <c r="G2520" t="s">
        <v>10</v>
      </c>
      <c r="H2520">
        <v>0</v>
      </c>
    </row>
    <row r="2521" spans="1:8" x14ac:dyDescent="0.35">
      <c r="A2521">
        <v>10700</v>
      </c>
      <c r="B2521" t="s">
        <v>11</v>
      </c>
      <c r="C2521">
        <v>12</v>
      </c>
      <c r="D2521">
        <v>270</v>
      </c>
      <c r="E2521" t="s">
        <v>8</v>
      </c>
      <c r="F2521" t="s">
        <v>9</v>
      </c>
      <c r="G2521" t="s">
        <v>16</v>
      </c>
      <c r="H2521">
        <v>0</v>
      </c>
    </row>
    <row r="2522" spans="1:8" x14ac:dyDescent="0.35">
      <c r="A2522">
        <v>10654</v>
      </c>
      <c r="B2522" t="s">
        <v>7</v>
      </c>
      <c r="C2522">
        <v>4</v>
      </c>
      <c r="D2522">
        <v>172</v>
      </c>
      <c r="E2522" t="s">
        <v>8</v>
      </c>
      <c r="F2522" t="s">
        <v>9</v>
      </c>
      <c r="G2522" t="s">
        <v>16</v>
      </c>
      <c r="H2522">
        <v>0</v>
      </c>
    </row>
    <row r="2523" spans="1:8" x14ac:dyDescent="0.35">
      <c r="A2523">
        <v>14332</v>
      </c>
      <c r="B2523" t="s">
        <v>7</v>
      </c>
      <c r="C2523">
        <v>2</v>
      </c>
      <c r="D2523">
        <v>104</v>
      </c>
      <c r="E2523" t="s">
        <v>8</v>
      </c>
      <c r="F2523" t="s">
        <v>13</v>
      </c>
      <c r="G2523" t="s">
        <v>10</v>
      </c>
      <c r="H2523">
        <v>0</v>
      </c>
    </row>
    <row r="2524" spans="1:8" x14ac:dyDescent="0.35">
      <c r="A2524">
        <v>14187</v>
      </c>
      <c r="B2524" t="s">
        <v>11</v>
      </c>
      <c r="C2524">
        <v>4</v>
      </c>
      <c r="D2524">
        <v>88</v>
      </c>
      <c r="E2524" t="s">
        <v>8</v>
      </c>
      <c r="F2524" t="s">
        <v>13</v>
      </c>
      <c r="G2524" t="s">
        <v>16</v>
      </c>
      <c r="H2524">
        <v>0</v>
      </c>
    </row>
    <row r="2525" spans="1:8" x14ac:dyDescent="0.35">
      <c r="A2525">
        <v>15387</v>
      </c>
      <c r="B2525" t="s">
        <v>7</v>
      </c>
      <c r="C2525">
        <v>11</v>
      </c>
      <c r="D2525">
        <v>366</v>
      </c>
      <c r="E2525" t="s">
        <v>8</v>
      </c>
      <c r="F2525" t="s">
        <v>13</v>
      </c>
      <c r="G2525" t="s">
        <v>10</v>
      </c>
      <c r="H2525">
        <v>0</v>
      </c>
    </row>
    <row r="2526" spans="1:8" x14ac:dyDescent="0.35">
      <c r="A2526">
        <v>15438</v>
      </c>
      <c r="B2526" t="s">
        <v>11</v>
      </c>
      <c r="C2526">
        <v>12</v>
      </c>
      <c r="D2526">
        <v>251</v>
      </c>
      <c r="E2526" t="s">
        <v>8</v>
      </c>
      <c r="F2526" t="s">
        <v>9</v>
      </c>
      <c r="G2526" t="s">
        <v>10</v>
      </c>
      <c r="H2526">
        <v>0</v>
      </c>
    </row>
    <row r="2527" spans="1:8" x14ac:dyDescent="0.35">
      <c r="A2527">
        <v>12813</v>
      </c>
      <c r="B2527" t="s">
        <v>7</v>
      </c>
      <c r="C2527">
        <v>4</v>
      </c>
      <c r="D2527">
        <v>191</v>
      </c>
      <c r="E2527" t="s">
        <v>8</v>
      </c>
      <c r="F2527" t="s">
        <v>9</v>
      </c>
      <c r="G2527" t="s">
        <v>10</v>
      </c>
      <c r="H2527">
        <v>0</v>
      </c>
    </row>
    <row r="2528" spans="1:8" x14ac:dyDescent="0.35">
      <c r="A2528">
        <v>10401</v>
      </c>
      <c r="B2528" t="s">
        <v>11</v>
      </c>
      <c r="C2528">
        <v>6</v>
      </c>
      <c r="D2528">
        <v>370</v>
      </c>
      <c r="E2528" t="s">
        <v>8</v>
      </c>
      <c r="F2528" t="s">
        <v>9</v>
      </c>
      <c r="G2528" t="s">
        <v>16</v>
      </c>
      <c r="H2528">
        <v>0</v>
      </c>
    </row>
    <row r="2529" spans="1:8" x14ac:dyDescent="0.35">
      <c r="A2529">
        <v>14144</v>
      </c>
      <c r="B2529" t="s">
        <v>7</v>
      </c>
      <c r="C2529">
        <v>13</v>
      </c>
      <c r="D2529">
        <v>431</v>
      </c>
      <c r="E2529" t="s">
        <v>8</v>
      </c>
      <c r="F2529" t="s">
        <v>9</v>
      </c>
      <c r="G2529" t="s">
        <v>16</v>
      </c>
      <c r="H2529">
        <v>0</v>
      </c>
    </row>
    <row r="2530" spans="1:8" x14ac:dyDescent="0.35">
      <c r="A2530">
        <v>12306</v>
      </c>
      <c r="B2530" t="s">
        <v>7</v>
      </c>
      <c r="C2530">
        <v>9</v>
      </c>
      <c r="D2530">
        <v>133</v>
      </c>
      <c r="E2530" t="s">
        <v>8</v>
      </c>
      <c r="F2530" t="s">
        <v>9</v>
      </c>
      <c r="G2530" t="s">
        <v>14</v>
      </c>
      <c r="H2530">
        <v>0</v>
      </c>
    </row>
    <row r="2531" spans="1:8" x14ac:dyDescent="0.35">
      <c r="A2531">
        <v>16732</v>
      </c>
      <c r="B2531" t="s">
        <v>7</v>
      </c>
      <c r="C2531">
        <v>7</v>
      </c>
      <c r="D2531">
        <v>442</v>
      </c>
      <c r="E2531" t="s">
        <v>8</v>
      </c>
      <c r="F2531" t="s">
        <v>9</v>
      </c>
      <c r="G2531" t="s">
        <v>14</v>
      </c>
      <c r="H2531">
        <v>0</v>
      </c>
    </row>
    <row r="2532" spans="1:8" x14ac:dyDescent="0.35">
      <c r="A2532">
        <v>15773</v>
      </c>
      <c r="B2532" t="s">
        <v>11</v>
      </c>
      <c r="C2532">
        <v>13</v>
      </c>
      <c r="D2532">
        <v>406</v>
      </c>
      <c r="E2532" t="s">
        <v>8</v>
      </c>
      <c r="F2532" t="s">
        <v>9</v>
      </c>
      <c r="G2532" t="s">
        <v>12</v>
      </c>
      <c r="H2532">
        <v>0</v>
      </c>
    </row>
    <row r="2533" spans="1:8" x14ac:dyDescent="0.35">
      <c r="A2533">
        <v>11268</v>
      </c>
      <c r="B2533" t="s">
        <v>7</v>
      </c>
      <c r="C2533">
        <v>4</v>
      </c>
      <c r="D2533">
        <v>211</v>
      </c>
      <c r="E2533" t="s">
        <v>8</v>
      </c>
      <c r="F2533" t="s">
        <v>9</v>
      </c>
      <c r="G2533" t="s">
        <v>10</v>
      </c>
      <c r="H2533">
        <v>0</v>
      </c>
    </row>
    <row r="2534" spans="1:8" x14ac:dyDescent="0.35">
      <c r="A2534">
        <v>16165</v>
      </c>
      <c r="B2534" t="s">
        <v>7</v>
      </c>
      <c r="C2534">
        <v>10</v>
      </c>
      <c r="D2534">
        <v>173</v>
      </c>
      <c r="E2534" t="s">
        <v>8</v>
      </c>
      <c r="F2534" t="s">
        <v>13</v>
      </c>
      <c r="G2534" t="s">
        <v>16</v>
      </c>
      <c r="H2534">
        <v>0</v>
      </c>
    </row>
    <row r="2535" spans="1:8" x14ac:dyDescent="0.35">
      <c r="A2535">
        <v>13617</v>
      </c>
      <c r="B2535" t="s">
        <v>7</v>
      </c>
      <c r="C2535">
        <v>13</v>
      </c>
      <c r="D2535">
        <v>398</v>
      </c>
      <c r="E2535" t="s">
        <v>8</v>
      </c>
      <c r="F2535" t="s">
        <v>9</v>
      </c>
      <c r="G2535" t="s">
        <v>16</v>
      </c>
      <c r="H2535">
        <v>0</v>
      </c>
    </row>
    <row r="2536" spans="1:8" x14ac:dyDescent="0.35">
      <c r="A2536">
        <v>13223</v>
      </c>
      <c r="B2536" t="s">
        <v>11</v>
      </c>
      <c r="C2536">
        <v>14</v>
      </c>
      <c r="D2536">
        <v>295</v>
      </c>
      <c r="E2536" t="s">
        <v>8</v>
      </c>
      <c r="F2536" t="s">
        <v>13</v>
      </c>
      <c r="G2536" t="s">
        <v>16</v>
      </c>
      <c r="H2536">
        <v>0</v>
      </c>
    </row>
    <row r="2537" spans="1:8" x14ac:dyDescent="0.35">
      <c r="A2537">
        <v>13319</v>
      </c>
      <c r="B2537" t="s">
        <v>11</v>
      </c>
      <c r="C2537">
        <v>3</v>
      </c>
      <c r="D2537">
        <v>399</v>
      </c>
      <c r="E2537" t="s">
        <v>15</v>
      </c>
      <c r="F2537" t="s">
        <v>9</v>
      </c>
      <c r="G2537" t="s">
        <v>10</v>
      </c>
      <c r="H2537">
        <v>1</v>
      </c>
    </row>
    <row r="2538" spans="1:8" x14ac:dyDescent="0.35">
      <c r="A2538">
        <v>15138</v>
      </c>
      <c r="B2538" t="s">
        <v>11</v>
      </c>
      <c r="C2538">
        <v>1</v>
      </c>
      <c r="D2538">
        <v>378</v>
      </c>
      <c r="E2538" t="s">
        <v>8</v>
      </c>
      <c r="F2538" t="s">
        <v>9</v>
      </c>
      <c r="G2538" t="s">
        <v>14</v>
      </c>
      <c r="H2538">
        <v>0</v>
      </c>
    </row>
    <row r="2539" spans="1:8" x14ac:dyDescent="0.35">
      <c r="A2539">
        <v>13452</v>
      </c>
      <c r="B2539" t="s">
        <v>11</v>
      </c>
      <c r="C2539">
        <v>9</v>
      </c>
      <c r="D2539">
        <v>341</v>
      </c>
      <c r="E2539" t="s">
        <v>8</v>
      </c>
      <c r="F2539" t="s">
        <v>13</v>
      </c>
      <c r="G2539" t="s">
        <v>16</v>
      </c>
      <c r="H2539">
        <v>0</v>
      </c>
    </row>
    <row r="2540" spans="1:8" x14ac:dyDescent="0.35">
      <c r="A2540">
        <v>17467</v>
      </c>
      <c r="B2540" t="s">
        <v>11</v>
      </c>
      <c r="C2540">
        <v>6</v>
      </c>
      <c r="D2540">
        <v>97</v>
      </c>
      <c r="E2540" t="s">
        <v>8</v>
      </c>
      <c r="F2540" t="s">
        <v>13</v>
      </c>
      <c r="G2540" t="s">
        <v>12</v>
      </c>
      <c r="H2540">
        <v>0</v>
      </c>
    </row>
    <row r="2541" spans="1:8" x14ac:dyDescent="0.35">
      <c r="A2541">
        <v>19794</v>
      </c>
      <c r="B2541" t="s">
        <v>11</v>
      </c>
      <c r="C2541">
        <v>3</v>
      </c>
      <c r="D2541">
        <v>154</v>
      </c>
      <c r="E2541" t="s">
        <v>8</v>
      </c>
      <c r="F2541" t="s">
        <v>9</v>
      </c>
      <c r="G2541" t="s">
        <v>10</v>
      </c>
      <c r="H2541">
        <v>0</v>
      </c>
    </row>
    <row r="2542" spans="1:8" x14ac:dyDescent="0.35">
      <c r="A2542">
        <v>19004</v>
      </c>
      <c r="B2542" t="s">
        <v>7</v>
      </c>
      <c r="C2542">
        <v>2</v>
      </c>
      <c r="D2542">
        <v>290</v>
      </c>
      <c r="E2542" t="s">
        <v>8</v>
      </c>
      <c r="F2542" t="s">
        <v>13</v>
      </c>
      <c r="G2542" t="s">
        <v>10</v>
      </c>
      <c r="H2542">
        <v>0</v>
      </c>
    </row>
    <row r="2543" spans="1:8" x14ac:dyDescent="0.35">
      <c r="A2543">
        <v>15500</v>
      </c>
      <c r="B2543" t="s">
        <v>11</v>
      </c>
      <c r="C2543">
        <v>8</v>
      </c>
      <c r="D2543">
        <v>267</v>
      </c>
      <c r="E2543" t="s">
        <v>8</v>
      </c>
      <c r="F2543" t="s">
        <v>13</v>
      </c>
      <c r="G2543" t="s">
        <v>16</v>
      </c>
      <c r="H2543">
        <v>0</v>
      </c>
    </row>
    <row r="2544" spans="1:8" x14ac:dyDescent="0.35">
      <c r="A2544">
        <v>17075</v>
      </c>
      <c r="B2544" t="s">
        <v>11</v>
      </c>
      <c r="C2544">
        <v>14</v>
      </c>
      <c r="D2544">
        <v>344</v>
      </c>
      <c r="E2544" t="s">
        <v>8</v>
      </c>
      <c r="F2544" t="s">
        <v>13</v>
      </c>
      <c r="G2544" t="s">
        <v>14</v>
      </c>
      <c r="H2544">
        <v>0</v>
      </c>
    </row>
    <row r="2545" spans="1:8" x14ac:dyDescent="0.35">
      <c r="A2545">
        <v>11800</v>
      </c>
      <c r="B2545" t="s">
        <v>11</v>
      </c>
      <c r="C2545">
        <v>12</v>
      </c>
      <c r="D2545">
        <v>82</v>
      </c>
      <c r="E2545" t="s">
        <v>8</v>
      </c>
      <c r="F2545" t="s">
        <v>13</v>
      </c>
      <c r="G2545" t="s">
        <v>10</v>
      </c>
      <c r="H2545">
        <v>0</v>
      </c>
    </row>
    <row r="2546" spans="1:8" x14ac:dyDescent="0.35">
      <c r="A2546">
        <v>13876</v>
      </c>
      <c r="B2546" t="s">
        <v>11</v>
      </c>
      <c r="C2546">
        <v>9</v>
      </c>
      <c r="D2546">
        <v>304</v>
      </c>
      <c r="E2546" t="s">
        <v>8</v>
      </c>
      <c r="F2546" t="s">
        <v>9</v>
      </c>
      <c r="G2546" t="s">
        <v>14</v>
      </c>
      <c r="H2546">
        <v>0</v>
      </c>
    </row>
    <row r="2547" spans="1:8" x14ac:dyDescent="0.35">
      <c r="A2547">
        <v>12367</v>
      </c>
      <c r="B2547" t="s">
        <v>7</v>
      </c>
      <c r="C2547">
        <v>7</v>
      </c>
      <c r="D2547">
        <v>132</v>
      </c>
      <c r="E2547" t="s">
        <v>15</v>
      </c>
      <c r="F2547" t="s">
        <v>13</v>
      </c>
      <c r="G2547" t="s">
        <v>16</v>
      </c>
      <c r="H2547">
        <v>1</v>
      </c>
    </row>
    <row r="2548" spans="1:8" x14ac:dyDescent="0.35">
      <c r="A2548">
        <v>17587</v>
      </c>
      <c r="B2548" t="s">
        <v>7</v>
      </c>
      <c r="C2548">
        <v>2</v>
      </c>
      <c r="D2548">
        <v>61</v>
      </c>
      <c r="E2548" t="s">
        <v>15</v>
      </c>
      <c r="F2548" t="s">
        <v>9</v>
      </c>
      <c r="G2548" t="s">
        <v>14</v>
      </c>
      <c r="H2548">
        <v>1</v>
      </c>
    </row>
    <row r="2549" spans="1:8" x14ac:dyDescent="0.35">
      <c r="A2549">
        <v>14135</v>
      </c>
      <c r="B2549" t="s">
        <v>7</v>
      </c>
      <c r="C2549">
        <v>10</v>
      </c>
      <c r="D2549">
        <v>200</v>
      </c>
      <c r="E2549" t="s">
        <v>8</v>
      </c>
      <c r="F2549" t="s">
        <v>9</v>
      </c>
      <c r="G2549" t="s">
        <v>10</v>
      </c>
      <c r="H2549">
        <v>0</v>
      </c>
    </row>
    <row r="2550" spans="1:8" x14ac:dyDescent="0.35">
      <c r="A2550">
        <v>10239</v>
      </c>
      <c r="B2550" t="s">
        <v>7</v>
      </c>
      <c r="C2550">
        <v>9</v>
      </c>
      <c r="D2550">
        <v>336</v>
      </c>
      <c r="E2550" t="s">
        <v>8</v>
      </c>
      <c r="F2550" t="s">
        <v>13</v>
      </c>
      <c r="G2550" t="s">
        <v>16</v>
      </c>
      <c r="H2550">
        <v>0</v>
      </c>
    </row>
    <row r="2551" spans="1:8" x14ac:dyDescent="0.35">
      <c r="A2551">
        <v>19581</v>
      </c>
      <c r="B2551" t="s">
        <v>7</v>
      </c>
      <c r="C2551">
        <v>10</v>
      </c>
      <c r="D2551">
        <v>156</v>
      </c>
      <c r="E2551" t="s">
        <v>8</v>
      </c>
      <c r="F2551" t="s">
        <v>9</v>
      </c>
      <c r="G2551" t="s">
        <v>16</v>
      </c>
      <c r="H2551">
        <v>0</v>
      </c>
    </row>
    <row r="2552" spans="1:8" x14ac:dyDescent="0.35">
      <c r="A2552">
        <v>10545</v>
      </c>
      <c r="B2552" t="s">
        <v>7</v>
      </c>
      <c r="C2552">
        <v>5</v>
      </c>
      <c r="D2552">
        <v>372</v>
      </c>
      <c r="E2552" t="s">
        <v>15</v>
      </c>
      <c r="F2552" t="s">
        <v>13</v>
      </c>
      <c r="G2552" t="s">
        <v>14</v>
      </c>
      <c r="H2552">
        <v>1</v>
      </c>
    </row>
    <row r="2553" spans="1:8" x14ac:dyDescent="0.35">
      <c r="A2553">
        <v>17970</v>
      </c>
      <c r="B2553" t="s">
        <v>11</v>
      </c>
      <c r="C2553">
        <v>9</v>
      </c>
      <c r="D2553">
        <v>227</v>
      </c>
      <c r="E2553" t="s">
        <v>8</v>
      </c>
      <c r="F2553" t="s">
        <v>13</v>
      </c>
      <c r="G2553" t="s">
        <v>16</v>
      </c>
      <c r="H2553">
        <v>0</v>
      </c>
    </row>
    <row r="2554" spans="1:8" x14ac:dyDescent="0.35">
      <c r="A2554">
        <v>14698</v>
      </c>
      <c r="B2554" t="s">
        <v>11</v>
      </c>
      <c r="C2554">
        <v>8</v>
      </c>
      <c r="D2554">
        <v>349</v>
      </c>
      <c r="E2554" t="s">
        <v>8</v>
      </c>
      <c r="F2554" t="s">
        <v>13</v>
      </c>
      <c r="G2554" t="s">
        <v>12</v>
      </c>
      <c r="H2554">
        <v>0</v>
      </c>
    </row>
    <row r="2555" spans="1:8" x14ac:dyDescent="0.35">
      <c r="A2555">
        <v>14942</v>
      </c>
      <c r="B2555" t="s">
        <v>7</v>
      </c>
      <c r="C2555">
        <v>9</v>
      </c>
      <c r="D2555">
        <v>107</v>
      </c>
      <c r="E2555" t="s">
        <v>8</v>
      </c>
      <c r="F2555" t="s">
        <v>13</v>
      </c>
      <c r="G2555" t="s">
        <v>12</v>
      </c>
      <c r="H2555">
        <v>0</v>
      </c>
    </row>
    <row r="2556" spans="1:8" x14ac:dyDescent="0.35">
      <c r="A2556">
        <v>19082</v>
      </c>
      <c r="B2556" t="s">
        <v>7</v>
      </c>
      <c r="C2556">
        <v>8</v>
      </c>
      <c r="D2556">
        <v>177</v>
      </c>
      <c r="E2556" t="s">
        <v>8</v>
      </c>
      <c r="F2556" t="s">
        <v>13</v>
      </c>
      <c r="G2556" t="s">
        <v>16</v>
      </c>
      <c r="H2556">
        <v>0</v>
      </c>
    </row>
    <row r="2557" spans="1:8" x14ac:dyDescent="0.35">
      <c r="A2557">
        <v>19697</v>
      </c>
      <c r="B2557" t="s">
        <v>11</v>
      </c>
      <c r="C2557">
        <v>6</v>
      </c>
      <c r="D2557">
        <v>208</v>
      </c>
      <c r="E2557" t="s">
        <v>8</v>
      </c>
      <c r="F2557" t="s">
        <v>9</v>
      </c>
      <c r="G2557" t="s">
        <v>12</v>
      </c>
      <c r="H2557">
        <v>0</v>
      </c>
    </row>
    <row r="2558" spans="1:8" x14ac:dyDescent="0.35">
      <c r="A2558">
        <v>17698</v>
      </c>
      <c r="B2558" t="s">
        <v>11</v>
      </c>
      <c r="C2558">
        <v>3</v>
      </c>
      <c r="D2558">
        <v>226</v>
      </c>
      <c r="E2558" t="s">
        <v>8</v>
      </c>
      <c r="F2558" t="s">
        <v>13</v>
      </c>
      <c r="G2558" t="s">
        <v>14</v>
      </c>
      <c r="H2558">
        <v>0</v>
      </c>
    </row>
    <row r="2559" spans="1:8" x14ac:dyDescent="0.35">
      <c r="A2559">
        <v>16181</v>
      </c>
      <c r="B2559" t="s">
        <v>11</v>
      </c>
      <c r="C2559">
        <v>4</v>
      </c>
      <c r="D2559">
        <v>147</v>
      </c>
      <c r="E2559" t="s">
        <v>8</v>
      </c>
      <c r="F2559" t="s">
        <v>13</v>
      </c>
      <c r="G2559" t="s">
        <v>10</v>
      </c>
      <c r="H2559">
        <v>0</v>
      </c>
    </row>
    <row r="2560" spans="1:8" x14ac:dyDescent="0.35">
      <c r="A2560">
        <v>11189</v>
      </c>
      <c r="B2560" t="s">
        <v>7</v>
      </c>
      <c r="C2560">
        <v>14</v>
      </c>
      <c r="D2560">
        <v>333</v>
      </c>
      <c r="E2560" t="s">
        <v>8</v>
      </c>
      <c r="F2560" t="s">
        <v>13</v>
      </c>
      <c r="G2560" t="s">
        <v>10</v>
      </c>
      <c r="H2560">
        <v>0</v>
      </c>
    </row>
    <row r="2561" spans="1:8" x14ac:dyDescent="0.35">
      <c r="A2561">
        <v>12296</v>
      </c>
      <c r="B2561" t="s">
        <v>11</v>
      </c>
      <c r="C2561">
        <v>10</v>
      </c>
      <c r="D2561">
        <v>362</v>
      </c>
      <c r="E2561" t="s">
        <v>15</v>
      </c>
      <c r="F2561" t="s">
        <v>13</v>
      </c>
      <c r="G2561" t="s">
        <v>10</v>
      </c>
      <c r="H2561">
        <v>1</v>
      </c>
    </row>
    <row r="2562" spans="1:8" x14ac:dyDescent="0.35">
      <c r="A2562">
        <v>13450</v>
      </c>
      <c r="B2562" t="s">
        <v>11</v>
      </c>
      <c r="C2562">
        <v>14</v>
      </c>
      <c r="D2562">
        <v>71</v>
      </c>
      <c r="E2562" t="s">
        <v>8</v>
      </c>
      <c r="F2562" t="s">
        <v>13</v>
      </c>
      <c r="G2562" t="s">
        <v>12</v>
      </c>
      <c r="H2562">
        <v>0</v>
      </c>
    </row>
    <row r="2563" spans="1:8" x14ac:dyDescent="0.35">
      <c r="A2563">
        <v>12381</v>
      </c>
      <c r="B2563" t="s">
        <v>7</v>
      </c>
      <c r="C2563">
        <v>8</v>
      </c>
      <c r="D2563">
        <v>165</v>
      </c>
      <c r="E2563" t="s">
        <v>8</v>
      </c>
      <c r="F2563" t="s">
        <v>13</v>
      </c>
      <c r="G2563" t="s">
        <v>12</v>
      </c>
      <c r="H2563">
        <v>0</v>
      </c>
    </row>
    <row r="2564" spans="1:8" x14ac:dyDescent="0.35">
      <c r="A2564">
        <v>17658</v>
      </c>
      <c r="B2564" t="s">
        <v>7</v>
      </c>
      <c r="C2564">
        <v>7</v>
      </c>
      <c r="D2564">
        <v>61</v>
      </c>
      <c r="E2564" t="s">
        <v>15</v>
      </c>
      <c r="F2564" t="s">
        <v>13</v>
      </c>
      <c r="G2564" t="s">
        <v>16</v>
      </c>
      <c r="H2564">
        <v>1</v>
      </c>
    </row>
    <row r="2565" spans="1:8" x14ac:dyDescent="0.35">
      <c r="A2565">
        <v>17120</v>
      </c>
      <c r="B2565" t="s">
        <v>11</v>
      </c>
      <c r="C2565">
        <v>11</v>
      </c>
      <c r="D2565">
        <v>389</v>
      </c>
      <c r="E2565" t="s">
        <v>8</v>
      </c>
      <c r="F2565" t="s">
        <v>13</v>
      </c>
      <c r="G2565" t="s">
        <v>10</v>
      </c>
      <c r="H2565">
        <v>0</v>
      </c>
    </row>
    <row r="2566" spans="1:8" x14ac:dyDescent="0.35">
      <c r="A2566">
        <v>15431</v>
      </c>
      <c r="B2566" t="s">
        <v>11</v>
      </c>
      <c r="C2566">
        <v>14</v>
      </c>
      <c r="D2566">
        <v>427</v>
      </c>
      <c r="E2566" t="s">
        <v>8</v>
      </c>
      <c r="F2566" t="s">
        <v>13</v>
      </c>
      <c r="G2566" t="s">
        <v>12</v>
      </c>
      <c r="H2566">
        <v>0</v>
      </c>
    </row>
    <row r="2567" spans="1:8" x14ac:dyDescent="0.35">
      <c r="A2567">
        <v>11635</v>
      </c>
      <c r="B2567" t="s">
        <v>11</v>
      </c>
      <c r="C2567">
        <v>12</v>
      </c>
      <c r="D2567">
        <v>117</v>
      </c>
      <c r="E2567" t="s">
        <v>8</v>
      </c>
      <c r="F2567" t="s">
        <v>13</v>
      </c>
      <c r="G2567" t="s">
        <v>10</v>
      </c>
      <c r="H2567">
        <v>0</v>
      </c>
    </row>
    <row r="2568" spans="1:8" x14ac:dyDescent="0.35">
      <c r="A2568">
        <v>18409</v>
      </c>
      <c r="B2568" t="s">
        <v>7</v>
      </c>
      <c r="C2568">
        <v>13</v>
      </c>
      <c r="D2568">
        <v>382</v>
      </c>
      <c r="E2568" t="s">
        <v>8</v>
      </c>
      <c r="F2568" t="s">
        <v>9</v>
      </c>
      <c r="G2568" t="s">
        <v>12</v>
      </c>
      <c r="H2568">
        <v>0</v>
      </c>
    </row>
    <row r="2569" spans="1:8" x14ac:dyDescent="0.35">
      <c r="A2569">
        <v>16227</v>
      </c>
      <c r="B2569" t="s">
        <v>11</v>
      </c>
      <c r="C2569">
        <v>8</v>
      </c>
      <c r="D2569">
        <v>262</v>
      </c>
      <c r="E2569" t="s">
        <v>8</v>
      </c>
      <c r="F2569" t="s">
        <v>13</v>
      </c>
      <c r="G2569" t="s">
        <v>16</v>
      </c>
      <c r="H2569">
        <v>0</v>
      </c>
    </row>
    <row r="2570" spans="1:8" x14ac:dyDescent="0.35">
      <c r="A2570">
        <v>11632</v>
      </c>
      <c r="B2570" t="s">
        <v>11</v>
      </c>
      <c r="C2570">
        <v>13</v>
      </c>
      <c r="D2570">
        <v>187</v>
      </c>
      <c r="E2570" t="s">
        <v>8</v>
      </c>
      <c r="F2570" t="s">
        <v>9</v>
      </c>
      <c r="G2570" t="s">
        <v>16</v>
      </c>
      <c r="H2570">
        <v>0</v>
      </c>
    </row>
    <row r="2571" spans="1:8" x14ac:dyDescent="0.35">
      <c r="A2571">
        <v>18205</v>
      </c>
      <c r="B2571" t="s">
        <v>11</v>
      </c>
      <c r="C2571">
        <v>3</v>
      </c>
      <c r="D2571">
        <v>373</v>
      </c>
      <c r="E2571" t="s">
        <v>8</v>
      </c>
      <c r="F2571" t="s">
        <v>9</v>
      </c>
      <c r="G2571" t="s">
        <v>12</v>
      </c>
      <c r="H2571">
        <v>0</v>
      </c>
    </row>
    <row r="2572" spans="1:8" x14ac:dyDescent="0.35">
      <c r="A2572">
        <v>14618</v>
      </c>
      <c r="B2572" t="s">
        <v>11</v>
      </c>
      <c r="C2572">
        <v>14</v>
      </c>
      <c r="D2572">
        <v>141</v>
      </c>
      <c r="E2572" t="s">
        <v>8</v>
      </c>
      <c r="F2572" t="s">
        <v>9</v>
      </c>
      <c r="G2572" t="s">
        <v>10</v>
      </c>
      <c r="H2572">
        <v>0</v>
      </c>
    </row>
    <row r="2573" spans="1:8" x14ac:dyDescent="0.35">
      <c r="A2573">
        <v>19682</v>
      </c>
      <c r="B2573" t="s">
        <v>7</v>
      </c>
      <c r="C2573">
        <v>8</v>
      </c>
      <c r="D2573">
        <v>50</v>
      </c>
      <c r="E2573" t="s">
        <v>8</v>
      </c>
      <c r="F2573" t="s">
        <v>13</v>
      </c>
      <c r="G2573" t="s">
        <v>16</v>
      </c>
      <c r="H2573">
        <v>0</v>
      </c>
    </row>
    <row r="2574" spans="1:8" x14ac:dyDescent="0.35">
      <c r="A2574">
        <v>19461</v>
      </c>
      <c r="B2574" t="s">
        <v>7</v>
      </c>
      <c r="C2574">
        <v>10</v>
      </c>
      <c r="D2574">
        <v>398</v>
      </c>
      <c r="E2574" t="s">
        <v>15</v>
      </c>
      <c r="F2574" t="s">
        <v>9</v>
      </c>
      <c r="G2574" t="s">
        <v>12</v>
      </c>
      <c r="H2574">
        <v>1</v>
      </c>
    </row>
    <row r="2575" spans="1:8" x14ac:dyDescent="0.35">
      <c r="A2575">
        <v>15147</v>
      </c>
      <c r="B2575" t="s">
        <v>11</v>
      </c>
      <c r="C2575">
        <v>1</v>
      </c>
      <c r="D2575">
        <v>382</v>
      </c>
      <c r="E2575" t="s">
        <v>8</v>
      </c>
      <c r="F2575" t="s">
        <v>13</v>
      </c>
      <c r="G2575" t="s">
        <v>16</v>
      </c>
      <c r="H2575">
        <v>0</v>
      </c>
    </row>
    <row r="2576" spans="1:8" x14ac:dyDescent="0.35">
      <c r="A2576">
        <v>18067</v>
      </c>
      <c r="B2576" t="s">
        <v>11</v>
      </c>
      <c r="C2576">
        <v>10</v>
      </c>
      <c r="D2576">
        <v>355</v>
      </c>
      <c r="E2576" t="s">
        <v>8</v>
      </c>
      <c r="F2576" t="s">
        <v>13</v>
      </c>
      <c r="G2576" t="s">
        <v>16</v>
      </c>
      <c r="H2576">
        <v>0</v>
      </c>
    </row>
    <row r="2577" spans="1:8" x14ac:dyDescent="0.35">
      <c r="A2577">
        <v>16065</v>
      </c>
      <c r="B2577" t="s">
        <v>11</v>
      </c>
      <c r="C2577">
        <v>8</v>
      </c>
      <c r="D2577">
        <v>286</v>
      </c>
      <c r="E2577" t="s">
        <v>8</v>
      </c>
      <c r="F2577" t="s">
        <v>9</v>
      </c>
      <c r="G2577" t="s">
        <v>10</v>
      </c>
      <c r="H2577">
        <v>0</v>
      </c>
    </row>
    <row r="2578" spans="1:8" x14ac:dyDescent="0.35">
      <c r="A2578">
        <v>16938</v>
      </c>
      <c r="B2578" t="s">
        <v>11</v>
      </c>
      <c r="C2578">
        <v>2</v>
      </c>
      <c r="D2578">
        <v>287</v>
      </c>
      <c r="E2578" t="s">
        <v>8</v>
      </c>
      <c r="F2578" t="s">
        <v>13</v>
      </c>
      <c r="G2578" t="s">
        <v>12</v>
      </c>
      <c r="H2578">
        <v>0</v>
      </c>
    </row>
    <row r="2579" spans="1:8" x14ac:dyDescent="0.35">
      <c r="A2579">
        <v>16809</v>
      </c>
      <c r="B2579" t="s">
        <v>7</v>
      </c>
      <c r="C2579">
        <v>14</v>
      </c>
      <c r="D2579">
        <v>417</v>
      </c>
      <c r="E2579" t="s">
        <v>8</v>
      </c>
      <c r="F2579" t="s">
        <v>9</v>
      </c>
      <c r="G2579" t="s">
        <v>14</v>
      </c>
      <c r="H2579">
        <v>0</v>
      </c>
    </row>
    <row r="2580" spans="1:8" x14ac:dyDescent="0.35">
      <c r="A2580">
        <v>17729</v>
      </c>
      <c r="B2580" t="s">
        <v>11</v>
      </c>
      <c r="C2580">
        <v>11</v>
      </c>
      <c r="D2580">
        <v>201</v>
      </c>
      <c r="E2580" t="s">
        <v>8</v>
      </c>
      <c r="F2580" t="s">
        <v>9</v>
      </c>
      <c r="G2580" t="s">
        <v>12</v>
      </c>
      <c r="H2580">
        <v>0</v>
      </c>
    </row>
    <row r="2581" spans="1:8" x14ac:dyDescent="0.35">
      <c r="A2581">
        <v>10996</v>
      </c>
      <c r="B2581" t="s">
        <v>7</v>
      </c>
      <c r="C2581">
        <v>4</v>
      </c>
      <c r="D2581">
        <v>178</v>
      </c>
      <c r="E2581" t="s">
        <v>8</v>
      </c>
      <c r="F2581" t="s">
        <v>13</v>
      </c>
      <c r="G2581" t="s">
        <v>12</v>
      </c>
      <c r="H2581">
        <v>0</v>
      </c>
    </row>
    <row r="2582" spans="1:8" x14ac:dyDescent="0.35">
      <c r="A2582">
        <v>19012</v>
      </c>
      <c r="B2582" t="s">
        <v>7</v>
      </c>
      <c r="C2582">
        <v>4</v>
      </c>
      <c r="D2582">
        <v>60</v>
      </c>
      <c r="E2582" t="s">
        <v>8</v>
      </c>
      <c r="F2582" t="s">
        <v>13</v>
      </c>
      <c r="G2582" t="s">
        <v>10</v>
      </c>
      <c r="H2582">
        <v>0</v>
      </c>
    </row>
    <row r="2583" spans="1:8" x14ac:dyDescent="0.35">
      <c r="A2583">
        <v>16031</v>
      </c>
      <c r="B2583" t="s">
        <v>7</v>
      </c>
      <c r="C2583">
        <v>12</v>
      </c>
      <c r="D2583">
        <v>177</v>
      </c>
      <c r="E2583" t="s">
        <v>8</v>
      </c>
      <c r="F2583" t="s">
        <v>13</v>
      </c>
      <c r="G2583" t="s">
        <v>16</v>
      </c>
      <c r="H2583">
        <v>0</v>
      </c>
    </row>
    <row r="2584" spans="1:8" x14ac:dyDescent="0.35">
      <c r="A2584">
        <v>19315</v>
      </c>
      <c r="B2584" t="s">
        <v>11</v>
      </c>
      <c r="C2584">
        <v>6</v>
      </c>
      <c r="D2584">
        <v>182</v>
      </c>
      <c r="E2584" t="s">
        <v>8</v>
      </c>
      <c r="F2584" t="s">
        <v>13</v>
      </c>
      <c r="G2584" t="s">
        <v>16</v>
      </c>
      <c r="H2584">
        <v>0</v>
      </c>
    </row>
    <row r="2585" spans="1:8" x14ac:dyDescent="0.35">
      <c r="A2585">
        <v>10087</v>
      </c>
      <c r="B2585" t="s">
        <v>11</v>
      </c>
      <c r="C2585">
        <v>12</v>
      </c>
      <c r="D2585">
        <v>124</v>
      </c>
      <c r="E2585" t="s">
        <v>8</v>
      </c>
      <c r="F2585" t="s">
        <v>9</v>
      </c>
      <c r="G2585" t="s">
        <v>16</v>
      </c>
      <c r="H2585">
        <v>0</v>
      </c>
    </row>
    <row r="2586" spans="1:8" x14ac:dyDescent="0.35">
      <c r="A2586">
        <v>11778</v>
      </c>
      <c r="B2586" t="s">
        <v>11</v>
      </c>
      <c r="C2586">
        <v>6</v>
      </c>
      <c r="D2586">
        <v>401</v>
      </c>
      <c r="E2586" t="s">
        <v>8</v>
      </c>
      <c r="F2586" t="s">
        <v>13</v>
      </c>
      <c r="G2586" t="s">
        <v>12</v>
      </c>
      <c r="H2586">
        <v>0</v>
      </c>
    </row>
    <row r="2587" spans="1:8" x14ac:dyDescent="0.35">
      <c r="A2587">
        <v>11573</v>
      </c>
      <c r="B2587" t="s">
        <v>11</v>
      </c>
      <c r="C2587">
        <v>4</v>
      </c>
      <c r="D2587">
        <v>101</v>
      </c>
      <c r="E2587" t="s">
        <v>8</v>
      </c>
      <c r="F2587" t="s">
        <v>9</v>
      </c>
      <c r="G2587" t="s">
        <v>14</v>
      </c>
      <c r="H2587">
        <v>0</v>
      </c>
    </row>
    <row r="2588" spans="1:8" x14ac:dyDescent="0.35">
      <c r="A2588">
        <v>11436</v>
      </c>
      <c r="B2588" t="s">
        <v>11</v>
      </c>
      <c r="C2588">
        <v>11</v>
      </c>
      <c r="D2588">
        <v>265</v>
      </c>
      <c r="E2588" t="s">
        <v>8</v>
      </c>
      <c r="F2588" t="s">
        <v>13</v>
      </c>
      <c r="G2588" t="s">
        <v>12</v>
      </c>
      <c r="H2588">
        <v>0</v>
      </c>
    </row>
    <row r="2589" spans="1:8" x14ac:dyDescent="0.35">
      <c r="A2589">
        <v>12516</v>
      </c>
      <c r="B2589" t="s">
        <v>11</v>
      </c>
      <c r="C2589">
        <v>5</v>
      </c>
      <c r="D2589">
        <v>154</v>
      </c>
      <c r="E2589" t="s">
        <v>8</v>
      </c>
      <c r="F2589" t="s">
        <v>9</v>
      </c>
      <c r="G2589" t="s">
        <v>16</v>
      </c>
      <c r="H2589">
        <v>0</v>
      </c>
    </row>
    <row r="2590" spans="1:8" x14ac:dyDescent="0.35">
      <c r="A2590">
        <v>16812</v>
      </c>
      <c r="B2590" t="s">
        <v>7</v>
      </c>
      <c r="C2590">
        <v>11</v>
      </c>
      <c r="D2590">
        <v>313</v>
      </c>
      <c r="E2590" t="s">
        <v>8</v>
      </c>
      <c r="F2590" t="s">
        <v>9</v>
      </c>
      <c r="G2590" t="s">
        <v>16</v>
      </c>
      <c r="H2590">
        <v>0</v>
      </c>
    </row>
    <row r="2591" spans="1:8" x14ac:dyDescent="0.35">
      <c r="A2591">
        <v>19320</v>
      </c>
      <c r="B2591" t="s">
        <v>11</v>
      </c>
      <c r="C2591">
        <v>2</v>
      </c>
      <c r="D2591">
        <v>283</v>
      </c>
      <c r="E2591" t="s">
        <v>8</v>
      </c>
      <c r="F2591" t="s">
        <v>13</v>
      </c>
      <c r="G2591" t="s">
        <v>14</v>
      </c>
      <c r="H2591">
        <v>0</v>
      </c>
    </row>
    <row r="2592" spans="1:8" x14ac:dyDescent="0.35">
      <c r="A2592">
        <v>18444</v>
      </c>
      <c r="B2592" t="s">
        <v>11</v>
      </c>
      <c r="C2592">
        <v>14</v>
      </c>
      <c r="D2592">
        <v>428</v>
      </c>
      <c r="E2592" t="s">
        <v>8</v>
      </c>
      <c r="F2592" t="s">
        <v>13</v>
      </c>
      <c r="G2592" t="s">
        <v>10</v>
      </c>
      <c r="H2592">
        <v>0</v>
      </c>
    </row>
    <row r="2593" spans="1:8" x14ac:dyDescent="0.35">
      <c r="A2593">
        <v>15683</v>
      </c>
      <c r="B2593" t="s">
        <v>7</v>
      </c>
      <c r="C2593">
        <v>5</v>
      </c>
      <c r="D2593">
        <v>318</v>
      </c>
      <c r="E2593" t="s">
        <v>8</v>
      </c>
      <c r="F2593" t="s">
        <v>9</v>
      </c>
      <c r="G2593" t="s">
        <v>16</v>
      </c>
      <c r="H2593">
        <v>0</v>
      </c>
    </row>
    <row r="2594" spans="1:8" x14ac:dyDescent="0.35">
      <c r="A2594">
        <v>15977</v>
      </c>
      <c r="B2594" t="s">
        <v>7</v>
      </c>
      <c r="C2594">
        <v>10</v>
      </c>
      <c r="D2594">
        <v>355</v>
      </c>
      <c r="E2594" t="s">
        <v>8</v>
      </c>
      <c r="F2594" t="s">
        <v>9</v>
      </c>
      <c r="G2594" t="s">
        <v>16</v>
      </c>
      <c r="H2594">
        <v>0</v>
      </c>
    </row>
    <row r="2595" spans="1:8" x14ac:dyDescent="0.35">
      <c r="A2595">
        <v>16498</v>
      </c>
      <c r="B2595" t="s">
        <v>7</v>
      </c>
      <c r="C2595">
        <v>1</v>
      </c>
      <c r="D2595">
        <v>157</v>
      </c>
      <c r="E2595" t="s">
        <v>8</v>
      </c>
      <c r="F2595" t="s">
        <v>9</v>
      </c>
      <c r="G2595" t="s">
        <v>16</v>
      </c>
      <c r="H2595">
        <v>0</v>
      </c>
    </row>
    <row r="2596" spans="1:8" x14ac:dyDescent="0.35">
      <c r="A2596">
        <v>13519</v>
      </c>
      <c r="B2596" t="s">
        <v>11</v>
      </c>
      <c r="C2596">
        <v>5</v>
      </c>
      <c r="D2596">
        <v>54</v>
      </c>
      <c r="E2596" t="s">
        <v>8</v>
      </c>
      <c r="F2596" t="s">
        <v>13</v>
      </c>
      <c r="G2596" t="s">
        <v>12</v>
      </c>
      <c r="H2596">
        <v>0</v>
      </c>
    </row>
    <row r="2597" spans="1:8" x14ac:dyDescent="0.35">
      <c r="A2597">
        <v>10474</v>
      </c>
      <c r="B2597" t="s">
        <v>11</v>
      </c>
      <c r="C2597">
        <v>1</v>
      </c>
      <c r="D2597">
        <v>342</v>
      </c>
      <c r="E2597" t="s">
        <v>8</v>
      </c>
      <c r="F2597" t="s">
        <v>13</v>
      </c>
      <c r="G2597" t="s">
        <v>12</v>
      </c>
      <c r="H2597">
        <v>0</v>
      </c>
    </row>
    <row r="2598" spans="1:8" x14ac:dyDescent="0.35">
      <c r="A2598">
        <v>11621</v>
      </c>
      <c r="B2598" t="s">
        <v>7</v>
      </c>
      <c r="C2598">
        <v>1</v>
      </c>
      <c r="D2598">
        <v>146</v>
      </c>
      <c r="E2598" t="s">
        <v>8</v>
      </c>
      <c r="F2598" t="s">
        <v>9</v>
      </c>
      <c r="G2598" t="s">
        <v>10</v>
      </c>
      <c r="H2598">
        <v>0</v>
      </c>
    </row>
    <row r="2599" spans="1:8" x14ac:dyDescent="0.35">
      <c r="A2599">
        <v>12541</v>
      </c>
      <c r="B2599" t="s">
        <v>11</v>
      </c>
      <c r="C2599">
        <v>7</v>
      </c>
      <c r="D2599">
        <v>151</v>
      </c>
      <c r="E2599" t="s">
        <v>8</v>
      </c>
      <c r="F2599" t="s">
        <v>13</v>
      </c>
      <c r="G2599" t="s">
        <v>10</v>
      </c>
      <c r="H2599">
        <v>0</v>
      </c>
    </row>
    <row r="2600" spans="1:8" x14ac:dyDescent="0.35">
      <c r="A2600">
        <v>18384</v>
      </c>
      <c r="B2600" t="s">
        <v>7</v>
      </c>
      <c r="C2600">
        <v>6</v>
      </c>
      <c r="D2600">
        <v>103</v>
      </c>
      <c r="E2600" t="s">
        <v>8</v>
      </c>
      <c r="F2600" t="s">
        <v>9</v>
      </c>
      <c r="G2600" t="s">
        <v>12</v>
      </c>
      <c r="H2600">
        <v>0</v>
      </c>
    </row>
    <row r="2601" spans="1:8" x14ac:dyDescent="0.35">
      <c r="A2601">
        <v>16276</v>
      </c>
      <c r="B2601" t="s">
        <v>11</v>
      </c>
      <c r="C2601">
        <v>8</v>
      </c>
      <c r="D2601">
        <v>414</v>
      </c>
      <c r="E2601" t="s">
        <v>8</v>
      </c>
      <c r="F2601" t="s">
        <v>9</v>
      </c>
      <c r="G2601" t="s">
        <v>12</v>
      </c>
      <c r="H2601">
        <v>0</v>
      </c>
    </row>
    <row r="2602" spans="1:8" x14ac:dyDescent="0.35">
      <c r="A2602">
        <v>14934</v>
      </c>
      <c r="B2602" t="s">
        <v>11</v>
      </c>
      <c r="C2602">
        <v>14</v>
      </c>
      <c r="D2602">
        <v>239</v>
      </c>
      <c r="E2602" t="s">
        <v>8</v>
      </c>
      <c r="F2602" t="s">
        <v>13</v>
      </c>
      <c r="G2602" t="s">
        <v>14</v>
      </c>
      <c r="H2602">
        <v>0</v>
      </c>
    </row>
    <row r="2603" spans="1:8" x14ac:dyDescent="0.35">
      <c r="A2603">
        <v>11285</v>
      </c>
      <c r="B2603" t="s">
        <v>11</v>
      </c>
      <c r="C2603">
        <v>13</v>
      </c>
      <c r="D2603">
        <v>173</v>
      </c>
      <c r="E2603" t="s">
        <v>8</v>
      </c>
      <c r="F2603" t="s">
        <v>9</v>
      </c>
      <c r="G2603" t="s">
        <v>10</v>
      </c>
      <c r="H2603">
        <v>0</v>
      </c>
    </row>
    <row r="2604" spans="1:8" x14ac:dyDescent="0.35">
      <c r="A2604">
        <v>10479</v>
      </c>
      <c r="B2604" t="s">
        <v>11</v>
      </c>
      <c r="C2604">
        <v>13</v>
      </c>
      <c r="D2604">
        <v>224</v>
      </c>
      <c r="E2604" t="s">
        <v>8</v>
      </c>
      <c r="F2604" t="s">
        <v>13</v>
      </c>
      <c r="G2604" t="s">
        <v>10</v>
      </c>
      <c r="H2604">
        <v>0</v>
      </c>
    </row>
    <row r="2605" spans="1:8" x14ac:dyDescent="0.35">
      <c r="A2605">
        <v>15038</v>
      </c>
      <c r="B2605" t="s">
        <v>7</v>
      </c>
      <c r="C2605">
        <v>5</v>
      </c>
      <c r="D2605">
        <v>313</v>
      </c>
      <c r="E2605" t="s">
        <v>8</v>
      </c>
      <c r="F2605" t="s">
        <v>9</v>
      </c>
      <c r="G2605" t="s">
        <v>10</v>
      </c>
      <c r="H2605">
        <v>0</v>
      </c>
    </row>
    <row r="2606" spans="1:8" x14ac:dyDescent="0.35">
      <c r="A2606">
        <v>10937</v>
      </c>
      <c r="B2606" t="s">
        <v>11</v>
      </c>
      <c r="C2606">
        <v>8</v>
      </c>
      <c r="D2606">
        <v>417</v>
      </c>
      <c r="E2606" t="s">
        <v>15</v>
      </c>
      <c r="F2606" t="s">
        <v>13</v>
      </c>
      <c r="G2606" t="s">
        <v>14</v>
      </c>
      <c r="H2606">
        <v>1</v>
      </c>
    </row>
    <row r="2607" spans="1:8" x14ac:dyDescent="0.35">
      <c r="A2607">
        <v>15991</v>
      </c>
      <c r="B2607" t="s">
        <v>7</v>
      </c>
      <c r="C2607">
        <v>14</v>
      </c>
      <c r="D2607">
        <v>395</v>
      </c>
      <c r="E2607" t="s">
        <v>8</v>
      </c>
      <c r="F2607" t="s">
        <v>9</v>
      </c>
      <c r="G2607" t="s">
        <v>12</v>
      </c>
      <c r="H2607">
        <v>0</v>
      </c>
    </row>
    <row r="2608" spans="1:8" x14ac:dyDescent="0.35">
      <c r="A2608">
        <v>12437</v>
      </c>
      <c r="B2608" t="s">
        <v>11</v>
      </c>
      <c r="C2608">
        <v>10</v>
      </c>
      <c r="D2608">
        <v>340</v>
      </c>
      <c r="E2608" t="s">
        <v>8</v>
      </c>
      <c r="F2608" t="s">
        <v>13</v>
      </c>
      <c r="G2608" t="s">
        <v>12</v>
      </c>
      <c r="H2608">
        <v>0</v>
      </c>
    </row>
    <row r="2609" spans="1:8" x14ac:dyDescent="0.35">
      <c r="A2609">
        <v>15329</v>
      </c>
      <c r="B2609" t="s">
        <v>11</v>
      </c>
      <c r="C2609">
        <v>5</v>
      </c>
      <c r="D2609">
        <v>432</v>
      </c>
      <c r="E2609" t="s">
        <v>15</v>
      </c>
      <c r="F2609" t="s">
        <v>13</v>
      </c>
      <c r="G2609" t="s">
        <v>10</v>
      </c>
      <c r="H2609">
        <v>1</v>
      </c>
    </row>
    <row r="2610" spans="1:8" x14ac:dyDescent="0.35">
      <c r="A2610">
        <v>10971</v>
      </c>
      <c r="B2610" t="s">
        <v>11</v>
      </c>
      <c r="C2610">
        <v>5</v>
      </c>
      <c r="D2610">
        <v>399</v>
      </c>
      <c r="E2610" t="s">
        <v>8</v>
      </c>
      <c r="F2610" t="s">
        <v>13</v>
      </c>
      <c r="G2610" t="s">
        <v>14</v>
      </c>
      <c r="H2610">
        <v>0</v>
      </c>
    </row>
    <row r="2611" spans="1:8" x14ac:dyDescent="0.35">
      <c r="A2611">
        <v>12691</v>
      </c>
      <c r="B2611" t="s">
        <v>7</v>
      </c>
      <c r="C2611">
        <v>3</v>
      </c>
      <c r="D2611">
        <v>160</v>
      </c>
      <c r="E2611" t="s">
        <v>15</v>
      </c>
      <c r="F2611" t="s">
        <v>9</v>
      </c>
      <c r="G2611" t="s">
        <v>12</v>
      </c>
      <c r="H2611">
        <v>1</v>
      </c>
    </row>
    <row r="2612" spans="1:8" x14ac:dyDescent="0.35">
      <c r="A2612">
        <v>15795</v>
      </c>
      <c r="B2612" t="s">
        <v>7</v>
      </c>
      <c r="C2612">
        <v>11</v>
      </c>
      <c r="D2612">
        <v>435</v>
      </c>
      <c r="E2612" t="s">
        <v>8</v>
      </c>
      <c r="F2612" t="s">
        <v>9</v>
      </c>
      <c r="G2612" t="s">
        <v>10</v>
      </c>
      <c r="H2612">
        <v>0</v>
      </c>
    </row>
    <row r="2613" spans="1:8" x14ac:dyDescent="0.35">
      <c r="A2613">
        <v>19131</v>
      </c>
      <c r="B2613" t="s">
        <v>11</v>
      </c>
      <c r="C2613">
        <v>4</v>
      </c>
      <c r="D2613">
        <v>137</v>
      </c>
      <c r="E2613" t="s">
        <v>8</v>
      </c>
      <c r="F2613" t="s">
        <v>13</v>
      </c>
      <c r="G2613" t="s">
        <v>10</v>
      </c>
      <c r="H2613">
        <v>0</v>
      </c>
    </row>
    <row r="2614" spans="1:8" x14ac:dyDescent="0.35">
      <c r="A2614">
        <v>18184</v>
      </c>
      <c r="B2614" t="s">
        <v>11</v>
      </c>
      <c r="C2614">
        <v>3</v>
      </c>
      <c r="D2614">
        <v>248</v>
      </c>
      <c r="E2614" t="s">
        <v>8</v>
      </c>
      <c r="F2614" t="s">
        <v>13</v>
      </c>
      <c r="G2614" t="s">
        <v>12</v>
      </c>
      <c r="H2614">
        <v>0</v>
      </c>
    </row>
    <row r="2615" spans="1:8" x14ac:dyDescent="0.35">
      <c r="A2615">
        <v>11725</v>
      </c>
      <c r="B2615" t="s">
        <v>7</v>
      </c>
      <c r="C2615">
        <v>14</v>
      </c>
      <c r="D2615">
        <v>90</v>
      </c>
      <c r="E2615" t="s">
        <v>8</v>
      </c>
      <c r="F2615" t="s">
        <v>9</v>
      </c>
      <c r="G2615" t="s">
        <v>12</v>
      </c>
      <c r="H2615">
        <v>0</v>
      </c>
    </row>
    <row r="2616" spans="1:8" x14ac:dyDescent="0.35">
      <c r="A2616">
        <v>12147</v>
      </c>
      <c r="B2616" t="s">
        <v>7</v>
      </c>
      <c r="C2616">
        <v>14</v>
      </c>
      <c r="D2616">
        <v>438</v>
      </c>
      <c r="E2616" t="s">
        <v>15</v>
      </c>
      <c r="F2616" t="s">
        <v>13</v>
      </c>
      <c r="G2616" t="s">
        <v>14</v>
      </c>
      <c r="H2616">
        <v>1</v>
      </c>
    </row>
    <row r="2617" spans="1:8" x14ac:dyDescent="0.35">
      <c r="A2617">
        <v>11819</v>
      </c>
      <c r="B2617" t="s">
        <v>11</v>
      </c>
      <c r="C2617">
        <v>11</v>
      </c>
      <c r="D2617">
        <v>226</v>
      </c>
      <c r="E2617" t="s">
        <v>15</v>
      </c>
      <c r="F2617" t="s">
        <v>9</v>
      </c>
      <c r="G2617" t="s">
        <v>12</v>
      </c>
      <c r="H2617">
        <v>1</v>
      </c>
    </row>
    <row r="2618" spans="1:8" x14ac:dyDescent="0.35">
      <c r="A2618">
        <v>19950</v>
      </c>
      <c r="B2618" t="s">
        <v>11</v>
      </c>
      <c r="C2618">
        <v>11</v>
      </c>
      <c r="D2618">
        <v>46</v>
      </c>
      <c r="E2618" t="s">
        <v>8</v>
      </c>
      <c r="F2618" t="s">
        <v>13</v>
      </c>
      <c r="G2618" t="s">
        <v>16</v>
      </c>
      <c r="H2618">
        <v>0</v>
      </c>
    </row>
    <row r="2619" spans="1:8" x14ac:dyDescent="0.35">
      <c r="A2619">
        <v>13665</v>
      </c>
      <c r="B2619" t="s">
        <v>11</v>
      </c>
      <c r="C2619">
        <v>11</v>
      </c>
      <c r="D2619">
        <v>359</v>
      </c>
      <c r="E2619" t="s">
        <v>8</v>
      </c>
      <c r="F2619" t="s">
        <v>9</v>
      </c>
      <c r="G2619" t="s">
        <v>16</v>
      </c>
      <c r="H2619">
        <v>0</v>
      </c>
    </row>
    <row r="2620" spans="1:8" x14ac:dyDescent="0.35">
      <c r="A2620">
        <v>14206</v>
      </c>
      <c r="B2620" t="s">
        <v>11</v>
      </c>
      <c r="C2620">
        <v>6</v>
      </c>
      <c r="D2620">
        <v>346</v>
      </c>
      <c r="E2620" t="s">
        <v>8</v>
      </c>
      <c r="F2620" t="s">
        <v>9</v>
      </c>
      <c r="G2620" t="s">
        <v>16</v>
      </c>
      <c r="H2620">
        <v>0</v>
      </c>
    </row>
    <row r="2621" spans="1:8" x14ac:dyDescent="0.35">
      <c r="A2621">
        <v>18186</v>
      </c>
      <c r="B2621" t="s">
        <v>7</v>
      </c>
      <c r="C2621">
        <v>9</v>
      </c>
      <c r="D2621">
        <v>68</v>
      </c>
      <c r="E2621" t="s">
        <v>8</v>
      </c>
      <c r="F2621" t="s">
        <v>9</v>
      </c>
      <c r="G2621" t="s">
        <v>12</v>
      </c>
      <c r="H2621">
        <v>0</v>
      </c>
    </row>
    <row r="2622" spans="1:8" x14ac:dyDescent="0.35">
      <c r="A2622">
        <v>10170</v>
      </c>
      <c r="B2622" t="s">
        <v>11</v>
      </c>
      <c r="C2622">
        <v>14</v>
      </c>
      <c r="D2622">
        <v>56</v>
      </c>
      <c r="E2622" t="s">
        <v>8</v>
      </c>
      <c r="F2622" t="s">
        <v>9</v>
      </c>
      <c r="G2622" t="s">
        <v>14</v>
      </c>
      <c r="H2622">
        <v>0</v>
      </c>
    </row>
    <row r="2623" spans="1:8" x14ac:dyDescent="0.35">
      <c r="A2623">
        <v>12608</v>
      </c>
      <c r="B2623" t="s">
        <v>7</v>
      </c>
      <c r="C2623">
        <v>14</v>
      </c>
      <c r="D2623">
        <v>351</v>
      </c>
      <c r="E2623" t="s">
        <v>8</v>
      </c>
      <c r="F2623" t="s">
        <v>13</v>
      </c>
      <c r="G2623" t="s">
        <v>16</v>
      </c>
      <c r="H2623">
        <v>0</v>
      </c>
    </row>
    <row r="2624" spans="1:8" x14ac:dyDescent="0.35">
      <c r="A2624">
        <v>12789</v>
      </c>
      <c r="B2624" t="s">
        <v>11</v>
      </c>
      <c r="C2624">
        <v>2</v>
      </c>
      <c r="D2624">
        <v>191</v>
      </c>
      <c r="E2624" t="s">
        <v>8</v>
      </c>
      <c r="F2624" t="s">
        <v>13</v>
      </c>
      <c r="G2624" t="s">
        <v>16</v>
      </c>
      <c r="H2624">
        <v>0</v>
      </c>
    </row>
    <row r="2625" spans="1:8" x14ac:dyDescent="0.35">
      <c r="A2625">
        <v>19688</v>
      </c>
      <c r="B2625" t="s">
        <v>11</v>
      </c>
      <c r="C2625">
        <v>14</v>
      </c>
      <c r="D2625">
        <v>218</v>
      </c>
      <c r="E2625" t="s">
        <v>8</v>
      </c>
      <c r="F2625" t="s">
        <v>9</v>
      </c>
      <c r="G2625" t="s">
        <v>12</v>
      </c>
      <c r="H2625">
        <v>0</v>
      </c>
    </row>
    <row r="2626" spans="1:8" x14ac:dyDescent="0.35">
      <c r="A2626">
        <v>17059</v>
      </c>
      <c r="B2626" t="s">
        <v>7</v>
      </c>
      <c r="C2626">
        <v>11</v>
      </c>
      <c r="D2626">
        <v>303</v>
      </c>
      <c r="E2626" t="s">
        <v>8</v>
      </c>
      <c r="F2626" t="s">
        <v>9</v>
      </c>
      <c r="G2626" t="s">
        <v>14</v>
      </c>
      <c r="H2626">
        <v>0</v>
      </c>
    </row>
    <row r="2627" spans="1:8" x14ac:dyDescent="0.35">
      <c r="A2627">
        <v>14401</v>
      </c>
      <c r="B2627" t="s">
        <v>11</v>
      </c>
      <c r="C2627">
        <v>14</v>
      </c>
      <c r="D2627">
        <v>354</v>
      </c>
      <c r="E2627" t="s">
        <v>8</v>
      </c>
      <c r="F2627" t="s">
        <v>13</v>
      </c>
      <c r="G2627" t="s">
        <v>12</v>
      </c>
      <c r="H2627">
        <v>0</v>
      </c>
    </row>
    <row r="2628" spans="1:8" x14ac:dyDescent="0.35">
      <c r="A2628">
        <v>15949</v>
      </c>
      <c r="B2628" t="s">
        <v>7</v>
      </c>
      <c r="C2628">
        <v>5</v>
      </c>
      <c r="D2628">
        <v>154</v>
      </c>
      <c r="E2628" t="s">
        <v>15</v>
      </c>
      <c r="F2628" t="s">
        <v>9</v>
      </c>
      <c r="G2628" t="s">
        <v>12</v>
      </c>
      <c r="H2628">
        <v>1</v>
      </c>
    </row>
    <row r="2629" spans="1:8" x14ac:dyDescent="0.35">
      <c r="A2629">
        <v>19299</v>
      </c>
      <c r="B2629" t="s">
        <v>11</v>
      </c>
      <c r="C2629">
        <v>6</v>
      </c>
      <c r="D2629">
        <v>448</v>
      </c>
      <c r="E2629" t="s">
        <v>8</v>
      </c>
      <c r="F2629" t="s">
        <v>13</v>
      </c>
      <c r="G2629" t="s">
        <v>10</v>
      </c>
      <c r="H2629">
        <v>0</v>
      </c>
    </row>
    <row r="2630" spans="1:8" x14ac:dyDescent="0.35">
      <c r="A2630">
        <v>14813</v>
      </c>
      <c r="B2630" t="s">
        <v>11</v>
      </c>
      <c r="C2630">
        <v>1</v>
      </c>
      <c r="D2630">
        <v>237</v>
      </c>
      <c r="E2630" t="s">
        <v>8</v>
      </c>
      <c r="F2630" t="s">
        <v>13</v>
      </c>
      <c r="G2630" t="s">
        <v>16</v>
      </c>
      <c r="H2630">
        <v>0</v>
      </c>
    </row>
    <row r="2631" spans="1:8" x14ac:dyDescent="0.35">
      <c r="A2631">
        <v>18131</v>
      </c>
      <c r="B2631" t="s">
        <v>11</v>
      </c>
      <c r="C2631">
        <v>5</v>
      </c>
      <c r="D2631">
        <v>91</v>
      </c>
      <c r="E2631" t="s">
        <v>8</v>
      </c>
      <c r="F2631" t="s">
        <v>13</v>
      </c>
      <c r="G2631" t="s">
        <v>12</v>
      </c>
      <c r="H2631">
        <v>0</v>
      </c>
    </row>
    <row r="2632" spans="1:8" x14ac:dyDescent="0.35">
      <c r="A2632">
        <v>12279</v>
      </c>
      <c r="B2632" t="s">
        <v>7</v>
      </c>
      <c r="C2632">
        <v>8</v>
      </c>
      <c r="D2632">
        <v>227</v>
      </c>
      <c r="E2632" t="s">
        <v>8</v>
      </c>
      <c r="F2632" t="s">
        <v>13</v>
      </c>
      <c r="G2632" t="s">
        <v>16</v>
      </c>
      <c r="H2632">
        <v>0</v>
      </c>
    </row>
    <row r="2633" spans="1:8" x14ac:dyDescent="0.35">
      <c r="A2633">
        <v>17683</v>
      </c>
      <c r="B2633" t="s">
        <v>11</v>
      </c>
      <c r="C2633">
        <v>4</v>
      </c>
      <c r="D2633">
        <v>283</v>
      </c>
      <c r="E2633" t="s">
        <v>8</v>
      </c>
      <c r="F2633" t="s">
        <v>9</v>
      </c>
      <c r="G2633" t="s">
        <v>10</v>
      </c>
      <c r="H2633">
        <v>0</v>
      </c>
    </row>
    <row r="2634" spans="1:8" x14ac:dyDescent="0.35">
      <c r="A2634">
        <v>19440</v>
      </c>
      <c r="B2634" t="s">
        <v>7</v>
      </c>
      <c r="C2634">
        <v>12</v>
      </c>
      <c r="D2634">
        <v>352</v>
      </c>
      <c r="E2634" t="s">
        <v>15</v>
      </c>
      <c r="F2634" t="s">
        <v>13</v>
      </c>
      <c r="G2634" t="s">
        <v>12</v>
      </c>
      <c r="H2634">
        <v>1</v>
      </c>
    </row>
    <row r="2635" spans="1:8" x14ac:dyDescent="0.35">
      <c r="A2635">
        <v>16283</v>
      </c>
      <c r="B2635" t="s">
        <v>11</v>
      </c>
      <c r="C2635">
        <v>3</v>
      </c>
      <c r="D2635">
        <v>121</v>
      </c>
      <c r="E2635" t="s">
        <v>8</v>
      </c>
      <c r="F2635" t="s">
        <v>9</v>
      </c>
      <c r="G2635" t="s">
        <v>14</v>
      </c>
      <c r="H2635">
        <v>0</v>
      </c>
    </row>
    <row r="2636" spans="1:8" x14ac:dyDescent="0.35">
      <c r="A2636">
        <v>10645</v>
      </c>
      <c r="B2636" t="s">
        <v>11</v>
      </c>
      <c r="C2636">
        <v>14</v>
      </c>
      <c r="D2636">
        <v>217</v>
      </c>
      <c r="E2636" t="s">
        <v>15</v>
      </c>
      <c r="F2636" t="s">
        <v>9</v>
      </c>
      <c r="G2636" t="s">
        <v>12</v>
      </c>
      <c r="H2636">
        <v>1</v>
      </c>
    </row>
    <row r="2637" spans="1:8" x14ac:dyDescent="0.35">
      <c r="A2637">
        <v>12078</v>
      </c>
      <c r="B2637" t="s">
        <v>11</v>
      </c>
      <c r="C2637">
        <v>3</v>
      </c>
      <c r="D2637">
        <v>189</v>
      </c>
      <c r="E2637" t="s">
        <v>8</v>
      </c>
      <c r="F2637" t="s">
        <v>9</v>
      </c>
      <c r="G2637" t="s">
        <v>14</v>
      </c>
      <c r="H2637">
        <v>0</v>
      </c>
    </row>
    <row r="2638" spans="1:8" x14ac:dyDescent="0.35">
      <c r="A2638">
        <v>16037</v>
      </c>
      <c r="B2638" t="s">
        <v>11</v>
      </c>
      <c r="C2638">
        <v>5</v>
      </c>
      <c r="D2638">
        <v>121</v>
      </c>
      <c r="E2638" t="s">
        <v>8</v>
      </c>
      <c r="F2638" t="s">
        <v>13</v>
      </c>
      <c r="G2638" t="s">
        <v>12</v>
      </c>
      <c r="H2638">
        <v>0</v>
      </c>
    </row>
    <row r="2639" spans="1:8" x14ac:dyDescent="0.35">
      <c r="A2639">
        <v>17374</v>
      </c>
      <c r="B2639" t="s">
        <v>7</v>
      </c>
      <c r="C2639">
        <v>2</v>
      </c>
      <c r="D2639">
        <v>193</v>
      </c>
      <c r="E2639" t="s">
        <v>8</v>
      </c>
      <c r="F2639" t="s">
        <v>9</v>
      </c>
      <c r="G2639" t="s">
        <v>14</v>
      </c>
      <c r="H2639">
        <v>0</v>
      </c>
    </row>
    <row r="2640" spans="1:8" x14ac:dyDescent="0.35">
      <c r="A2640">
        <v>13621</v>
      </c>
      <c r="B2640" t="s">
        <v>7</v>
      </c>
      <c r="C2640">
        <v>5</v>
      </c>
      <c r="D2640">
        <v>132</v>
      </c>
      <c r="E2640" t="s">
        <v>8</v>
      </c>
      <c r="F2640" t="s">
        <v>9</v>
      </c>
      <c r="G2640" t="s">
        <v>10</v>
      </c>
      <c r="H2640">
        <v>0</v>
      </c>
    </row>
    <row r="2641" spans="1:8" x14ac:dyDescent="0.35">
      <c r="A2641">
        <v>12929</v>
      </c>
      <c r="B2641" t="s">
        <v>7</v>
      </c>
      <c r="C2641">
        <v>5</v>
      </c>
      <c r="D2641">
        <v>229</v>
      </c>
      <c r="E2641" t="s">
        <v>8</v>
      </c>
      <c r="F2641" t="s">
        <v>9</v>
      </c>
      <c r="G2641" t="s">
        <v>10</v>
      </c>
      <c r="H2641">
        <v>0</v>
      </c>
    </row>
    <row r="2642" spans="1:8" x14ac:dyDescent="0.35">
      <c r="A2642">
        <v>18166</v>
      </c>
      <c r="B2642" t="s">
        <v>11</v>
      </c>
      <c r="C2642">
        <v>12</v>
      </c>
      <c r="D2642">
        <v>274</v>
      </c>
      <c r="E2642" t="s">
        <v>8</v>
      </c>
      <c r="F2642" t="s">
        <v>9</v>
      </c>
      <c r="G2642" t="s">
        <v>16</v>
      </c>
      <c r="H2642">
        <v>0</v>
      </c>
    </row>
    <row r="2643" spans="1:8" x14ac:dyDescent="0.35">
      <c r="A2643">
        <v>12379</v>
      </c>
      <c r="B2643" t="s">
        <v>11</v>
      </c>
      <c r="C2643">
        <v>12</v>
      </c>
      <c r="D2643">
        <v>146</v>
      </c>
      <c r="E2643" t="s">
        <v>8</v>
      </c>
      <c r="F2643" t="s">
        <v>13</v>
      </c>
      <c r="G2643" t="s">
        <v>16</v>
      </c>
      <c r="H2643">
        <v>0</v>
      </c>
    </row>
    <row r="2644" spans="1:8" x14ac:dyDescent="0.35">
      <c r="A2644">
        <v>17073</v>
      </c>
      <c r="B2644" t="s">
        <v>11</v>
      </c>
      <c r="C2644">
        <v>5</v>
      </c>
      <c r="D2644">
        <v>221</v>
      </c>
      <c r="E2644" t="s">
        <v>8</v>
      </c>
      <c r="F2644" t="s">
        <v>9</v>
      </c>
      <c r="G2644" t="s">
        <v>10</v>
      </c>
      <c r="H2644">
        <v>0</v>
      </c>
    </row>
    <row r="2645" spans="1:8" x14ac:dyDescent="0.35">
      <c r="A2645">
        <v>15385</v>
      </c>
      <c r="B2645" t="s">
        <v>7</v>
      </c>
      <c r="C2645">
        <v>1</v>
      </c>
      <c r="D2645">
        <v>330</v>
      </c>
      <c r="E2645" t="s">
        <v>8</v>
      </c>
      <c r="F2645" t="s">
        <v>13</v>
      </c>
      <c r="G2645" t="s">
        <v>10</v>
      </c>
      <c r="H2645">
        <v>0</v>
      </c>
    </row>
    <row r="2646" spans="1:8" x14ac:dyDescent="0.35">
      <c r="A2646">
        <v>19121</v>
      </c>
      <c r="B2646" t="s">
        <v>11</v>
      </c>
      <c r="C2646">
        <v>4</v>
      </c>
      <c r="D2646">
        <v>350</v>
      </c>
      <c r="E2646" t="s">
        <v>8</v>
      </c>
      <c r="F2646" t="s">
        <v>9</v>
      </c>
      <c r="G2646" t="s">
        <v>12</v>
      </c>
      <c r="H2646">
        <v>0</v>
      </c>
    </row>
    <row r="2647" spans="1:8" x14ac:dyDescent="0.35">
      <c r="A2647">
        <v>13495</v>
      </c>
      <c r="B2647" t="s">
        <v>11</v>
      </c>
      <c r="C2647">
        <v>9</v>
      </c>
      <c r="D2647">
        <v>444</v>
      </c>
      <c r="E2647" t="s">
        <v>8</v>
      </c>
      <c r="F2647" t="s">
        <v>13</v>
      </c>
      <c r="G2647" t="s">
        <v>16</v>
      </c>
      <c r="H2647">
        <v>0</v>
      </c>
    </row>
    <row r="2648" spans="1:8" x14ac:dyDescent="0.35">
      <c r="A2648">
        <v>15931</v>
      </c>
      <c r="B2648" t="s">
        <v>11</v>
      </c>
      <c r="C2648">
        <v>9</v>
      </c>
      <c r="D2648">
        <v>223</v>
      </c>
      <c r="E2648" t="s">
        <v>8</v>
      </c>
      <c r="F2648" t="s">
        <v>13</v>
      </c>
      <c r="G2648" t="s">
        <v>10</v>
      </c>
      <c r="H2648">
        <v>0</v>
      </c>
    </row>
    <row r="2649" spans="1:8" x14ac:dyDescent="0.35">
      <c r="A2649">
        <v>11210</v>
      </c>
      <c r="B2649" t="s">
        <v>7</v>
      </c>
      <c r="C2649">
        <v>2</v>
      </c>
      <c r="D2649">
        <v>85</v>
      </c>
      <c r="E2649" t="s">
        <v>8</v>
      </c>
      <c r="F2649" t="s">
        <v>9</v>
      </c>
      <c r="G2649" t="s">
        <v>14</v>
      </c>
      <c r="H2649">
        <v>0</v>
      </c>
    </row>
    <row r="2650" spans="1:8" x14ac:dyDescent="0.35">
      <c r="A2650">
        <v>17541</v>
      </c>
      <c r="B2650" t="s">
        <v>7</v>
      </c>
      <c r="C2650">
        <v>11</v>
      </c>
      <c r="D2650">
        <v>331</v>
      </c>
      <c r="E2650" t="s">
        <v>8</v>
      </c>
      <c r="F2650" t="s">
        <v>9</v>
      </c>
      <c r="G2650" t="s">
        <v>12</v>
      </c>
      <c r="H2650">
        <v>0</v>
      </c>
    </row>
    <row r="2651" spans="1:8" x14ac:dyDescent="0.35">
      <c r="A2651">
        <v>11113</v>
      </c>
      <c r="B2651" t="s">
        <v>7</v>
      </c>
      <c r="C2651">
        <v>9</v>
      </c>
      <c r="D2651">
        <v>317</v>
      </c>
      <c r="E2651" t="s">
        <v>8</v>
      </c>
      <c r="F2651" t="s">
        <v>13</v>
      </c>
      <c r="G2651" t="s">
        <v>12</v>
      </c>
      <c r="H2651">
        <v>0</v>
      </c>
    </row>
    <row r="2652" spans="1:8" x14ac:dyDescent="0.35">
      <c r="A2652">
        <v>18538</v>
      </c>
      <c r="B2652" t="s">
        <v>7</v>
      </c>
      <c r="C2652">
        <v>1</v>
      </c>
      <c r="D2652">
        <v>388</v>
      </c>
      <c r="E2652" t="s">
        <v>8</v>
      </c>
      <c r="F2652" t="s">
        <v>13</v>
      </c>
      <c r="G2652" t="s">
        <v>14</v>
      </c>
      <c r="H2652">
        <v>0</v>
      </c>
    </row>
    <row r="2653" spans="1:8" x14ac:dyDescent="0.35">
      <c r="A2653">
        <v>17961</v>
      </c>
      <c r="B2653" t="s">
        <v>7</v>
      </c>
      <c r="C2653">
        <v>14</v>
      </c>
      <c r="D2653">
        <v>285</v>
      </c>
      <c r="E2653" t="s">
        <v>8</v>
      </c>
      <c r="F2653" t="s">
        <v>9</v>
      </c>
      <c r="G2653" t="s">
        <v>12</v>
      </c>
      <c r="H2653">
        <v>0</v>
      </c>
    </row>
    <row r="2654" spans="1:8" x14ac:dyDescent="0.35">
      <c r="A2654">
        <v>12997</v>
      </c>
      <c r="B2654" t="s">
        <v>11</v>
      </c>
      <c r="C2654">
        <v>3</v>
      </c>
      <c r="D2654">
        <v>234</v>
      </c>
      <c r="E2654" t="s">
        <v>8</v>
      </c>
      <c r="F2654" t="s">
        <v>9</v>
      </c>
      <c r="G2654" t="s">
        <v>10</v>
      </c>
      <c r="H2654">
        <v>0</v>
      </c>
    </row>
    <row r="2655" spans="1:8" x14ac:dyDescent="0.35">
      <c r="A2655">
        <v>10644</v>
      </c>
      <c r="B2655" t="s">
        <v>11</v>
      </c>
      <c r="C2655">
        <v>3</v>
      </c>
      <c r="D2655">
        <v>281</v>
      </c>
      <c r="E2655" t="s">
        <v>15</v>
      </c>
      <c r="F2655" t="s">
        <v>13</v>
      </c>
      <c r="G2655" t="s">
        <v>12</v>
      </c>
      <c r="H2655">
        <v>1</v>
      </c>
    </row>
    <row r="2656" spans="1:8" x14ac:dyDescent="0.35">
      <c r="A2656">
        <v>13043</v>
      </c>
      <c r="B2656" t="s">
        <v>11</v>
      </c>
      <c r="C2656">
        <v>7</v>
      </c>
      <c r="D2656">
        <v>283</v>
      </c>
      <c r="E2656" t="s">
        <v>8</v>
      </c>
      <c r="F2656" t="s">
        <v>9</v>
      </c>
      <c r="G2656" t="s">
        <v>16</v>
      </c>
      <c r="H2656">
        <v>0</v>
      </c>
    </row>
    <row r="2657" spans="1:8" x14ac:dyDescent="0.35">
      <c r="A2657">
        <v>10578</v>
      </c>
      <c r="B2657" t="s">
        <v>11</v>
      </c>
      <c r="C2657">
        <v>11</v>
      </c>
      <c r="D2657">
        <v>397</v>
      </c>
      <c r="E2657" t="s">
        <v>8</v>
      </c>
      <c r="F2657" t="s">
        <v>13</v>
      </c>
      <c r="G2657" t="s">
        <v>10</v>
      </c>
      <c r="H2657">
        <v>0</v>
      </c>
    </row>
    <row r="2658" spans="1:8" x14ac:dyDescent="0.35">
      <c r="A2658">
        <v>13059</v>
      </c>
      <c r="B2658" t="s">
        <v>11</v>
      </c>
      <c r="C2658">
        <v>6</v>
      </c>
      <c r="D2658">
        <v>171</v>
      </c>
      <c r="E2658" t="s">
        <v>8</v>
      </c>
      <c r="F2658" t="s">
        <v>9</v>
      </c>
      <c r="G2658" t="s">
        <v>16</v>
      </c>
      <c r="H2658">
        <v>0</v>
      </c>
    </row>
    <row r="2659" spans="1:8" x14ac:dyDescent="0.35">
      <c r="A2659">
        <v>18229</v>
      </c>
      <c r="B2659" t="s">
        <v>7</v>
      </c>
      <c r="C2659">
        <v>4</v>
      </c>
      <c r="D2659">
        <v>363</v>
      </c>
      <c r="E2659" t="s">
        <v>8</v>
      </c>
      <c r="F2659" t="s">
        <v>13</v>
      </c>
      <c r="G2659" t="s">
        <v>12</v>
      </c>
      <c r="H2659">
        <v>0</v>
      </c>
    </row>
    <row r="2660" spans="1:8" x14ac:dyDescent="0.35">
      <c r="A2660">
        <v>14511</v>
      </c>
      <c r="B2660" t="s">
        <v>11</v>
      </c>
      <c r="C2660">
        <v>11</v>
      </c>
      <c r="D2660">
        <v>380</v>
      </c>
      <c r="E2660" t="s">
        <v>8</v>
      </c>
      <c r="F2660" t="s">
        <v>9</v>
      </c>
      <c r="G2660" t="s">
        <v>16</v>
      </c>
      <c r="H2660">
        <v>0</v>
      </c>
    </row>
    <row r="2661" spans="1:8" x14ac:dyDescent="0.35">
      <c r="A2661">
        <v>17210</v>
      </c>
      <c r="B2661" t="s">
        <v>11</v>
      </c>
      <c r="C2661">
        <v>11</v>
      </c>
      <c r="D2661">
        <v>144</v>
      </c>
      <c r="E2661" t="s">
        <v>8</v>
      </c>
      <c r="F2661" t="s">
        <v>9</v>
      </c>
      <c r="G2661" t="s">
        <v>12</v>
      </c>
      <c r="H2661">
        <v>0</v>
      </c>
    </row>
    <row r="2662" spans="1:8" x14ac:dyDescent="0.35">
      <c r="A2662">
        <v>15627</v>
      </c>
      <c r="B2662" t="s">
        <v>11</v>
      </c>
      <c r="C2662">
        <v>10</v>
      </c>
      <c r="D2662">
        <v>353</v>
      </c>
      <c r="E2662" t="s">
        <v>8</v>
      </c>
      <c r="F2662" t="s">
        <v>9</v>
      </c>
      <c r="G2662" t="s">
        <v>14</v>
      </c>
      <c r="H2662">
        <v>0</v>
      </c>
    </row>
    <row r="2663" spans="1:8" x14ac:dyDescent="0.35">
      <c r="A2663">
        <v>10004</v>
      </c>
      <c r="B2663" t="s">
        <v>11</v>
      </c>
      <c r="C2663">
        <v>12</v>
      </c>
      <c r="D2663">
        <v>113</v>
      </c>
      <c r="E2663" t="s">
        <v>8</v>
      </c>
      <c r="F2663" t="s">
        <v>13</v>
      </c>
      <c r="G2663" t="s">
        <v>16</v>
      </c>
      <c r="H2663">
        <v>0</v>
      </c>
    </row>
    <row r="2664" spans="1:8" x14ac:dyDescent="0.35">
      <c r="A2664">
        <v>12572</v>
      </c>
      <c r="B2664" t="s">
        <v>7</v>
      </c>
      <c r="C2664">
        <v>7</v>
      </c>
      <c r="D2664">
        <v>162</v>
      </c>
      <c r="E2664" t="s">
        <v>15</v>
      </c>
      <c r="F2664" t="s">
        <v>13</v>
      </c>
      <c r="G2664" t="s">
        <v>14</v>
      </c>
      <c r="H2664">
        <v>1</v>
      </c>
    </row>
    <row r="2665" spans="1:8" x14ac:dyDescent="0.35">
      <c r="A2665">
        <v>10731</v>
      </c>
      <c r="B2665" t="s">
        <v>7</v>
      </c>
      <c r="C2665">
        <v>9</v>
      </c>
      <c r="D2665">
        <v>68</v>
      </c>
      <c r="E2665" t="s">
        <v>8</v>
      </c>
      <c r="F2665" t="s">
        <v>9</v>
      </c>
      <c r="G2665" t="s">
        <v>10</v>
      </c>
      <c r="H2665">
        <v>0</v>
      </c>
    </row>
    <row r="2666" spans="1:8" x14ac:dyDescent="0.35">
      <c r="A2666">
        <v>16289</v>
      </c>
      <c r="B2666" t="s">
        <v>7</v>
      </c>
      <c r="C2666">
        <v>9</v>
      </c>
      <c r="D2666">
        <v>200</v>
      </c>
      <c r="E2666" t="s">
        <v>8</v>
      </c>
      <c r="F2666" t="s">
        <v>9</v>
      </c>
      <c r="G2666" t="s">
        <v>14</v>
      </c>
      <c r="H2666">
        <v>0</v>
      </c>
    </row>
    <row r="2667" spans="1:8" x14ac:dyDescent="0.35">
      <c r="A2667">
        <v>19260</v>
      </c>
      <c r="B2667" t="s">
        <v>11</v>
      </c>
      <c r="C2667">
        <v>7</v>
      </c>
      <c r="D2667">
        <v>203</v>
      </c>
      <c r="E2667" t="s">
        <v>8</v>
      </c>
      <c r="F2667" t="s">
        <v>9</v>
      </c>
      <c r="G2667" t="s">
        <v>12</v>
      </c>
      <c r="H2667">
        <v>0</v>
      </c>
    </row>
    <row r="2668" spans="1:8" x14ac:dyDescent="0.35">
      <c r="A2668">
        <v>12095</v>
      </c>
      <c r="B2668" t="s">
        <v>11</v>
      </c>
      <c r="C2668">
        <v>2</v>
      </c>
      <c r="D2668">
        <v>343</v>
      </c>
      <c r="E2668" t="s">
        <v>8</v>
      </c>
      <c r="F2668" t="s">
        <v>13</v>
      </c>
      <c r="G2668" t="s">
        <v>14</v>
      </c>
      <c r="H2668">
        <v>0</v>
      </c>
    </row>
    <row r="2669" spans="1:8" x14ac:dyDescent="0.35">
      <c r="A2669">
        <v>16043</v>
      </c>
      <c r="B2669" t="s">
        <v>7</v>
      </c>
      <c r="C2669">
        <v>11</v>
      </c>
      <c r="D2669">
        <v>79</v>
      </c>
      <c r="E2669" t="s">
        <v>8</v>
      </c>
      <c r="F2669" t="s">
        <v>9</v>
      </c>
      <c r="G2669" t="s">
        <v>12</v>
      </c>
      <c r="H2669">
        <v>0</v>
      </c>
    </row>
    <row r="2670" spans="1:8" x14ac:dyDescent="0.35">
      <c r="A2670">
        <v>12261</v>
      </c>
      <c r="B2670" t="s">
        <v>11</v>
      </c>
      <c r="C2670">
        <v>11</v>
      </c>
      <c r="D2670">
        <v>119</v>
      </c>
      <c r="E2670" t="s">
        <v>8</v>
      </c>
      <c r="F2670" t="s">
        <v>13</v>
      </c>
      <c r="G2670" t="s">
        <v>12</v>
      </c>
      <c r="H2670">
        <v>0</v>
      </c>
    </row>
    <row r="2671" spans="1:8" x14ac:dyDescent="0.35">
      <c r="A2671">
        <v>17904</v>
      </c>
      <c r="B2671" t="s">
        <v>11</v>
      </c>
      <c r="C2671">
        <v>3</v>
      </c>
      <c r="D2671">
        <v>46</v>
      </c>
      <c r="E2671" t="s">
        <v>15</v>
      </c>
      <c r="F2671" t="s">
        <v>13</v>
      </c>
      <c r="G2671" t="s">
        <v>12</v>
      </c>
      <c r="H2671">
        <v>1</v>
      </c>
    </row>
    <row r="2672" spans="1:8" x14ac:dyDescent="0.35">
      <c r="A2672">
        <v>18424</v>
      </c>
      <c r="B2672" t="s">
        <v>11</v>
      </c>
      <c r="C2672">
        <v>8</v>
      </c>
      <c r="D2672">
        <v>385</v>
      </c>
      <c r="E2672" t="s">
        <v>8</v>
      </c>
      <c r="F2672" t="s">
        <v>9</v>
      </c>
      <c r="G2672" t="s">
        <v>12</v>
      </c>
      <c r="H2672">
        <v>0</v>
      </c>
    </row>
    <row r="2673" spans="1:8" x14ac:dyDescent="0.35">
      <c r="A2673">
        <v>10412</v>
      </c>
      <c r="B2673" t="s">
        <v>7</v>
      </c>
      <c r="C2673">
        <v>6</v>
      </c>
      <c r="D2673">
        <v>381</v>
      </c>
      <c r="E2673" t="s">
        <v>8</v>
      </c>
      <c r="F2673" t="s">
        <v>13</v>
      </c>
      <c r="G2673" t="s">
        <v>12</v>
      </c>
      <c r="H2673">
        <v>0</v>
      </c>
    </row>
    <row r="2674" spans="1:8" x14ac:dyDescent="0.35">
      <c r="A2674">
        <v>18378</v>
      </c>
      <c r="B2674" t="s">
        <v>7</v>
      </c>
      <c r="C2674">
        <v>9</v>
      </c>
      <c r="D2674">
        <v>59</v>
      </c>
      <c r="E2674" t="s">
        <v>8</v>
      </c>
      <c r="F2674" t="s">
        <v>13</v>
      </c>
      <c r="G2674" t="s">
        <v>12</v>
      </c>
      <c r="H2674">
        <v>0</v>
      </c>
    </row>
    <row r="2675" spans="1:8" x14ac:dyDescent="0.35">
      <c r="A2675">
        <v>19586</v>
      </c>
      <c r="B2675" t="s">
        <v>7</v>
      </c>
      <c r="C2675">
        <v>7</v>
      </c>
      <c r="D2675">
        <v>69</v>
      </c>
      <c r="E2675" t="s">
        <v>8</v>
      </c>
      <c r="F2675" t="s">
        <v>13</v>
      </c>
      <c r="G2675" t="s">
        <v>16</v>
      </c>
      <c r="H2675">
        <v>0</v>
      </c>
    </row>
    <row r="2676" spans="1:8" x14ac:dyDescent="0.35">
      <c r="A2676">
        <v>14685</v>
      </c>
      <c r="B2676" t="s">
        <v>7</v>
      </c>
      <c r="C2676">
        <v>2</v>
      </c>
      <c r="D2676">
        <v>236</v>
      </c>
      <c r="E2676" t="s">
        <v>8</v>
      </c>
      <c r="F2676" t="s">
        <v>9</v>
      </c>
      <c r="G2676" t="s">
        <v>10</v>
      </c>
      <c r="H2676">
        <v>0</v>
      </c>
    </row>
    <row r="2677" spans="1:8" x14ac:dyDescent="0.35">
      <c r="A2677">
        <v>10291</v>
      </c>
      <c r="B2677" t="s">
        <v>11</v>
      </c>
      <c r="C2677">
        <v>6</v>
      </c>
      <c r="D2677">
        <v>442</v>
      </c>
      <c r="E2677" t="s">
        <v>8</v>
      </c>
      <c r="F2677" t="s">
        <v>13</v>
      </c>
      <c r="G2677" t="s">
        <v>16</v>
      </c>
      <c r="H2677">
        <v>0</v>
      </c>
    </row>
    <row r="2678" spans="1:8" x14ac:dyDescent="0.35">
      <c r="A2678">
        <v>19066</v>
      </c>
      <c r="B2678" t="s">
        <v>11</v>
      </c>
      <c r="C2678">
        <v>14</v>
      </c>
      <c r="D2678">
        <v>324</v>
      </c>
      <c r="E2678" t="s">
        <v>8</v>
      </c>
      <c r="F2678" t="s">
        <v>13</v>
      </c>
      <c r="G2678" t="s">
        <v>16</v>
      </c>
      <c r="H2678">
        <v>0</v>
      </c>
    </row>
    <row r="2679" spans="1:8" x14ac:dyDescent="0.35">
      <c r="A2679">
        <v>17901</v>
      </c>
      <c r="B2679" t="s">
        <v>7</v>
      </c>
      <c r="C2679">
        <v>9</v>
      </c>
      <c r="D2679">
        <v>406</v>
      </c>
      <c r="E2679" t="s">
        <v>8</v>
      </c>
      <c r="F2679" t="s">
        <v>9</v>
      </c>
      <c r="G2679" t="s">
        <v>16</v>
      </c>
      <c r="H2679">
        <v>0</v>
      </c>
    </row>
    <row r="2680" spans="1:8" x14ac:dyDescent="0.35">
      <c r="A2680">
        <v>11040</v>
      </c>
      <c r="B2680" t="s">
        <v>11</v>
      </c>
      <c r="C2680">
        <v>6</v>
      </c>
      <c r="D2680">
        <v>212</v>
      </c>
      <c r="E2680" t="s">
        <v>8</v>
      </c>
      <c r="F2680" t="s">
        <v>13</v>
      </c>
      <c r="G2680" t="s">
        <v>14</v>
      </c>
      <c r="H2680">
        <v>0</v>
      </c>
    </row>
    <row r="2681" spans="1:8" x14ac:dyDescent="0.35">
      <c r="A2681">
        <v>13492</v>
      </c>
      <c r="B2681" t="s">
        <v>11</v>
      </c>
      <c r="C2681">
        <v>1</v>
      </c>
      <c r="D2681">
        <v>308</v>
      </c>
      <c r="E2681" t="s">
        <v>8</v>
      </c>
      <c r="F2681" t="s">
        <v>13</v>
      </c>
      <c r="G2681" t="s">
        <v>14</v>
      </c>
      <c r="H2681">
        <v>0</v>
      </c>
    </row>
    <row r="2682" spans="1:8" x14ac:dyDescent="0.35">
      <c r="A2682">
        <v>17382</v>
      </c>
      <c r="B2682" t="s">
        <v>11</v>
      </c>
      <c r="C2682">
        <v>2</v>
      </c>
      <c r="D2682">
        <v>277</v>
      </c>
      <c r="E2682" t="s">
        <v>8</v>
      </c>
      <c r="F2682" t="s">
        <v>9</v>
      </c>
      <c r="G2682" t="s">
        <v>16</v>
      </c>
      <c r="H2682">
        <v>0</v>
      </c>
    </row>
    <row r="2683" spans="1:8" x14ac:dyDescent="0.35">
      <c r="A2683">
        <v>11403</v>
      </c>
      <c r="B2683" t="s">
        <v>11</v>
      </c>
      <c r="C2683">
        <v>4</v>
      </c>
      <c r="D2683">
        <v>272</v>
      </c>
      <c r="E2683" t="s">
        <v>8</v>
      </c>
      <c r="F2683" t="s">
        <v>13</v>
      </c>
      <c r="G2683" t="s">
        <v>12</v>
      </c>
      <c r="H2683">
        <v>0</v>
      </c>
    </row>
    <row r="2684" spans="1:8" x14ac:dyDescent="0.35">
      <c r="A2684">
        <v>17113</v>
      </c>
      <c r="B2684" t="s">
        <v>7</v>
      </c>
      <c r="C2684">
        <v>14</v>
      </c>
      <c r="D2684">
        <v>106</v>
      </c>
      <c r="E2684" t="s">
        <v>8</v>
      </c>
      <c r="F2684" t="s">
        <v>9</v>
      </c>
      <c r="G2684" t="s">
        <v>14</v>
      </c>
      <c r="H2684">
        <v>0</v>
      </c>
    </row>
    <row r="2685" spans="1:8" x14ac:dyDescent="0.35">
      <c r="A2685">
        <v>11363</v>
      </c>
      <c r="B2685" t="s">
        <v>7</v>
      </c>
      <c r="C2685">
        <v>14</v>
      </c>
      <c r="D2685">
        <v>320</v>
      </c>
      <c r="E2685" t="s">
        <v>8</v>
      </c>
      <c r="F2685" t="s">
        <v>13</v>
      </c>
      <c r="G2685" t="s">
        <v>10</v>
      </c>
      <c r="H2685">
        <v>0</v>
      </c>
    </row>
    <row r="2686" spans="1:8" x14ac:dyDescent="0.35">
      <c r="A2686">
        <v>19259</v>
      </c>
      <c r="B2686" t="s">
        <v>7</v>
      </c>
      <c r="C2686">
        <v>8</v>
      </c>
      <c r="D2686">
        <v>429</v>
      </c>
      <c r="E2686" t="s">
        <v>8</v>
      </c>
      <c r="F2686" t="s">
        <v>13</v>
      </c>
      <c r="G2686" t="s">
        <v>14</v>
      </c>
      <c r="H2686">
        <v>0</v>
      </c>
    </row>
    <row r="2687" spans="1:8" x14ac:dyDescent="0.35">
      <c r="A2687">
        <v>12418</v>
      </c>
      <c r="B2687" t="s">
        <v>11</v>
      </c>
      <c r="C2687">
        <v>2</v>
      </c>
      <c r="D2687">
        <v>356</v>
      </c>
      <c r="E2687" t="s">
        <v>15</v>
      </c>
      <c r="F2687" t="s">
        <v>13</v>
      </c>
      <c r="G2687" t="s">
        <v>16</v>
      </c>
      <c r="H2687">
        <v>1</v>
      </c>
    </row>
    <row r="2688" spans="1:8" x14ac:dyDescent="0.35">
      <c r="A2688">
        <v>14680</v>
      </c>
      <c r="B2688" t="s">
        <v>11</v>
      </c>
      <c r="C2688">
        <v>6</v>
      </c>
      <c r="D2688">
        <v>151</v>
      </c>
      <c r="E2688" t="s">
        <v>8</v>
      </c>
      <c r="F2688" t="s">
        <v>13</v>
      </c>
      <c r="G2688" t="s">
        <v>16</v>
      </c>
      <c r="H2688">
        <v>0</v>
      </c>
    </row>
    <row r="2689" spans="1:8" x14ac:dyDescent="0.35">
      <c r="A2689">
        <v>11643</v>
      </c>
      <c r="B2689" t="s">
        <v>7</v>
      </c>
      <c r="C2689">
        <v>9</v>
      </c>
      <c r="D2689">
        <v>379</v>
      </c>
      <c r="E2689" t="s">
        <v>8</v>
      </c>
      <c r="F2689" t="s">
        <v>13</v>
      </c>
      <c r="G2689" t="s">
        <v>10</v>
      </c>
      <c r="H2689">
        <v>0</v>
      </c>
    </row>
    <row r="2690" spans="1:8" x14ac:dyDescent="0.35">
      <c r="A2690">
        <v>18661</v>
      </c>
      <c r="B2690" t="s">
        <v>7</v>
      </c>
      <c r="C2690">
        <v>12</v>
      </c>
      <c r="D2690">
        <v>107</v>
      </c>
      <c r="E2690" t="s">
        <v>8</v>
      </c>
      <c r="F2690" t="s">
        <v>9</v>
      </c>
      <c r="G2690" t="s">
        <v>10</v>
      </c>
      <c r="H2690">
        <v>0</v>
      </c>
    </row>
    <row r="2691" spans="1:8" x14ac:dyDescent="0.35">
      <c r="A2691">
        <v>11804</v>
      </c>
      <c r="B2691" t="s">
        <v>11</v>
      </c>
      <c r="C2691">
        <v>12</v>
      </c>
      <c r="D2691">
        <v>52</v>
      </c>
      <c r="E2691" t="s">
        <v>8</v>
      </c>
      <c r="F2691" t="s">
        <v>9</v>
      </c>
      <c r="G2691" t="s">
        <v>14</v>
      </c>
      <c r="H2691">
        <v>0</v>
      </c>
    </row>
    <row r="2692" spans="1:8" x14ac:dyDescent="0.35">
      <c r="A2692">
        <v>16012</v>
      </c>
      <c r="B2692" t="s">
        <v>11</v>
      </c>
      <c r="C2692">
        <v>12</v>
      </c>
      <c r="D2692">
        <v>149</v>
      </c>
      <c r="E2692" t="s">
        <v>8</v>
      </c>
      <c r="F2692" t="s">
        <v>9</v>
      </c>
      <c r="G2692" t="s">
        <v>12</v>
      </c>
      <c r="H2692">
        <v>0</v>
      </c>
    </row>
    <row r="2693" spans="1:8" x14ac:dyDescent="0.35">
      <c r="A2693">
        <v>13863</v>
      </c>
      <c r="B2693" t="s">
        <v>11</v>
      </c>
      <c r="C2693">
        <v>5</v>
      </c>
      <c r="D2693">
        <v>394</v>
      </c>
      <c r="E2693" t="s">
        <v>8</v>
      </c>
      <c r="F2693" t="s">
        <v>13</v>
      </c>
      <c r="G2693" t="s">
        <v>10</v>
      </c>
      <c r="H2693">
        <v>0</v>
      </c>
    </row>
    <row r="2694" spans="1:8" x14ac:dyDescent="0.35">
      <c r="A2694">
        <v>17171</v>
      </c>
      <c r="B2694" t="s">
        <v>11</v>
      </c>
      <c r="C2694">
        <v>8</v>
      </c>
      <c r="D2694">
        <v>153</v>
      </c>
      <c r="E2694" t="s">
        <v>15</v>
      </c>
      <c r="F2694" t="s">
        <v>13</v>
      </c>
      <c r="G2694" t="s">
        <v>14</v>
      </c>
      <c r="H2694">
        <v>1</v>
      </c>
    </row>
    <row r="2695" spans="1:8" x14ac:dyDescent="0.35">
      <c r="A2695">
        <v>11461</v>
      </c>
      <c r="B2695" t="s">
        <v>11</v>
      </c>
      <c r="C2695">
        <v>5</v>
      </c>
      <c r="D2695">
        <v>78</v>
      </c>
      <c r="E2695" t="s">
        <v>8</v>
      </c>
      <c r="F2695" t="s">
        <v>13</v>
      </c>
      <c r="G2695" t="s">
        <v>14</v>
      </c>
      <c r="H2695">
        <v>0</v>
      </c>
    </row>
    <row r="2696" spans="1:8" x14ac:dyDescent="0.35">
      <c r="A2696">
        <v>12394</v>
      </c>
      <c r="B2696" t="s">
        <v>11</v>
      </c>
      <c r="C2696">
        <v>5</v>
      </c>
      <c r="D2696">
        <v>423</v>
      </c>
      <c r="E2696" t="s">
        <v>8</v>
      </c>
      <c r="F2696" t="s">
        <v>13</v>
      </c>
      <c r="G2696" t="s">
        <v>12</v>
      </c>
      <c r="H2696">
        <v>0</v>
      </c>
    </row>
    <row r="2697" spans="1:8" x14ac:dyDescent="0.35">
      <c r="A2697">
        <v>12254</v>
      </c>
      <c r="B2697" t="s">
        <v>11</v>
      </c>
      <c r="C2697">
        <v>13</v>
      </c>
      <c r="D2697">
        <v>199</v>
      </c>
      <c r="E2697" t="s">
        <v>8</v>
      </c>
      <c r="F2697" t="s">
        <v>9</v>
      </c>
      <c r="G2697" t="s">
        <v>14</v>
      </c>
      <c r="H2697">
        <v>0</v>
      </c>
    </row>
    <row r="2698" spans="1:8" x14ac:dyDescent="0.35">
      <c r="A2698">
        <v>12807</v>
      </c>
      <c r="B2698" t="s">
        <v>7</v>
      </c>
      <c r="C2698">
        <v>2</v>
      </c>
      <c r="D2698">
        <v>396</v>
      </c>
      <c r="E2698" t="s">
        <v>8</v>
      </c>
      <c r="F2698" t="s">
        <v>9</v>
      </c>
      <c r="G2698" t="s">
        <v>14</v>
      </c>
      <c r="H2698">
        <v>0</v>
      </c>
    </row>
    <row r="2699" spans="1:8" x14ac:dyDescent="0.35">
      <c r="A2699">
        <v>14834</v>
      </c>
      <c r="B2699" t="s">
        <v>7</v>
      </c>
      <c r="C2699">
        <v>8</v>
      </c>
      <c r="D2699">
        <v>388</v>
      </c>
      <c r="E2699" t="s">
        <v>8</v>
      </c>
      <c r="F2699" t="s">
        <v>13</v>
      </c>
      <c r="G2699" t="s">
        <v>16</v>
      </c>
      <c r="H2699">
        <v>0</v>
      </c>
    </row>
    <row r="2700" spans="1:8" x14ac:dyDescent="0.35">
      <c r="A2700">
        <v>18333</v>
      </c>
      <c r="B2700" t="s">
        <v>11</v>
      </c>
      <c r="C2700">
        <v>1</v>
      </c>
      <c r="D2700">
        <v>106</v>
      </c>
      <c r="E2700" t="s">
        <v>8</v>
      </c>
      <c r="F2700" t="s">
        <v>9</v>
      </c>
      <c r="G2700" t="s">
        <v>16</v>
      </c>
      <c r="H2700">
        <v>0</v>
      </c>
    </row>
    <row r="2701" spans="1:8" x14ac:dyDescent="0.35">
      <c r="A2701">
        <v>17115</v>
      </c>
      <c r="B2701" t="s">
        <v>7</v>
      </c>
      <c r="C2701">
        <v>3</v>
      </c>
      <c r="D2701">
        <v>254</v>
      </c>
      <c r="E2701" t="s">
        <v>8</v>
      </c>
      <c r="F2701" t="s">
        <v>9</v>
      </c>
      <c r="G2701" t="s">
        <v>14</v>
      </c>
      <c r="H2701">
        <v>0</v>
      </c>
    </row>
    <row r="2702" spans="1:8" x14ac:dyDescent="0.35">
      <c r="A2702">
        <v>14032</v>
      </c>
      <c r="B2702" t="s">
        <v>7</v>
      </c>
      <c r="C2702">
        <v>7</v>
      </c>
      <c r="D2702">
        <v>107</v>
      </c>
      <c r="E2702" t="s">
        <v>8</v>
      </c>
      <c r="F2702" t="s">
        <v>13</v>
      </c>
      <c r="G2702" t="s">
        <v>16</v>
      </c>
      <c r="H2702">
        <v>0</v>
      </c>
    </row>
    <row r="2703" spans="1:8" x14ac:dyDescent="0.35">
      <c r="A2703">
        <v>16880</v>
      </c>
      <c r="B2703" t="s">
        <v>7</v>
      </c>
      <c r="C2703">
        <v>12</v>
      </c>
      <c r="D2703">
        <v>233</v>
      </c>
      <c r="E2703" t="s">
        <v>8</v>
      </c>
      <c r="F2703" t="s">
        <v>13</v>
      </c>
      <c r="G2703" t="s">
        <v>10</v>
      </c>
      <c r="H2703">
        <v>0</v>
      </c>
    </row>
    <row r="2704" spans="1:8" x14ac:dyDescent="0.35">
      <c r="A2704">
        <v>19359</v>
      </c>
      <c r="B2704" t="s">
        <v>11</v>
      </c>
      <c r="C2704">
        <v>5</v>
      </c>
      <c r="D2704">
        <v>165</v>
      </c>
      <c r="E2704" t="s">
        <v>8</v>
      </c>
      <c r="F2704" t="s">
        <v>9</v>
      </c>
      <c r="G2704" t="s">
        <v>16</v>
      </c>
      <c r="H2704">
        <v>0</v>
      </c>
    </row>
    <row r="2705" spans="1:8" x14ac:dyDescent="0.35">
      <c r="A2705">
        <v>13950</v>
      </c>
      <c r="B2705" t="s">
        <v>7</v>
      </c>
      <c r="C2705">
        <v>11</v>
      </c>
      <c r="D2705">
        <v>56</v>
      </c>
      <c r="E2705" t="s">
        <v>8</v>
      </c>
      <c r="F2705" t="s">
        <v>9</v>
      </c>
      <c r="G2705" t="s">
        <v>12</v>
      </c>
      <c r="H2705">
        <v>0</v>
      </c>
    </row>
    <row r="2706" spans="1:8" x14ac:dyDescent="0.35">
      <c r="A2706">
        <v>16602</v>
      </c>
      <c r="B2706" t="s">
        <v>11</v>
      </c>
      <c r="C2706">
        <v>8</v>
      </c>
      <c r="D2706">
        <v>419</v>
      </c>
      <c r="E2706" t="s">
        <v>8</v>
      </c>
      <c r="F2706" t="s">
        <v>13</v>
      </c>
      <c r="G2706" t="s">
        <v>10</v>
      </c>
      <c r="H2706">
        <v>0</v>
      </c>
    </row>
    <row r="2707" spans="1:8" x14ac:dyDescent="0.35">
      <c r="A2707">
        <v>11066</v>
      </c>
      <c r="B2707" t="s">
        <v>11</v>
      </c>
      <c r="C2707">
        <v>9</v>
      </c>
      <c r="D2707">
        <v>324</v>
      </c>
      <c r="E2707" t="s">
        <v>8</v>
      </c>
      <c r="F2707" t="s">
        <v>13</v>
      </c>
      <c r="G2707" t="s">
        <v>14</v>
      </c>
      <c r="H2707">
        <v>0</v>
      </c>
    </row>
    <row r="2708" spans="1:8" x14ac:dyDescent="0.35">
      <c r="A2708">
        <v>14858</v>
      </c>
      <c r="B2708" t="s">
        <v>7</v>
      </c>
      <c r="C2708">
        <v>9</v>
      </c>
      <c r="D2708">
        <v>129</v>
      </c>
      <c r="E2708" t="s">
        <v>8</v>
      </c>
      <c r="F2708" t="s">
        <v>9</v>
      </c>
      <c r="G2708" t="s">
        <v>10</v>
      </c>
      <c r="H2708">
        <v>0</v>
      </c>
    </row>
    <row r="2709" spans="1:8" x14ac:dyDescent="0.35">
      <c r="A2709">
        <v>17275</v>
      </c>
      <c r="B2709" t="s">
        <v>11</v>
      </c>
      <c r="C2709">
        <v>12</v>
      </c>
      <c r="D2709">
        <v>375</v>
      </c>
      <c r="E2709" t="s">
        <v>8</v>
      </c>
      <c r="F2709" t="s">
        <v>9</v>
      </c>
      <c r="G2709" t="s">
        <v>10</v>
      </c>
      <c r="H2709">
        <v>0</v>
      </c>
    </row>
    <row r="2710" spans="1:8" x14ac:dyDescent="0.35">
      <c r="A2710">
        <v>17203</v>
      </c>
      <c r="B2710" t="s">
        <v>7</v>
      </c>
      <c r="C2710">
        <v>13</v>
      </c>
      <c r="D2710">
        <v>419</v>
      </c>
      <c r="E2710" t="s">
        <v>8</v>
      </c>
      <c r="F2710" t="s">
        <v>9</v>
      </c>
      <c r="G2710" t="s">
        <v>12</v>
      </c>
      <c r="H2710">
        <v>0</v>
      </c>
    </row>
    <row r="2711" spans="1:8" x14ac:dyDescent="0.35">
      <c r="A2711">
        <v>14462</v>
      </c>
      <c r="B2711" t="s">
        <v>7</v>
      </c>
      <c r="C2711">
        <v>3</v>
      </c>
      <c r="D2711">
        <v>68</v>
      </c>
      <c r="E2711" t="s">
        <v>15</v>
      </c>
      <c r="F2711" t="s">
        <v>13</v>
      </c>
      <c r="G2711" t="s">
        <v>14</v>
      </c>
      <c r="H2711">
        <v>1</v>
      </c>
    </row>
    <row r="2712" spans="1:8" x14ac:dyDescent="0.35">
      <c r="A2712">
        <v>14958</v>
      </c>
      <c r="B2712" t="s">
        <v>7</v>
      </c>
      <c r="C2712">
        <v>6</v>
      </c>
      <c r="D2712">
        <v>375</v>
      </c>
      <c r="E2712" t="s">
        <v>8</v>
      </c>
      <c r="F2712" t="s">
        <v>13</v>
      </c>
      <c r="G2712" t="s">
        <v>10</v>
      </c>
      <c r="H2712">
        <v>0</v>
      </c>
    </row>
    <row r="2713" spans="1:8" x14ac:dyDescent="0.35">
      <c r="A2713">
        <v>11986</v>
      </c>
      <c r="B2713" t="s">
        <v>11</v>
      </c>
      <c r="C2713">
        <v>9</v>
      </c>
      <c r="D2713">
        <v>226</v>
      </c>
      <c r="E2713" t="s">
        <v>8</v>
      </c>
      <c r="F2713" t="s">
        <v>9</v>
      </c>
      <c r="G2713" t="s">
        <v>12</v>
      </c>
      <c r="H2713">
        <v>0</v>
      </c>
    </row>
    <row r="2714" spans="1:8" x14ac:dyDescent="0.35">
      <c r="A2714">
        <v>17898</v>
      </c>
      <c r="B2714" t="s">
        <v>7</v>
      </c>
      <c r="C2714">
        <v>4</v>
      </c>
      <c r="D2714">
        <v>308</v>
      </c>
      <c r="E2714" t="s">
        <v>8</v>
      </c>
      <c r="F2714" t="s">
        <v>9</v>
      </c>
      <c r="G2714" t="s">
        <v>10</v>
      </c>
      <c r="H2714">
        <v>0</v>
      </c>
    </row>
    <row r="2715" spans="1:8" x14ac:dyDescent="0.35">
      <c r="A2715">
        <v>17428</v>
      </c>
      <c r="B2715" t="s">
        <v>7</v>
      </c>
      <c r="C2715">
        <v>5</v>
      </c>
      <c r="D2715">
        <v>326</v>
      </c>
      <c r="E2715" t="s">
        <v>8</v>
      </c>
      <c r="F2715" t="s">
        <v>13</v>
      </c>
      <c r="G2715" t="s">
        <v>14</v>
      </c>
      <c r="H2715">
        <v>0</v>
      </c>
    </row>
    <row r="2716" spans="1:8" x14ac:dyDescent="0.35">
      <c r="A2716">
        <v>19992</v>
      </c>
      <c r="B2716" t="s">
        <v>11</v>
      </c>
      <c r="C2716">
        <v>4</v>
      </c>
      <c r="D2716">
        <v>334</v>
      </c>
      <c r="E2716" t="s">
        <v>8</v>
      </c>
      <c r="F2716" t="s">
        <v>9</v>
      </c>
      <c r="G2716" t="s">
        <v>10</v>
      </c>
      <c r="H2716">
        <v>0</v>
      </c>
    </row>
    <row r="2717" spans="1:8" x14ac:dyDescent="0.35">
      <c r="A2717">
        <v>19391</v>
      </c>
      <c r="B2717" t="s">
        <v>7</v>
      </c>
      <c r="C2717">
        <v>10</v>
      </c>
      <c r="D2717">
        <v>395</v>
      </c>
      <c r="E2717" t="s">
        <v>8</v>
      </c>
      <c r="F2717" t="s">
        <v>13</v>
      </c>
      <c r="G2717" t="s">
        <v>16</v>
      </c>
      <c r="H2717">
        <v>0</v>
      </c>
    </row>
    <row r="2718" spans="1:8" x14ac:dyDescent="0.35">
      <c r="A2718">
        <v>12143</v>
      </c>
      <c r="B2718" t="s">
        <v>7</v>
      </c>
      <c r="C2718">
        <v>1</v>
      </c>
      <c r="D2718">
        <v>318</v>
      </c>
      <c r="E2718" t="s">
        <v>8</v>
      </c>
      <c r="F2718" t="s">
        <v>13</v>
      </c>
      <c r="G2718" t="s">
        <v>10</v>
      </c>
      <c r="H2718">
        <v>0</v>
      </c>
    </row>
    <row r="2719" spans="1:8" x14ac:dyDescent="0.35">
      <c r="A2719">
        <v>14086</v>
      </c>
      <c r="B2719" t="s">
        <v>7</v>
      </c>
      <c r="C2719">
        <v>14</v>
      </c>
      <c r="D2719">
        <v>413</v>
      </c>
      <c r="E2719" t="s">
        <v>8</v>
      </c>
      <c r="F2719" t="s">
        <v>9</v>
      </c>
      <c r="G2719" t="s">
        <v>16</v>
      </c>
      <c r="H2719">
        <v>0</v>
      </c>
    </row>
    <row r="2720" spans="1:8" x14ac:dyDescent="0.35">
      <c r="A2720">
        <v>11814</v>
      </c>
      <c r="B2720" t="s">
        <v>11</v>
      </c>
      <c r="C2720">
        <v>3</v>
      </c>
      <c r="D2720">
        <v>124</v>
      </c>
      <c r="E2720" t="s">
        <v>8</v>
      </c>
      <c r="F2720" t="s">
        <v>13</v>
      </c>
      <c r="G2720" t="s">
        <v>10</v>
      </c>
      <c r="H2720">
        <v>0</v>
      </c>
    </row>
    <row r="2721" spans="1:8" x14ac:dyDescent="0.35">
      <c r="A2721">
        <v>11287</v>
      </c>
      <c r="B2721" t="s">
        <v>7</v>
      </c>
      <c r="C2721">
        <v>10</v>
      </c>
      <c r="D2721">
        <v>97</v>
      </c>
      <c r="E2721" t="s">
        <v>8</v>
      </c>
      <c r="F2721" t="s">
        <v>13</v>
      </c>
      <c r="G2721" t="s">
        <v>14</v>
      </c>
      <c r="H2721">
        <v>0</v>
      </c>
    </row>
    <row r="2722" spans="1:8" x14ac:dyDescent="0.35">
      <c r="A2722">
        <v>15959</v>
      </c>
      <c r="B2722" t="s">
        <v>7</v>
      </c>
      <c r="C2722">
        <v>2</v>
      </c>
      <c r="D2722">
        <v>375</v>
      </c>
      <c r="E2722" t="s">
        <v>8</v>
      </c>
      <c r="F2722" t="s">
        <v>13</v>
      </c>
      <c r="G2722" t="s">
        <v>14</v>
      </c>
      <c r="H2722">
        <v>0</v>
      </c>
    </row>
    <row r="2723" spans="1:8" x14ac:dyDescent="0.35">
      <c r="A2723">
        <v>14192</v>
      </c>
      <c r="B2723" t="s">
        <v>11</v>
      </c>
      <c r="C2723">
        <v>11</v>
      </c>
      <c r="D2723">
        <v>299</v>
      </c>
      <c r="E2723" t="s">
        <v>8</v>
      </c>
      <c r="F2723" t="s">
        <v>9</v>
      </c>
      <c r="G2723" t="s">
        <v>14</v>
      </c>
      <c r="H2723">
        <v>0</v>
      </c>
    </row>
    <row r="2724" spans="1:8" x14ac:dyDescent="0.35">
      <c r="A2724">
        <v>13402</v>
      </c>
      <c r="B2724" t="s">
        <v>11</v>
      </c>
      <c r="C2724">
        <v>7</v>
      </c>
      <c r="D2724">
        <v>66</v>
      </c>
      <c r="E2724" t="s">
        <v>8</v>
      </c>
      <c r="F2724" t="s">
        <v>13</v>
      </c>
      <c r="G2724" t="s">
        <v>12</v>
      </c>
      <c r="H2724">
        <v>0</v>
      </c>
    </row>
    <row r="2725" spans="1:8" x14ac:dyDescent="0.35">
      <c r="A2725">
        <v>16105</v>
      </c>
      <c r="B2725" t="s">
        <v>11</v>
      </c>
      <c r="C2725">
        <v>4</v>
      </c>
      <c r="D2725">
        <v>234</v>
      </c>
      <c r="E2725" t="s">
        <v>8</v>
      </c>
      <c r="F2725" t="s">
        <v>9</v>
      </c>
      <c r="G2725" t="s">
        <v>16</v>
      </c>
      <c r="H2725">
        <v>0</v>
      </c>
    </row>
    <row r="2726" spans="1:8" x14ac:dyDescent="0.35">
      <c r="A2726">
        <v>17567</v>
      </c>
      <c r="B2726" t="s">
        <v>11</v>
      </c>
      <c r="C2726">
        <v>10</v>
      </c>
      <c r="D2726">
        <v>128</v>
      </c>
      <c r="E2726" t="s">
        <v>8</v>
      </c>
      <c r="F2726" t="s">
        <v>13</v>
      </c>
      <c r="G2726" t="s">
        <v>12</v>
      </c>
      <c r="H2726">
        <v>0</v>
      </c>
    </row>
    <row r="2727" spans="1:8" x14ac:dyDescent="0.35">
      <c r="A2727">
        <v>16048</v>
      </c>
      <c r="B2727" t="s">
        <v>11</v>
      </c>
      <c r="C2727">
        <v>11</v>
      </c>
      <c r="D2727">
        <v>366</v>
      </c>
      <c r="E2727" t="s">
        <v>8</v>
      </c>
      <c r="F2727" t="s">
        <v>9</v>
      </c>
      <c r="G2727" t="s">
        <v>14</v>
      </c>
      <c r="H2727">
        <v>0</v>
      </c>
    </row>
    <row r="2728" spans="1:8" x14ac:dyDescent="0.35">
      <c r="A2728">
        <v>18556</v>
      </c>
      <c r="B2728" t="s">
        <v>7</v>
      </c>
      <c r="C2728">
        <v>4</v>
      </c>
      <c r="D2728">
        <v>316</v>
      </c>
      <c r="E2728" t="s">
        <v>8</v>
      </c>
      <c r="F2728" t="s">
        <v>9</v>
      </c>
      <c r="G2728" t="s">
        <v>14</v>
      </c>
      <c r="H2728">
        <v>0</v>
      </c>
    </row>
    <row r="2729" spans="1:8" x14ac:dyDescent="0.35">
      <c r="A2729">
        <v>13914</v>
      </c>
      <c r="B2729" t="s">
        <v>7</v>
      </c>
      <c r="C2729">
        <v>14</v>
      </c>
      <c r="D2729">
        <v>123</v>
      </c>
      <c r="E2729" t="s">
        <v>8</v>
      </c>
      <c r="F2729" t="s">
        <v>9</v>
      </c>
      <c r="G2729" t="s">
        <v>10</v>
      </c>
      <c r="H2729">
        <v>0</v>
      </c>
    </row>
    <row r="2730" spans="1:8" x14ac:dyDescent="0.35">
      <c r="A2730">
        <v>19609</v>
      </c>
      <c r="B2730" t="s">
        <v>11</v>
      </c>
      <c r="C2730">
        <v>7</v>
      </c>
      <c r="D2730">
        <v>101</v>
      </c>
      <c r="E2730" t="s">
        <v>8</v>
      </c>
      <c r="F2730" t="s">
        <v>13</v>
      </c>
      <c r="G2730" t="s">
        <v>10</v>
      </c>
      <c r="H2730">
        <v>0</v>
      </c>
    </row>
    <row r="2731" spans="1:8" x14ac:dyDescent="0.35">
      <c r="A2731">
        <v>16189</v>
      </c>
      <c r="B2731" t="s">
        <v>11</v>
      </c>
      <c r="C2731">
        <v>8</v>
      </c>
      <c r="D2731">
        <v>199</v>
      </c>
      <c r="E2731" t="s">
        <v>8</v>
      </c>
      <c r="F2731" t="s">
        <v>9</v>
      </c>
      <c r="G2731" t="s">
        <v>10</v>
      </c>
      <c r="H2731">
        <v>0</v>
      </c>
    </row>
    <row r="2732" spans="1:8" x14ac:dyDescent="0.35">
      <c r="A2732">
        <v>13442</v>
      </c>
      <c r="B2732" t="s">
        <v>7</v>
      </c>
      <c r="C2732">
        <v>2</v>
      </c>
      <c r="D2732">
        <v>382</v>
      </c>
      <c r="E2732" t="s">
        <v>8</v>
      </c>
      <c r="F2732" t="s">
        <v>13</v>
      </c>
      <c r="G2732" t="s">
        <v>14</v>
      </c>
      <c r="H2732">
        <v>0</v>
      </c>
    </row>
    <row r="2733" spans="1:8" x14ac:dyDescent="0.35">
      <c r="A2733">
        <v>14432</v>
      </c>
      <c r="B2733" t="s">
        <v>11</v>
      </c>
      <c r="C2733">
        <v>10</v>
      </c>
      <c r="D2733">
        <v>217</v>
      </c>
      <c r="E2733" t="s">
        <v>8</v>
      </c>
      <c r="F2733" t="s">
        <v>13</v>
      </c>
      <c r="G2733" t="s">
        <v>12</v>
      </c>
      <c r="H2733">
        <v>0</v>
      </c>
    </row>
    <row r="2734" spans="1:8" x14ac:dyDescent="0.35">
      <c r="A2734">
        <v>18860</v>
      </c>
      <c r="B2734" t="s">
        <v>7</v>
      </c>
      <c r="C2734">
        <v>13</v>
      </c>
      <c r="D2734">
        <v>285</v>
      </c>
      <c r="E2734" t="s">
        <v>8</v>
      </c>
      <c r="F2734" t="s">
        <v>13</v>
      </c>
      <c r="G2734" t="s">
        <v>14</v>
      </c>
      <c r="H2734">
        <v>0</v>
      </c>
    </row>
    <row r="2735" spans="1:8" x14ac:dyDescent="0.35">
      <c r="A2735">
        <v>15681</v>
      </c>
      <c r="B2735" t="s">
        <v>11</v>
      </c>
      <c r="C2735">
        <v>4</v>
      </c>
      <c r="D2735">
        <v>72</v>
      </c>
      <c r="E2735" t="s">
        <v>8</v>
      </c>
      <c r="F2735" t="s">
        <v>9</v>
      </c>
      <c r="G2735" t="s">
        <v>14</v>
      </c>
      <c r="H2735">
        <v>0</v>
      </c>
    </row>
    <row r="2736" spans="1:8" x14ac:dyDescent="0.35">
      <c r="A2736">
        <v>16028</v>
      </c>
      <c r="B2736" t="s">
        <v>11</v>
      </c>
      <c r="C2736">
        <v>12</v>
      </c>
      <c r="D2736">
        <v>327</v>
      </c>
      <c r="E2736" t="s">
        <v>8</v>
      </c>
      <c r="F2736" t="s">
        <v>9</v>
      </c>
      <c r="G2736" t="s">
        <v>14</v>
      </c>
      <c r="H2736">
        <v>0</v>
      </c>
    </row>
    <row r="2737" spans="1:8" x14ac:dyDescent="0.35">
      <c r="A2737">
        <v>11382</v>
      </c>
      <c r="B2737" t="s">
        <v>7</v>
      </c>
      <c r="C2737">
        <v>2</v>
      </c>
      <c r="D2737">
        <v>322</v>
      </c>
      <c r="E2737" t="s">
        <v>8</v>
      </c>
      <c r="F2737" t="s">
        <v>9</v>
      </c>
      <c r="G2737" t="s">
        <v>16</v>
      </c>
      <c r="H2737">
        <v>0</v>
      </c>
    </row>
    <row r="2738" spans="1:8" x14ac:dyDescent="0.35">
      <c r="A2738">
        <v>13850</v>
      </c>
      <c r="B2738" t="s">
        <v>11</v>
      </c>
      <c r="C2738">
        <v>7</v>
      </c>
      <c r="D2738">
        <v>369</v>
      </c>
      <c r="E2738" t="s">
        <v>8</v>
      </c>
      <c r="F2738" t="s">
        <v>13</v>
      </c>
      <c r="G2738" t="s">
        <v>12</v>
      </c>
      <c r="H2738">
        <v>0</v>
      </c>
    </row>
    <row r="2739" spans="1:8" x14ac:dyDescent="0.35">
      <c r="A2739">
        <v>12777</v>
      </c>
      <c r="B2739" t="s">
        <v>11</v>
      </c>
      <c r="C2739">
        <v>12</v>
      </c>
      <c r="D2739">
        <v>385</v>
      </c>
      <c r="E2739" t="s">
        <v>8</v>
      </c>
      <c r="F2739" t="s">
        <v>9</v>
      </c>
      <c r="G2739" t="s">
        <v>16</v>
      </c>
      <c r="H2739">
        <v>0</v>
      </c>
    </row>
    <row r="2740" spans="1:8" x14ac:dyDescent="0.35">
      <c r="A2740">
        <v>17174</v>
      </c>
      <c r="B2740" t="s">
        <v>11</v>
      </c>
      <c r="C2740">
        <v>1</v>
      </c>
      <c r="D2740">
        <v>295</v>
      </c>
      <c r="E2740" t="s">
        <v>8</v>
      </c>
      <c r="F2740" t="s">
        <v>13</v>
      </c>
      <c r="G2740" t="s">
        <v>16</v>
      </c>
      <c r="H2740">
        <v>0</v>
      </c>
    </row>
    <row r="2741" spans="1:8" x14ac:dyDescent="0.35">
      <c r="A2741">
        <v>16714</v>
      </c>
      <c r="B2741" t="s">
        <v>7</v>
      </c>
      <c r="C2741">
        <v>10</v>
      </c>
      <c r="D2741">
        <v>77</v>
      </c>
      <c r="E2741" t="s">
        <v>8</v>
      </c>
      <c r="F2741" t="s">
        <v>13</v>
      </c>
      <c r="G2741" t="s">
        <v>14</v>
      </c>
      <c r="H2741">
        <v>0</v>
      </c>
    </row>
    <row r="2742" spans="1:8" x14ac:dyDescent="0.35">
      <c r="A2742">
        <v>13333</v>
      </c>
      <c r="B2742" t="s">
        <v>11</v>
      </c>
      <c r="C2742">
        <v>7</v>
      </c>
      <c r="D2742">
        <v>248</v>
      </c>
      <c r="E2742" t="s">
        <v>8</v>
      </c>
      <c r="F2742" t="s">
        <v>9</v>
      </c>
      <c r="G2742" t="s">
        <v>16</v>
      </c>
      <c r="H2742">
        <v>0</v>
      </c>
    </row>
    <row r="2743" spans="1:8" x14ac:dyDescent="0.35">
      <c r="A2743">
        <v>17752</v>
      </c>
      <c r="B2743" t="s">
        <v>11</v>
      </c>
      <c r="C2743">
        <v>8</v>
      </c>
      <c r="D2743">
        <v>214</v>
      </c>
      <c r="E2743" t="s">
        <v>8</v>
      </c>
      <c r="F2743" t="s">
        <v>9</v>
      </c>
      <c r="G2743" t="s">
        <v>12</v>
      </c>
      <c r="H2743">
        <v>0</v>
      </c>
    </row>
    <row r="2744" spans="1:8" x14ac:dyDescent="0.35">
      <c r="A2744">
        <v>19224</v>
      </c>
      <c r="B2744" t="s">
        <v>11</v>
      </c>
      <c r="C2744">
        <v>13</v>
      </c>
      <c r="D2744">
        <v>291</v>
      </c>
      <c r="E2744" t="s">
        <v>8</v>
      </c>
      <c r="F2744" t="s">
        <v>9</v>
      </c>
      <c r="G2744" t="s">
        <v>16</v>
      </c>
      <c r="H2744">
        <v>0</v>
      </c>
    </row>
    <row r="2745" spans="1:8" x14ac:dyDescent="0.35">
      <c r="A2745">
        <v>13185</v>
      </c>
      <c r="B2745" t="s">
        <v>7</v>
      </c>
      <c r="C2745">
        <v>7</v>
      </c>
      <c r="D2745">
        <v>197</v>
      </c>
      <c r="E2745" t="s">
        <v>8</v>
      </c>
      <c r="F2745" t="s">
        <v>9</v>
      </c>
      <c r="G2745" t="s">
        <v>10</v>
      </c>
      <c r="H2745">
        <v>0</v>
      </c>
    </row>
    <row r="2746" spans="1:8" x14ac:dyDescent="0.35">
      <c r="A2746">
        <v>12083</v>
      </c>
      <c r="B2746" t="s">
        <v>7</v>
      </c>
      <c r="C2746">
        <v>2</v>
      </c>
      <c r="D2746">
        <v>274</v>
      </c>
      <c r="E2746" t="s">
        <v>8</v>
      </c>
      <c r="F2746" t="s">
        <v>9</v>
      </c>
      <c r="G2746" t="s">
        <v>14</v>
      </c>
      <c r="H2746">
        <v>0</v>
      </c>
    </row>
    <row r="2747" spans="1:8" x14ac:dyDescent="0.35">
      <c r="A2747">
        <v>10527</v>
      </c>
      <c r="B2747" t="s">
        <v>7</v>
      </c>
      <c r="C2747">
        <v>1</v>
      </c>
      <c r="D2747">
        <v>88</v>
      </c>
      <c r="E2747" t="s">
        <v>8</v>
      </c>
      <c r="F2747" t="s">
        <v>13</v>
      </c>
      <c r="G2747" t="s">
        <v>16</v>
      </c>
      <c r="H2747">
        <v>0</v>
      </c>
    </row>
    <row r="2748" spans="1:8" x14ac:dyDescent="0.35">
      <c r="A2748">
        <v>11451</v>
      </c>
      <c r="B2748" t="s">
        <v>7</v>
      </c>
      <c r="C2748">
        <v>11</v>
      </c>
      <c r="D2748">
        <v>396</v>
      </c>
      <c r="E2748" t="s">
        <v>15</v>
      </c>
      <c r="F2748" t="s">
        <v>13</v>
      </c>
      <c r="G2748" t="s">
        <v>12</v>
      </c>
      <c r="H2748">
        <v>1</v>
      </c>
    </row>
    <row r="2749" spans="1:8" x14ac:dyDescent="0.35">
      <c r="A2749">
        <v>16256</v>
      </c>
      <c r="B2749" t="s">
        <v>7</v>
      </c>
      <c r="C2749">
        <v>8</v>
      </c>
      <c r="D2749">
        <v>108</v>
      </c>
      <c r="E2749" t="s">
        <v>8</v>
      </c>
      <c r="F2749" t="s">
        <v>9</v>
      </c>
      <c r="G2749" t="s">
        <v>12</v>
      </c>
      <c r="H2749">
        <v>0</v>
      </c>
    </row>
    <row r="2750" spans="1:8" x14ac:dyDescent="0.35">
      <c r="A2750">
        <v>14147</v>
      </c>
      <c r="B2750" t="s">
        <v>11</v>
      </c>
      <c r="C2750">
        <v>14</v>
      </c>
      <c r="D2750">
        <v>384</v>
      </c>
      <c r="E2750" t="s">
        <v>8</v>
      </c>
      <c r="F2750" t="s">
        <v>9</v>
      </c>
      <c r="G2750" t="s">
        <v>14</v>
      </c>
      <c r="H2750">
        <v>0</v>
      </c>
    </row>
    <row r="2751" spans="1:8" x14ac:dyDescent="0.35">
      <c r="A2751">
        <v>11564</v>
      </c>
      <c r="B2751" t="s">
        <v>7</v>
      </c>
      <c r="C2751">
        <v>5</v>
      </c>
      <c r="D2751">
        <v>358</v>
      </c>
      <c r="E2751" t="s">
        <v>8</v>
      </c>
      <c r="F2751" t="s">
        <v>9</v>
      </c>
      <c r="G2751" t="s">
        <v>14</v>
      </c>
      <c r="H2751">
        <v>0</v>
      </c>
    </row>
    <row r="2752" spans="1:8" x14ac:dyDescent="0.35">
      <c r="A2752">
        <v>17711</v>
      </c>
      <c r="B2752" t="s">
        <v>7</v>
      </c>
      <c r="C2752">
        <v>7</v>
      </c>
      <c r="D2752">
        <v>392</v>
      </c>
      <c r="E2752" t="s">
        <v>8</v>
      </c>
      <c r="F2752" t="s">
        <v>9</v>
      </c>
      <c r="G2752" t="s">
        <v>14</v>
      </c>
      <c r="H2752">
        <v>0</v>
      </c>
    </row>
    <row r="2753" spans="1:8" x14ac:dyDescent="0.35">
      <c r="A2753">
        <v>14602</v>
      </c>
      <c r="B2753" t="s">
        <v>7</v>
      </c>
      <c r="C2753">
        <v>2</v>
      </c>
      <c r="D2753">
        <v>125</v>
      </c>
      <c r="E2753" t="s">
        <v>8</v>
      </c>
      <c r="F2753" t="s">
        <v>13</v>
      </c>
      <c r="G2753" t="s">
        <v>16</v>
      </c>
      <c r="H2753">
        <v>0</v>
      </c>
    </row>
    <row r="2754" spans="1:8" x14ac:dyDescent="0.35">
      <c r="A2754">
        <v>12481</v>
      </c>
      <c r="B2754" t="s">
        <v>7</v>
      </c>
      <c r="C2754">
        <v>13</v>
      </c>
      <c r="D2754">
        <v>70</v>
      </c>
      <c r="E2754" t="s">
        <v>8</v>
      </c>
      <c r="F2754" t="s">
        <v>9</v>
      </c>
      <c r="G2754" t="s">
        <v>10</v>
      </c>
      <c r="H2754">
        <v>0</v>
      </c>
    </row>
    <row r="2755" spans="1:8" x14ac:dyDescent="0.35">
      <c r="A2755">
        <v>13682</v>
      </c>
      <c r="B2755" t="s">
        <v>11</v>
      </c>
      <c r="C2755">
        <v>8</v>
      </c>
      <c r="D2755">
        <v>113</v>
      </c>
      <c r="E2755" t="s">
        <v>8</v>
      </c>
      <c r="F2755" t="s">
        <v>9</v>
      </c>
      <c r="G2755" t="s">
        <v>12</v>
      </c>
      <c r="H2755">
        <v>0</v>
      </c>
    </row>
    <row r="2756" spans="1:8" x14ac:dyDescent="0.35">
      <c r="A2756">
        <v>16838</v>
      </c>
      <c r="B2756" t="s">
        <v>11</v>
      </c>
      <c r="C2756">
        <v>7</v>
      </c>
      <c r="D2756">
        <v>282</v>
      </c>
      <c r="E2756" t="s">
        <v>8</v>
      </c>
      <c r="F2756" t="s">
        <v>13</v>
      </c>
      <c r="G2756" t="s">
        <v>10</v>
      </c>
      <c r="H2756">
        <v>0</v>
      </c>
    </row>
    <row r="2757" spans="1:8" x14ac:dyDescent="0.35">
      <c r="A2757">
        <v>18802</v>
      </c>
      <c r="B2757" t="s">
        <v>11</v>
      </c>
      <c r="C2757">
        <v>14</v>
      </c>
      <c r="D2757">
        <v>322</v>
      </c>
      <c r="E2757" t="s">
        <v>8</v>
      </c>
      <c r="F2757" t="s">
        <v>9</v>
      </c>
      <c r="G2757" t="s">
        <v>12</v>
      </c>
      <c r="H2757">
        <v>0</v>
      </c>
    </row>
    <row r="2758" spans="1:8" x14ac:dyDescent="0.35">
      <c r="A2758">
        <v>11258</v>
      </c>
      <c r="B2758" t="s">
        <v>7</v>
      </c>
      <c r="C2758">
        <v>11</v>
      </c>
      <c r="D2758">
        <v>127</v>
      </c>
      <c r="E2758" t="s">
        <v>8</v>
      </c>
      <c r="F2758" t="s">
        <v>9</v>
      </c>
      <c r="G2758" t="s">
        <v>10</v>
      </c>
      <c r="H2758">
        <v>0</v>
      </c>
    </row>
    <row r="2759" spans="1:8" x14ac:dyDescent="0.35">
      <c r="A2759">
        <v>13098</v>
      </c>
      <c r="B2759" t="s">
        <v>11</v>
      </c>
      <c r="C2759">
        <v>10</v>
      </c>
      <c r="D2759">
        <v>45</v>
      </c>
      <c r="E2759" t="s">
        <v>8</v>
      </c>
      <c r="F2759" t="s">
        <v>13</v>
      </c>
      <c r="G2759" t="s">
        <v>12</v>
      </c>
      <c r="H2759">
        <v>0</v>
      </c>
    </row>
    <row r="2760" spans="1:8" x14ac:dyDescent="0.35">
      <c r="A2760">
        <v>15927</v>
      </c>
      <c r="B2760" t="s">
        <v>7</v>
      </c>
      <c r="C2760">
        <v>12</v>
      </c>
      <c r="D2760">
        <v>383</v>
      </c>
      <c r="E2760" t="s">
        <v>8</v>
      </c>
      <c r="F2760" t="s">
        <v>9</v>
      </c>
      <c r="G2760" t="s">
        <v>12</v>
      </c>
      <c r="H2760">
        <v>0</v>
      </c>
    </row>
    <row r="2761" spans="1:8" x14ac:dyDescent="0.35">
      <c r="A2761">
        <v>13560</v>
      </c>
      <c r="B2761" t="s">
        <v>7</v>
      </c>
      <c r="C2761">
        <v>4</v>
      </c>
      <c r="D2761">
        <v>439</v>
      </c>
      <c r="E2761" t="s">
        <v>8</v>
      </c>
      <c r="F2761" t="s">
        <v>9</v>
      </c>
      <c r="G2761" t="s">
        <v>10</v>
      </c>
      <c r="H2761">
        <v>0</v>
      </c>
    </row>
    <row r="2762" spans="1:8" x14ac:dyDescent="0.35">
      <c r="A2762">
        <v>19543</v>
      </c>
      <c r="B2762" t="s">
        <v>7</v>
      </c>
      <c r="C2762">
        <v>9</v>
      </c>
      <c r="D2762">
        <v>351</v>
      </c>
      <c r="E2762" t="s">
        <v>8</v>
      </c>
      <c r="F2762" t="s">
        <v>13</v>
      </c>
      <c r="G2762" t="s">
        <v>16</v>
      </c>
      <c r="H2762">
        <v>0</v>
      </c>
    </row>
    <row r="2763" spans="1:8" x14ac:dyDescent="0.35">
      <c r="A2763">
        <v>17101</v>
      </c>
      <c r="B2763" t="s">
        <v>11</v>
      </c>
      <c r="C2763">
        <v>8</v>
      </c>
      <c r="D2763">
        <v>166</v>
      </c>
      <c r="E2763" t="s">
        <v>8</v>
      </c>
      <c r="F2763" t="s">
        <v>9</v>
      </c>
      <c r="G2763" t="s">
        <v>16</v>
      </c>
      <c r="H2763">
        <v>0</v>
      </c>
    </row>
    <row r="2764" spans="1:8" x14ac:dyDescent="0.35">
      <c r="A2764">
        <v>11455</v>
      </c>
      <c r="B2764" t="s">
        <v>11</v>
      </c>
      <c r="C2764">
        <v>1</v>
      </c>
      <c r="D2764">
        <v>348</v>
      </c>
      <c r="E2764" t="s">
        <v>8</v>
      </c>
      <c r="F2764" t="s">
        <v>13</v>
      </c>
      <c r="G2764" t="s">
        <v>16</v>
      </c>
      <c r="H2764">
        <v>0</v>
      </c>
    </row>
    <row r="2765" spans="1:8" x14ac:dyDescent="0.35">
      <c r="A2765">
        <v>18689</v>
      </c>
      <c r="B2765" t="s">
        <v>11</v>
      </c>
      <c r="C2765">
        <v>12</v>
      </c>
      <c r="D2765">
        <v>57</v>
      </c>
      <c r="E2765" t="s">
        <v>8</v>
      </c>
      <c r="F2765" t="s">
        <v>9</v>
      </c>
      <c r="G2765" t="s">
        <v>12</v>
      </c>
      <c r="H2765">
        <v>0</v>
      </c>
    </row>
    <row r="2766" spans="1:8" x14ac:dyDescent="0.35">
      <c r="A2766">
        <v>13559</v>
      </c>
      <c r="B2766" t="s">
        <v>7</v>
      </c>
      <c r="C2766">
        <v>12</v>
      </c>
      <c r="D2766">
        <v>224</v>
      </c>
      <c r="E2766" t="s">
        <v>8</v>
      </c>
      <c r="F2766" t="s">
        <v>13</v>
      </c>
      <c r="G2766" t="s">
        <v>12</v>
      </c>
      <c r="H2766">
        <v>0</v>
      </c>
    </row>
    <row r="2767" spans="1:8" x14ac:dyDescent="0.35">
      <c r="A2767">
        <v>12915</v>
      </c>
      <c r="B2767" t="s">
        <v>7</v>
      </c>
      <c r="C2767">
        <v>12</v>
      </c>
      <c r="D2767">
        <v>338</v>
      </c>
      <c r="E2767" t="s">
        <v>8</v>
      </c>
      <c r="F2767" t="s">
        <v>9</v>
      </c>
      <c r="G2767" t="s">
        <v>16</v>
      </c>
      <c r="H2767">
        <v>0</v>
      </c>
    </row>
    <row r="2768" spans="1:8" x14ac:dyDescent="0.35">
      <c r="A2768">
        <v>19134</v>
      </c>
      <c r="B2768" t="s">
        <v>7</v>
      </c>
      <c r="C2768">
        <v>9</v>
      </c>
      <c r="D2768">
        <v>97</v>
      </c>
      <c r="E2768" t="s">
        <v>8</v>
      </c>
      <c r="F2768" t="s">
        <v>13</v>
      </c>
      <c r="G2768" t="s">
        <v>16</v>
      </c>
      <c r="H2768">
        <v>0</v>
      </c>
    </row>
    <row r="2769" spans="1:8" x14ac:dyDescent="0.35">
      <c r="A2769">
        <v>13544</v>
      </c>
      <c r="B2769" t="s">
        <v>7</v>
      </c>
      <c r="C2769">
        <v>11</v>
      </c>
      <c r="D2769">
        <v>115</v>
      </c>
      <c r="E2769" t="s">
        <v>8</v>
      </c>
      <c r="F2769" t="s">
        <v>9</v>
      </c>
      <c r="G2769" t="s">
        <v>14</v>
      </c>
      <c r="H2769">
        <v>0</v>
      </c>
    </row>
    <row r="2770" spans="1:8" x14ac:dyDescent="0.35">
      <c r="A2770">
        <v>10027</v>
      </c>
      <c r="B2770" t="s">
        <v>11</v>
      </c>
      <c r="C2770">
        <v>4</v>
      </c>
      <c r="D2770">
        <v>211</v>
      </c>
      <c r="E2770" t="s">
        <v>8</v>
      </c>
      <c r="F2770" t="s">
        <v>13</v>
      </c>
      <c r="G2770" t="s">
        <v>14</v>
      </c>
      <c r="H2770">
        <v>0</v>
      </c>
    </row>
    <row r="2771" spans="1:8" x14ac:dyDescent="0.35">
      <c r="A2771">
        <v>12607</v>
      </c>
      <c r="B2771" t="s">
        <v>11</v>
      </c>
      <c r="C2771">
        <v>3</v>
      </c>
      <c r="D2771">
        <v>259</v>
      </c>
      <c r="E2771" t="s">
        <v>8</v>
      </c>
      <c r="F2771" t="s">
        <v>9</v>
      </c>
      <c r="G2771" t="s">
        <v>16</v>
      </c>
      <c r="H2771">
        <v>0</v>
      </c>
    </row>
    <row r="2772" spans="1:8" x14ac:dyDescent="0.35">
      <c r="A2772">
        <v>14971</v>
      </c>
      <c r="B2772" t="s">
        <v>11</v>
      </c>
      <c r="C2772">
        <v>8</v>
      </c>
      <c r="D2772">
        <v>375</v>
      </c>
      <c r="E2772" t="s">
        <v>8</v>
      </c>
      <c r="F2772" t="s">
        <v>9</v>
      </c>
      <c r="G2772" t="s">
        <v>12</v>
      </c>
      <c r="H2772">
        <v>0</v>
      </c>
    </row>
    <row r="2773" spans="1:8" x14ac:dyDescent="0.35">
      <c r="A2773">
        <v>14676</v>
      </c>
      <c r="B2773" t="s">
        <v>7</v>
      </c>
      <c r="C2773">
        <v>5</v>
      </c>
      <c r="D2773">
        <v>191</v>
      </c>
      <c r="E2773" t="s">
        <v>8</v>
      </c>
      <c r="F2773" t="s">
        <v>9</v>
      </c>
      <c r="G2773" t="s">
        <v>16</v>
      </c>
      <c r="H2773">
        <v>0</v>
      </c>
    </row>
    <row r="2774" spans="1:8" x14ac:dyDescent="0.35">
      <c r="A2774">
        <v>10991</v>
      </c>
      <c r="B2774" t="s">
        <v>11</v>
      </c>
      <c r="C2774">
        <v>3</v>
      </c>
      <c r="D2774">
        <v>308</v>
      </c>
      <c r="E2774" t="s">
        <v>8</v>
      </c>
      <c r="F2774" t="s">
        <v>9</v>
      </c>
      <c r="G2774" t="s">
        <v>14</v>
      </c>
      <c r="H2774">
        <v>0</v>
      </c>
    </row>
    <row r="2775" spans="1:8" x14ac:dyDescent="0.35">
      <c r="A2775">
        <v>12494</v>
      </c>
      <c r="B2775" t="s">
        <v>11</v>
      </c>
      <c r="C2775">
        <v>9</v>
      </c>
      <c r="D2775">
        <v>281</v>
      </c>
      <c r="E2775" t="s">
        <v>8</v>
      </c>
      <c r="F2775" t="s">
        <v>9</v>
      </c>
      <c r="G2775" t="s">
        <v>10</v>
      </c>
      <c r="H2775">
        <v>0</v>
      </c>
    </row>
    <row r="2776" spans="1:8" x14ac:dyDescent="0.35">
      <c r="A2776">
        <v>10140</v>
      </c>
      <c r="B2776" t="s">
        <v>7</v>
      </c>
      <c r="C2776">
        <v>3</v>
      </c>
      <c r="D2776">
        <v>308</v>
      </c>
      <c r="E2776" t="s">
        <v>8</v>
      </c>
      <c r="F2776" t="s">
        <v>9</v>
      </c>
      <c r="G2776" t="s">
        <v>14</v>
      </c>
      <c r="H2776">
        <v>0</v>
      </c>
    </row>
    <row r="2777" spans="1:8" x14ac:dyDescent="0.35">
      <c r="A2777">
        <v>15957</v>
      </c>
      <c r="B2777" t="s">
        <v>7</v>
      </c>
      <c r="C2777">
        <v>7</v>
      </c>
      <c r="D2777">
        <v>83</v>
      </c>
      <c r="E2777" t="s">
        <v>8</v>
      </c>
      <c r="F2777" t="s">
        <v>13</v>
      </c>
      <c r="G2777" t="s">
        <v>10</v>
      </c>
      <c r="H2777">
        <v>0</v>
      </c>
    </row>
    <row r="2778" spans="1:8" x14ac:dyDescent="0.35">
      <c r="A2778">
        <v>19462</v>
      </c>
      <c r="B2778" t="s">
        <v>11</v>
      </c>
      <c r="C2778">
        <v>6</v>
      </c>
      <c r="D2778">
        <v>187</v>
      </c>
      <c r="E2778" t="s">
        <v>8</v>
      </c>
      <c r="F2778" t="s">
        <v>9</v>
      </c>
      <c r="G2778" t="s">
        <v>12</v>
      </c>
      <c r="H2778">
        <v>0</v>
      </c>
    </row>
    <row r="2779" spans="1:8" x14ac:dyDescent="0.35">
      <c r="A2779">
        <v>13936</v>
      </c>
      <c r="B2779" t="s">
        <v>11</v>
      </c>
      <c r="C2779">
        <v>4</v>
      </c>
      <c r="D2779">
        <v>362</v>
      </c>
      <c r="E2779" t="s">
        <v>8</v>
      </c>
      <c r="F2779" t="s">
        <v>13</v>
      </c>
      <c r="G2779" t="s">
        <v>12</v>
      </c>
      <c r="H2779">
        <v>0</v>
      </c>
    </row>
    <row r="2780" spans="1:8" x14ac:dyDescent="0.35">
      <c r="A2780">
        <v>10571</v>
      </c>
      <c r="B2780" t="s">
        <v>7</v>
      </c>
      <c r="C2780">
        <v>9</v>
      </c>
      <c r="D2780">
        <v>270</v>
      </c>
      <c r="E2780" t="s">
        <v>8</v>
      </c>
      <c r="F2780" t="s">
        <v>9</v>
      </c>
      <c r="G2780" t="s">
        <v>10</v>
      </c>
      <c r="H2780">
        <v>0</v>
      </c>
    </row>
    <row r="2781" spans="1:8" x14ac:dyDescent="0.35">
      <c r="A2781">
        <v>18306</v>
      </c>
      <c r="B2781" t="s">
        <v>7</v>
      </c>
      <c r="C2781">
        <v>11</v>
      </c>
      <c r="D2781">
        <v>228</v>
      </c>
      <c r="E2781" t="s">
        <v>8</v>
      </c>
      <c r="F2781" t="s">
        <v>9</v>
      </c>
      <c r="G2781" t="s">
        <v>14</v>
      </c>
      <c r="H2781">
        <v>0</v>
      </c>
    </row>
    <row r="2782" spans="1:8" x14ac:dyDescent="0.35">
      <c r="A2782">
        <v>16150</v>
      </c>
      <c r="B2782" t="s">
        <v>11</v>
      </c>
      <c r="C2782">
        <v>3</v>
      </c>
      <c r="D2782">
        <v>333</v>
      </c>
      <c r="E2782" t="s">
        <v>8</v>
      </c>
      <c r="F2782" t="s">
        <v>13</v>
      </c>
      <c r="G2782" t="s">
        <v>16</v>
      </c>
      <c r="H2782">
        <v>0</v>
      </c>
    </row>
    <row r="2783" spans="1:8" x14ac:dyDescent="0.35">
      <c r="A2783">
        <v>11590</v>
      </c>
      <c r="B2783" t="s">
        <v>7</v>
      </c>
      <c r="C2783">
        <v>8</v>
      </c>
      <c r="D2783">
        <v>400</v>
      </c>
      <c r="E2783" t="s">
        <v>8</v>
      </c>
      <c r="F2783" t="s">
        <v>9</v>
      </c>
      <c r="G2783" t="s">
        <v>10</v>
      </c>
      <c r="H2783">
        <v>0</v>
      </c>
    </row>
    <row r="2784" spans="1:8" x14ac:dyDescent="0.35">
      <c r="A2784">
        <v>18732</v>
      </c>
      <c r="B2784" t="s">
        <v>11</v>
      </c>
      <c r="C2784">
        <v>4</v>
      </c>
      <c r="D2784">
        <v>263</v>
      </c>
      <c r="E2784" t="s">
        <v>8</v>
      </c>
      <c r="F2784" t="s">
        <v>13</v>
      </c>
      <c r="G2784" t="s">
        <v>12</v>
      </c>
      <c r="H2784">
        <v>0</v>
      </c>
    </row>
    <row r="2785" spans="1:8" x14ac:dyDescent="0.35">
      <c r="A2785">
        <v>18201</v>
      </c>
      <c r="B2785" t="s">
        <v>11</v>
      </c>
      <c r="C2785">
        <v>5</v>
      </c>
      <c r="D2785">
        <v>76</v>
      </c>
      <c r="E2785" t="s">
        <v>8</v>
      </c>
      <c r="F2785" t="s">
        <v>9</v>
      </c>
      <c r="G2785" t="s">
        <v>16</v>
      </c>
      <c r="H2785">
        <v>0</v>
      </c>
    </row>
    <row r="2786" spans="1:8" x14ac:dyDescent="0.35">
      <c r="A2786">
        <v>16058</v>
      </c>
      <c r="B2786" t="s">
        <v>11</v>
      </c>
      <c r="C2786">
        <v>4</v>
      </c>
      <c r="D2786">
        <v>259</v>
      </c>
      <c r="E2786" t="s">
        <v>8</v>
      </c>
      <c r="F2786" t="s">
        <v>13</v>
      </c>
      <c r="G2786" t="s">
        <v>16</v>
      </c>
      <c r="H2786">
        <v>0</v>
      </c>
    </row>
    <row r="2787" spans="1:8" x14ac:dyDescent="0.35">
      <c r="A2787">
        <v>16020</v>
      </c>
      <c r="B2787" t="s">
        <v>11</v>
      </c>
      <c r="C2787">
        <v>9</v>
      </c>
      <c r="D2787">
        <v>146</v>
      </c>
      <c r="E2787" t="s">
        <v>8</v>
      </c>
      <c r="F2787" t="s">
        <v>13</v>
      </c>
      <c r="G2787" t="s">
        <v>10</v>
      </c>
      <c r="H2787">
        <v>0</v>
      </c>
    </row>
    <row r="2788" spans="1:8" x14ac:dyDescent="0.35">
      <c r="A2788">
        <v>13692</v>
      </c>
      <c r="B2788" t="s">
        <v>11</v>
      </c>
      <c r="C2788">
        <v>4</v>
      </c>
      <c r="D2788">
        <v>348</v>
      </c>
      <c r="E2788" t="s">
        <v>8</v>
      </c>
      <c r="F2788" t="s">
        <v>13</v>
      </c>
      <c r="G2788" t="s">
        <v>10</v>
      </c>
      <c r="H2788">
        <v>0</v>
      </c>
    </row>
    <row r="2789" spans="1:8" x14ac:dyDescent="0.35">
      <c r="A2789">
        <v>14606</v>
      </c>
      <c r="B2789" t="s">
        <v>7</v>
      </c>
      <c r="C2789">
        <v>11</v>
      </c>
      <c r="D2789">
        <v>383</v>
      </c>
      <c r="E2789" t="s">
        <v>8</v>
      </c>
      <c r="F2789" t="s">
        <v>13</v>
      </c>
      <c r="G2789" t="s">
        <v>16</v>
      </c>
      <c r="H2789">
        <v>0</v>
      </c>
    </row>
    <row r="2790" spans="1:8" x14ac:dyDescent="0.35">
      <c r="A2790">
        <v>13789</v>
      </c>
      <c r="B2790" t="s">
        <v>7</v>
      </c>
      <c r="C2790">
        <v>12</v>
      </c>
      <c r="D2790">
        <v>280</v>
      </c>
      <c r="E2790" t="s">
        <v>8</v>
      </c>
      <c r="F2790" t="s">
        <v>13</v>
      </c>
      <c r="G2790" t="s">
        <v>14</v>
      </c>
      <c r="H2790">
        <v>0</v>
      </c>
    </row>
    <row r="2791" spans="1:8" x14ac:dyDescent="0.35">
      <c r="A2791">
        <v>18002</v>
      </c>
      <c r="B2791" t="s">
        <v>7</v>
      </c>
      <c r="C2791">
        <v>11</v>
      </c>
      <c r="D2791">
        <v>56</v>
      </c>
      <c r="E2791" t="s">
        <v>15</v>
      </c>
      <c r="F2791" t="s">
        <v>13</v>
      </c>
      <c r="G2791" t="s">
        <v>10</v>
      </c>
      <c r="H2791">
        <v>1</v>
      </c>
    </row>
    <row r="2792" spans="1:8" x14ac:dyDescent="0.35">
      <c r="A2792">
        <v>17859</v>
      </c>
      <c r="B2792" t="s">
        <v>7</v>
      </c>
      <c r="C2792">
        <v>7</v>
      </c>
      <c r="D2792">
        <v>214</v>
      </c>
      <c r="E2792" t="s">
        <v>8</v>
      </c>
      <c r="F2792" t="s">
        <v>9</v>
      </c>
      <c r="G2792" t="s">
        <v>10</v>
      </c>
      <c r="H2792">
        <v>0</v>
      </c>
    </row>
    <row r="2793" spans="1:8" x14ac:dyDescent="0.35">
      <c r="A2793">
        <v>14344</v>
      </c>
      <c r="B2793" t="s">
        <v>7</v>
      </c>
      <c r="C2793">
        <v>7</v>
      </c>
      <c r="D2793">
        <v>174</v>
      </c>
      <c r="E2793" t="s">
        <v>15</v>
      </c>
      <c r="F2793" t="s">
        <v>13</v>
      </c>
      <c r="G2793" t="s">
        <v>12</v>
      </c>
      <c r="H2793">
        <v>1</v>
      </c>
    </row>
    <row r="2794" spans="1:8" x14ac:dyDescent="0.35">
      <c r="A2794">
        <v>13063</v>
      </c>
      <c r="B2794" t="s">
        <v>11</v>
      </c>
      <c r="C2794">
        <v>13</v>
      </c>
      <c r="D2794">
        <v>122</v>
      </c>
      <c r="E2794" t="s">
        <v>8</v>
      </c>
      <c r="F2794" t="s">
        <v>9</v>
      </c>
      <c r="G2794" t="s">
        <v>14</v>
      </c>
      <c r="H2794">
        <v>0</v>
      </c>
    </row>
    <row r="2795" spans="1:8" x14ac:dyDescent="0.35">
      <c r="A2795">
        <v>13761</v>
      </c>
      <c r="B2795" t="s">
        <v>7</v>
      </c>
      <c r="C2795">
        <v>2</v>
      </c>
      <c r="D2795">
        <v>194</v>
      </c>
      <c r="E2795" t="s">
        <v>8</v>
      </c>
      <c r="F2795" t="s">
        <v>13</v>
      </c>
      <c r="G2795" t="s">
        <v>10</v>
      </c>
      <c r="H2795">
        <v>0</v>
      </c>
    </row>
    <row r="2796" spans="1:8" x14ac:dyDescent="0.35">
      <c r="A2796">
        <v>13078</v>
      </c>
      <c r="B2796" t="s">
        <v>7</v>
      </c>
      <c r="C2796">
        <v>10</v>
      </c>
      <c r="D2796">
        <v>43</v>
      </c>
      <c r="E2796" t="s">
        <v>8</v>
      </c>
      <c r="F2796" t="s">
        <v>9</v>
      </c>
      <c r="G2796" t="s">
        <v>10</v>
      </c>
      <c r="H2796">
        <v>0</v>
      </c>
    </row>
    <row r="2797" spans="1:8" x14ac:dyDescent="0.35">
      <c r="A2797">
        <v>11159</v>
      </c>
      <c r="B2797" t="s">
        <v>11</v>
      </c>
      <c r="C2797">
        <v>8</v>
      </c>
      <c r="D2797">
        <v>234</v>
      </c>
      <c r="E2797" t="s">
        <v>8</v>
      </c>
      <c r="F2797" t="s">
        <v>13</v>
      </c>
      <c r="G2797" t="s">
        <v>14</v>
      </c>
      <c r="H2797">
        <v>0</v>
      </c>
    </row>
    <row r="2798" spans="1:8" x14ac:dyDescent="0.35">
      <c r="A2798">
        <v>12978</v>
      </c>
      <c r="B2798" t="s">
        <v>11</v>
      </c>
      <c r="C2798">
        <v>3</v>
      </c>
      <c r="D2798">
        <v>259</v>
      </c>
      <c r="E2798" t="s">
        <v>8</v>
      </c>
      <c r="F2798" t="s">
        <v>9</v>
      </c>
      <c r="G2798" t="s">
        <v>14</v>
      </c>
      <c r="H2798">
        <v>0</v>
      </c>
    </row>
    <row r="2799" spans="1:8" x14ac:dyDescent="0.35">
      <c r="A2799">
        <v>11567</v>
      </c>
      <c r="B2799" t="s">
        <v>11</v>
      </c>
      <c r="C2799">
        <v>7</v>
      </c>
      <c r="D2799">
        <v>283</v>
      </c>
      <c r="E2799" t="s">
        <v>8</v>
      </c>
      <c r="F2799" t="s">
        <v>13</v>
      </c>
      <c r="G2799" t="s">
        <v>10</v>
      </c>
      <c r="H2799">
        <v>0</v>
      </c>
    </row>
    <row r="2800" spans="1:8" x14ac:dyDescent="0.35">
      <c r="A2800">
        <v>18837</v>
      </c>
      <c r="B2800" t="s">
        <v>11</v>
      </c>
      <c r="C2800">
        <v>5</v>
      </c>
      <c r="D2800">
        <v>158</v>
      </c>
      <c r="E2800" t="s">
        <v>8</v>
      </c>
      <c r="F2800" t="s">
        <v>13</v>
      </c>
      <c r="G2800" t="s">
        <v>10</v>
      </c>
      <c r="H2800">
        <v>0</v>
      </c>
    </row>
    <row r="2801" spans="1:8" x14ac:dyDescent="0.35">
      <c r="A2801">
        <v>19141</v>
      </c>
      <c r="B2801" t="s">
        <v>7</v>
      </c>
      <c r="C2801">
        <v>4</v>
      </c>
      <c r="D2801">
        <v>218</v>
      </c>
      <c r="E2801" t="s">
        <v>8</v>
      </c>
      <c r="F2801" t="s">
        <v>13</v>
      </c>
      <c r="G2801" t="s">
        <v>14</v>
      </c>
      <c r="H2801">
        <v>0</v>
      </c>
    </row>
    <row r="2802" spans="1:8" x14ac:dyDescent="0.35">
      <c r="A2802">
        <v>18232</v>
      </c>
      <c r="B2802" t="s">
        <v>7</v>
      </c>
      <c r="C2802">
        <v>10</v>
      </c>
      <c r="D2802">
        <v>246</v>
      </c>
      <c r="E2802" t="s">
        <v>8</v>
      </c>
      <c r="F2802" t="s">
        <v>9</v>
      </c>
      <c r="G2802" t="s">
        <v>10</v>
      </c>
      <c r="H2802">
        <v>0</v>
      </c>
    </row>
    <row r="2803" spans="1:8" x14ac:dyDescent="0.35">
      <c r="A2803">
        <v>12715</v>
      </c>
      <c r="B2803" t="s">
        <v>11</v>
      </c>
      <c r="C2803">
        <v>12</v>
      </c>
      <c r="D2803">
        <v>220</v>
      </c>
      <c r="E2803" t="s">
        <v>8</v>
      </c>
      <c r="F2803" t="s">
        <v>9</v>
      </c>
      <c r="G2803" t="s">
        <v>14</v>
      </c>
      <c r="H2803">
        <v>0</v>
      </c>
    </row>
    <row r="2804" spans="1:8" x14ac:dyDescent="0.35">
      <c r="A2804">
        <v>13951</v>
      </c>
      <c r="B2804" t="s">
        <v>11</v>
      </c>
      <c r="C2804">
        <v>9</v>
      </c>
      <c r="D2804">
        <v>125</v>
      </c>
      <c r="E2804" t="s">
        <v>8</v>
      </c>
      <c r="F2804" t="s">
        <v>9</v>
      </c>
      <c r="G2804" t="s">
        <v>12</v>
      </c>
      <c r="H2804">
        <v>0</v>
      </c>
    </row>
    <row r="2805" spans="1:8" x14ac:dyDescent="0.35">
      <c r="A2805">
        <v>10411</v>
      </c>
      <c r="B2805" t="s">
        <v>11</v>
      </c>
      <c r="C2805">
        <v>13</v>
      </c>
      <c r="D2805">
        <v>322</v>
      </c>
      <c r="E2805" t="s">
        <v>8</v>
      </c>
      <c r="F2805" t="s">
        <v>13</v>
      </c>
      <c r="G2805" t="s">
        <v>14</v>
      </c>
      <c r="H2805">
        <v>0</v>
      </c>
    </row>
    <row r="2806" spans="1:8" x14ac:dyDescent="0.35">
      <c r="A2806">
        <v>10114</v>
      </c>
      <c r="B2806" t="s">
        <v>7</v>
      </c>
      <c r="C2806">
        <v>12</v>
      </c>
      <c r="D2806">
        <v>211</v>
      </c>
      <c r="E2806" t="s">
        <v>8</v>
      </c>
      <c r="F2806" t="s">
        <v>9</v>
      </c>
      <c r="G2806" t="s">
        <v>14</v>
      </c>
      <c r="H2806">
        <v>0</v>
      </c>
    </row>
    <row r="2807" spans="1:8" x14ac:dyDescent="0.35">
      <c r="A2807">
        <v>14922</v>
      </c>
      <c r="B2807" t="s">
        <v>7</v>
      </c>
      <c r="C2807">
        <v>7</v>
      </c>
      <c r="D2807">
        <v>320</v>
      </c>
      <c r="E2807" t="s">
        <v>8</v>
      </c>
      <c r="F2807" t="s">
        <v>13</v>
      </c>
      <c r="G2807" t="s">
        <v>14</v>
      </c>
      <c r="H2807">
        <v>0</v>
      </c>
    </row>
    <row r="2808" spans="1:8" x14ac:dyDescent="0.35">
      <c r="A2808">
        <v>17104</v>
      </c>
      <c r="B2808" t="s">
        <v>11</v>
      </c>
      <c r="C2808">
        <v>13</v>
      </c>
      <c r="D2808">
        <v>41</v>
      </c>
      <c r="E2808" t="s">
        <v>8</v>
      </c>
      <c r="F2808" t="s">
        <v>13</v>
      </c>
      <c r="G2808" t="s">
        <v>14</v>
      </c>
      <c r="H2808">
        <v>0</v>
      </c>
    </row>
    <row r="2809" spans="1:8" x14ac:dyDescent="0.35">
      <c r="A2809">
        <v>18530</v>
      </c>
      <c r="B2809" t="s">
        <v>11</v>
      </c>
      <c r="C2809">
        <v>13</v>
      </c>
      <c r="D2809">
        <v>118</v>
      </c>
      <c r="E2809" t="s">
        <v>8</v>
      </c>
      <c r="F2809" t="s">
        <v>13</v>
      </c>
      <c r="G2809" t="s">
        <v>14</v>
      </c>
      <c r="H2809">
        <v>0</v>
      </c>
    </row>
    <row r="2810" spans="1:8" x14ac:dyDescent="0.35">
      <c r="A2810">
        <v>15386</v>
      </c>
      <c r="B2810" t="s">
        <v>7</v>
      </c>
      <c r="C2810">
        <v>10</v>
      </c>
      <c r="D2810">
        <v>297</v>
      </c>
      <c r="E2810" t="s">
        <v>8</v>
      </c>
      <c r="F2810" t="s">
        <v>9</v>
      </c>
      <c r="G2810" t="s">
        <v>10</v>
      </c>
      <c r="H2810">
        <v>0</v>
      </c>
    </row>
    <row r="2811" spans="1:8" x14ac:dyDescent="0.35">
      <c r="A2811">
        <v>11130</v>
      </c>
      <c r="B2811" t="s">
        <v>11</v>
      </c>
      <c r="C2811">
        <v>8</v>
      </c>
      <c r="D2811">
        <v>136</v>
      </c>
      <c r="E2811" t="s">
        <v>8</v>
      </c>
      <c r="F2811" t="s">
        <v>9</v>
      </c>
      <c r="G2811" t="s">
        <v>12</v>
      </c>
      <c r="H2811">
        <v>0</v>
      </c>
    </row>
    <row r="2812" spans="1:8" x14ac:dyDescent="0.35">
      <c r="A2812">
        <v>12299</v>
      </c>
      <c r="B2812" t="s">
        <v>11</v>
      </c>
      <c r="C2812">
        <v>1</v>
      </c>
      <c r="D2812">
        <v>354</v>
      </c>
      <c r="E2812" t="s">
        <v>8</v>
      </c>
      <c r="F2812" t="s">
        <v>13</v>
      </c>
      <c r="G2812" t="s">
        <v>10</v>
      </c>
      <c r="H2812">
        <v>0</v>
      </c>
    </row>
    <row r="2813" spans="1:8" x14ac:dyDescent="0.35">
      <c r="A2813">
        <v>18984</v>
      </c>
      <c r="B2813" t="s">
        <v>7</v>
      </c>
      <c r="C2813">
        <v>13</v>
      </c>
      <c r="D2813">
        <v>198</v>
      </c>
      <c r="E2813" t="s">
        <v>8</v>
      </c>
      <c r="F2813" t="s">
        <v>13</v>
      </c>
      <c r="G2813" t="s">
        <v>16</v>
      </c>
      <c r="H2813">
        <v>0</v>
      </c>
    </row>
    <row r="2814" spans="1:8" x14ac:dyDescent="0.35">
      <c r="A2814">
        <v>10499</v>
      </c>
      <c r="B2814" t="s">
        <v>7</v>
      </c>
      <c r="C2814">
        <v>4</v>
      </c>
      <c r="D2814">
        <v>372</v>
      </c>
      <c r="E2814" t="s">
        <v>8</v>
      </c>
      <c r="F2814" t="s">
        <v>13</v>
      </c>
      <c r="G2814" t="s">
        <v>16</v>
      </c>
      <c r="H2814">
        <v>0</v>
      </c>
    </row>
    <row r="2815" spans="1:8" x14ac:dyDescent="0.35">
      <c r="A2815">
        <v>13718</v>
      </c>
      <c r="B2815" t="s">
        <v>11</v>
      </c>
      <c r="C2815">
        <v>11</v>
      </c>
      <c r="D2815">
        <v>332</v>
      </c>
      <c r="E2815" t="s">
        <v>8</v>
      </c>
      <c r="F2815" t="s">
        <v>9</v>
      </c>
      <c r="G2815" t="s">
        <v>10</v>
      </c>
      <c r="H2815">
        <v>0</v>
      </c>
    </row>
    <row r="2816" spans="1:8" x14ac:dyDescent="0.35">
      <c r="A2816">
        <v>16133</v>
      </c>
      <c r="B2816" t="s">
        <v>11</v>
      </c>
      <c r="C2816">
        <v>9</v>
      </c>
      <c r="D2816">
        <v>304</v>
      </c>
      <c r="E2816" t="s">
        <v>8</v>
      </c>
      <c r="F2816" t="s">
        <v>9</v>
      </c>
      <c r="G2816" t="s">
        <v>16</v>
      </c>
      <c r="H2816">
        <v>0</v>
      </c>
    </row>
    <row r="2817" spans="1:8" x14ac:dyDescent="0.35">
      <c r="A2817">
        <v>12116</v>
      </c>
      <c r="B2817" t="s">
        <v>7</v>
      </c>
      <c r="C2817">
        <v>9</v>
      </c>
      <c r="D2817">
        <v>63</v>
      </c>
      <c r="E2817" t="s">
        <v>8</v>
      </c>
      <c r="F2817" t="s">
        <v>13</v>
      </c>
      <c r="G2817" t="s">
        <v>12</v>
      </c>
      <c r="H2817">
        <v>0</v>
      </c>
    </row>
    <row r="2818" spans="1:8" x14ac:dyDescent="0.35">
      <c r="A2818">
        <v>15287</v>
      </c>
      <c r="B2818" t="s">
        <v>11</v>
      </c>
      <c r="C2818">
        <v>5</v>
      </c>
      <c r="D2818">
        <v>328</v>
      </c>
      <c r="E2818" t="s">
        <v>8</v>
      </c>
      <c r="F2818" t="s">
        <v>9</v>
      </c>
      <c r="G2818" t="s">
        <v>12</v>
      </c>
      <c r="H2818">
        <v>0</v>
      </c>
    </row>
    <row r="2819" spans="1:8" x14ac:dyDescent="0.35">
      <c r="A2819">
        <v>15858</v>
      </c>
      <c r="B2819" t="s">
        <v>11</v>
      </c>
      <c r="C2819">
        <v>14</v>
      </c>
      <c r="D2819">
        <v>298</v>
      </c>
      <c r="E2819" t="s">
        <v>8</v>
      </c>
      <c r="F2819" t="s">
        <v>13</v>
      </c>
      <c r="G2819" t="s">
        <v>14</v>
      </c>
      <c r="H2819">
        <v>0</v>
      </c>
    </row>
    <row r="2820" spans="1:8" x14ac:dyDescent="0.35">
      <c r="A2820">
        <v>14846</v>
      </c>
      <c r="B2820" t="s">
        <v>11</v>
      </c>
      <c r="C2820">
        <v>1</v>
      </c>
      <c r="D2820">
        <v>263</v>
      </c>
      <c r="E2820" t="s">
        <v>8</v>
      </c>
      <c r="F2820" t="s">
        <v>9</v>
      </c>
      <c r="G2820" t="s">
        <v>10</v>
      </c>
      <c r="H2820">
        <v>0</v>
      </c>
    </row>
    <row r="2821" spans="1:8" x14ac:dyDescent="0.35">
      <c r="A2821">
        <v>18783</v>
      </c>
      <c r="B2821" t="s">
        <v>11</v>
      </c>
      <c r="C2821">
        <v>5</v>
      </c>
      <c r="D2821">
        <v>316</v>
      </c>
      <c r="E2821" t="s">
        <v>8</v>
      </c>
      <c r="F2821" t="s">
        <v>13</v>
      </c>
      <c r="G2821" t="s">
        <v>14</v>
      </c>
      <c r="H2821">
        <v>0</v>
      </c>
    </row>
    <row r="2822" spans="1:8" x14ac:dyDescent="0.35">
      <c r="A2822">
        <v>17099</v>
      </c>
      <c r="B2822" t="s">
        <v>7</v>
      </c>
      <c r="C2822">
        <v>1</v>
      </c>
      <c r="D2822">
        <v>351</v>
      </c>
      <c r="E2822" t="s">
        <v>8</v>
      </c>
      <c r="F2822" t="s">
        <v>9</v>
      </c>
      <c r="G2822" t="s">
        <v>10</v>
      </c>
      <c r="H2822">
        <v>0</v>
      </c>
    </row>
    <row r="2823" spans="1:8" x14ac:dyDescent="0.35">
      <c r="A2823">
        <v>18507</v>
      </c>
      <c r="B2823" t="s">
        <v>11</v>
      </c>
      <c r="C2823">
        <v>11</v>
      </c>
      <c r="D2823">
        <v>152</v>
      </c>
      <c r="E2823" t="s">
        <v>8</v>
      </c>
      <c r="F2823" t="s">
        <v>13</v>
      </c>
      <c r="G2823" t="s">
        <v>14</v>
      </c>
      <c r="H2823">
        <v>0</v>
      </c>
    </row>
    <row r="2824" spans="1:8" x14ac:dyDescent="0.35">
      <c r="A2824">
        <v>11522</v>
      </c>
      <c r="B2824" t="s">
        <v>11</v>
      </c>
      <c r="C2824">
        <v>6</v>
      </c>
      <c r="D2824">
        <v>347</v>
      </c>
      <c r="E2824" t="s">
        <v>8</v>
      </c>
      <c r="F2824" t="s">
        <v>9</v>
      </c>
      <c r="G2824" t="s">
        <v>12</v>
      </c>
      <c r="H2824">
        <v>0</v>
      </c>
    </row>
    <row r="2825" spans="1:8" x14ac:dyDescent="0.35">
      <c r="A2825">
        <v>14572</v>
      </c>
      <c r="B2825" t="s">
        <v>11</v>
      </c>
      <c r="C2825">
        <v>10</v>
      </c>
      <c r="D2825">
        <v>117</v>
      </c>
      <c r="E2825" t="s">
        <v>8</v>
      </c>
      <c r="F2825" t="s">
        <v>9</v>
      </c>
      <c r="G2825" t="s">
        <v>12</v>
      </c>
      <c r="H2825">
        <v>0</v>
      </c>
    </row>
    <row r="2826" spans="1:8" x14ac:dyDescent="0.35">
      <c r="A2826">
        <v>16496</v>
      </c>
      <c r="B2826" t="s">
        <v>7</v>
      </c>
      <c r="C2826">
        <v>6</v>
      </c>
      <c r="D2826">
        <v>290</v>
      </c>
      <c r="E2826" t="s">
        <v>8</v>
      </c>
      <c r="F2826" t="s">
        <v>9</v>
      </c>
      <c r="G2826" t="s">
        <v>12</v>
      </c>
      <c r="H2826">
        <v>0</v>
      </c>
    </row>
    <row r="2827" spans="1:8" x14ac:dyDescent="0.35">
      <c r="A2827">
        <v>14293</v>
      </c>
      <c r="B2827" t="s">
        <v>7</v>
      </c>
      <c r="C2827">
        <v>2</v>
      </c>
      <c r="D2827">
        <v>353</v>
      </c>
      <c r="E2827" t="s">
        <v>8</v>
      </c>
      <c r="F2827" t="s">
        <v>13</v>
      </c>
      <c r="G2827" t="s">
        <v>10</v>
      </c>
      <c r="H2827">
        <v>0</v>
      </c>
    </row>
    <row r="2828" spans="1:8" x14ac:dyDescent="0.35">
      <c r="A2828">
        <v>10253</v>
      </c>
      <c r="B2828" t="s">
        <v>11</v>
      </c>
      <c r="C2828">
        <v>14</v>
      </c>
      <c r="D2828">
        <v>344</v>
      </c>
      <c r="E2828" t="s">
        <v>8</v>
      </c>
      <c r="F2828" t="s">
        <v>13</v>
      </c>
      <c r="G2828" t="s">
        <v>12</v>
      </c>
      <c r="H2828">
        <v>0</v>
      </c>
    </row>
    <row r="2829" spans="1:8" x14ac:dyDescent="0.35">
      <c r="A2829">
        <v>16078</v>
      </c>
      <c r="B2829" t="s">
        <v>7</v>
      </c>
      <c r="C2829">
        <v>6</v>
      </c>
      <c r="D2829">
        <v>211</v>
      </c>
      <c r="E2829" t="s">
        <v>8</v>
      </c>
      <c r="F2829" t="s">
        <v>9</v>
      </c>
      <c r="G2829" t="s">
        <v>12</v>
      </c>
      <c r="H2829">
        <v>0</v>
      </c>
    </row>
    <row r="2830" spans="1:8" x14ac:dyDescent="0.35">
      <c r="A2830">
        <v>19995</v>
      </c>
      <c r="B2830" t="s">
        <v>11</v>
      </c>
      <c r="C2830">
        <v>4</v>
      </c>
      <c r="D2830">
        <v>73</v>
      </c>
      <c r="E2830" t="s">
        <v>8</v>
      </c>
      <c r="F2830" t="s">
        <v>13</v>
      </c>
      <c r="G2830" t="s">
        <v>12</v>
      </c>
      <c r="H2830">
        <v>0</v>
      </c>
    </row>
    <row r="2831" spans="1:8" x14ac:dyDescent="0.35">
      <c r="A2831">
        <v>10213</v>
      </c>
      <c r="B2831" t="s">
        <v>7</v>
      </c>
      <c r="C2831">
        <v>10</v>
      </c>
      <c r="D2831">
        <v>369</v>
      </c>
      <c r="E2831" t="s">
        <v>8</v>
      </c>
      <c r="F2831" t="s">
        <v>13</v>
      </c>
      <c r="G2831" t="s">
        <v>14</v>
      </c>
      <c r="H2831">
        <v>0</v>
      </c>
    </row>
    <row r="2832" spans="1:8" x14ac:dyDescent="0.35">
      <c r="A2832">
        <v>14664</v>
      </c>
      <c r="B2832" t="s">
        <v>7</v>
      </c>
      <c r="C2832">
        <v>7</v>
      </c>
      <c r="D2832">
        <v>192</v>
      </c>
      <c r="E2832" t="s">
        <v>8</v>
      </c>
      <c r="F2832" t="s">
        <v>13</v>
      </c>
      <c r="G2832" t="s">
        <v>10</v>
      </c>
      <c r="H2832">
        <v>0</v>
      </c>
    </row>
    <row r="2833" spans="1:8" x14ac:dyDescent="0.35">
      <c r="A2833">
        <v>12094</v>
      </c>
      <c r="B2833" t="s">
        <v>11</v>
      </c>
      <c r="C2833">
        <v>10</v>
      </c>
      <c r="D2833">
        <v>166</v>
      </c>
      <c r="E2833" t="s">
        <v>8</v>
      </c>
      <c r="F2833" t="s">
        <v>9</v>
      </c>
      <c r="G2833" t="s">
        <v>16</v>
      </c>
      <c r="H2833">
        <v>0</v>
      </c>
    </row>
    <row r="2834" spans="1:8" x14ac:dyDescent="0.35">
      <c r="A2834">
        <v>16472</v>
      </c>
      <c r="B2834" t="s">
        <v>11</v>
      </c>
      <c r="C2834">
        <v>14</v>
      </c>
      <c r="D2834">
        <v>220</v>
      </c>
      <c r="E2834" t="s">
        <v>8</v>
      </c>
      <c r="F2834" t="s">
        <v>9</v>
      </c>
      <c r="G2834" t="s">
        <v>14</v>
      </c>
      <c r="H2834">
        <v>0</v>
      </c>
    </row>
    <row r="2835" spans="1:8" x14ac:dyDescent="0.35">
      <c r="A2835">
        <v>18908</v>
      </c>
      <c r="B2835" t="s">
        <v>7</v>
      </c>
      <c r="C2835">
        <v>8</v>
      </c>
      <c r="D2835">
        <v>171</v>
      </c>
      <c r="E2835" t="s">
        <v>8</v>
      </c>
      <c r="F2835" t="s">
        <v>13</v>
      </c>
      <c r="G2835" t="s">
        <v>10</v>
      </c>
      <c r="H2835">
        <v>0</v>
      </c>
    </row>
    <row r="2836" spans="1:8" x14ac:dyDescent="0.35">
      <c r="A2836">
        <v>10622</v>
      </c>
      <c r="B2836" t="s">
        <v>11</v>
      </c>
      <c r="C2836">
        <v>11</v>
      </c>
      <c r="D2836">
        <v>137</v>
      </c>
      <c r="E2836" t="s">
        <v>8</v>
      </c>
      <c r="F2836" t="s">
        <v>9</v>
      </c>
      <c r="G2836" t="s">
        <v>10</v>
      </c>
      <c r="H2836">
        <v>0</v>
      </c>
    </row>
    <row r="2837" spans="1:8" x14ac:dyDescent="0.35">
      <c r="A2837">
        <v>12329</v>
      </c>
      <c r="B2837" t="s">
        <v>11</v>
      </c>
      <c r="C2837">
        <v>14</v>
      </c>
      <c r="D2837">
        <v>379</v>
      </c>
      <c r="E2837" t="s">
        <v>8</v>
      </c>
      <c r="F2837" t="s">
        <v>13</v>
      </c>
      <c r="G2837" t="s">
        <v>16</v>
      </c>
      <c r="H2837">
        <v>0</v>
      </c>
    </row>
    <row r="2838" spans="1:8" x14ac:dyDescent="0.35">
      <c r="A2838">
        <v>14471</v>
      </c>
      <c r="B2838" t="s">
        <v>7</v>
      </c>
      <c r="C2838">
        <v>13</v>
      </c>
      <c r="D2838">
        <v>104</v>
      </c>
      <c r="E2838" t="s">
        <v>8</v>
      </c>
      <c r="F2838" t="s">
        <v>13</v>
      </c>
      <c r="G2838" t="s">
        <v>10</v>
      </c>
      <c r="H2838">
        <v>0</v>
      </c>
    </row>
    <row r="2839" spans="1:8" x14ac:dyDescent="0.35">
      <c r="A2839">
        <v>11118</v>
      </c>
      <c r="B2839" t="s">
        <v>7</v>
      </c>
      <c r="C2839">
        <v>12</v>
      </c>
      <c r="D2839">
        <v>86</v>
      </c>
      <c r="E2839" t="s">
        <v>8</v>
      </c>
      <c r="F2839" t="s">
        <v>9</v>
      </c>
      <c r="G2839" t="s">
        <v>12</v>
      </c>
      <c r="H2839">
        <v>0</v>
      </c>
    </row>
    <row r="2840" spans="1:8" x14ac:dyDescent="0.35">
      <c r="A2840">
        <v>11371</v>
      </c>
      <c r="B2840" t="s">
        <v>11</v>
      </c>
      <c r="C2840">
        <v>14</v>
      </c>
      <c r="D2840">
        <v>446</v>
      </c>
      <c r="E2840" t="s">
        <v>8</v>
      </c>
      <c r="F2840" t="s">
        <v>13</v>
      </c>
      <c r="G2840" t="s">
        <v>10</v>
      </c>
      <c r="H2840">
        <v>0</v>
      </c>
    </row>
    <row r="2841" spans="1:8" x14ac:dyDescent="0.35">
      <c r="A2841">
        <v>13365</v>
      </c>
      <c r="B2841" t="s">
        <v>7</v>
      </c>
      <c r="C2841">
        <v>4</v>
      </c>
      <c r="D2841">
        <v>55</v>
      </c>
      <c r="E2841" t="s">
        <v>8</v>
      </c>
      <c r="F2841" t="s">
        <v>9</v>
      </c>
      <c r="G2841" t="s">
        <v>12</v>
      </c>
      <c r="H2841">
        <v>0</v>
      </c>
    </row>
    <row r="2842" spans="1:8" x14ac:dyDescent="0.35">
      <c r="A2842">
        <v>19410</v>
      </c>
      <c r="B2842" t="s">
        <v>7</v>
      </c>
      <c r="C2842">
        <v>2</v>
      </c>
      <c r="D2842">
        <v>162</v>
      </c>
      <c r="E2842" t="s">
        <v>8</v>
      </c>
      <c r="F2842" t="s">
        <v>13</v>
      </c>
      <c r="G2842" t="s">
        <v>14</v>
      </c>
      <c r="H2842">
        <v>0</v>
      </c>
    </row>
    <row r="2843" spans="1:8" x14ac:dyDescent="0.35">
      <c r="A2843">
        <v>15873</v>
      </c>
      <c r="B2843" t="s">
        <v>7</v>
      </c>
      <c r="C2843">
        <v>3</v>
      </c>
      <c r="D2843">
        <v>378</v>
      </c>
      <c r="E2843" t="s">
        <v>15</v>
      </c>
      <c r="F2843" t="s">
        <v>9</v>
      </c>
      <c r="G2843" t="s">
        <v>10</v>
      </c>
      <c r="H2843">
        <v>1</v>
      </c>
    </row>
    <row r="2844" spans="1:8" x14ac:dyDescent="0.35">
      <c r="A2844">
        <v>10302</v>
      </c>
      <c r="B2844" t="s">
        <v>7</v>
      </c>
      <c r="C2844">
        <v>9</v>
      </c>
      <c r="D2844">
        <v>363</v>
      </c>
      <c r="E2844" t="s">
        <v>8</v>
      </c>
      <c r="F2844" t="s">
        <v>13</v>
      </c>
      <c r="G2844" t="s">
        <v>10</v>
      </c>
      <c r="H2844">
        <v>0</v>
      </c>
    </row>
    <row r="2845" spans="1:8" x14ac:dyDescent="0.35">
      <c r="A2845">
        <v>18755</v>
      </c>
      <c r="B2845" t="s">
        <v>11</v>
      </c>
      <c r="C2845">
        <v>2</v>
      </c>
      <c r="D2845">
        <v>217</v>
      </c>
      <c r="E2845" t="s">
        <v>8</v>
      </c>
      <c r="F2845" t="s">
        <v>9</v>
      </c>
      <c r="G2845" t="s">
        <v>10</v>
      </c>
      <c r="H2845">
        <v>0</v>
      </c>
    </row>
    <row r="2846" spans="1:8" x14ac:dyDescent="0.35">
      <c r="A2846">
        <v>13085</v>
      </c>
      <c r="B2846" t="s">
        <v>11</v>
      </c>
      <c r="C2846">
        <v>13</v>
      </c>
      <c r="D2846">
        <v>350</v>
      </c>
      <c r="E2846" t="s">
        <v>8</v>
      </c>
      <c r="F2846" t="s">
        <v>13</v>
      </c>
      <c r="G2846" t="s">
        <v>14</v>
      </c>
      <c r="H2846">
        <v>0</v>
      </c>
    </row>
    <row r="2847" spans="1:8" x14ac:dyDescent="0.35">
      <c r="A2847">
        <v>10396</v>
      </c>
      <c r="B2847" t="s">
        <v>11</v>
      </c>
      <c r="C2847">
        <v>6</v>
      </c>
      <c r="D2847">
        <v>341</v>
      </c>
      <c r="E2847" t="s">
        <v>8</v>
      </c>
      <c r="F2847" t="s">
        <v>9</v>
      </c>
      <c r="G2847" t="s">
        <v>10</v>
      </c>
      <c r="H2847">
        <v>0</v>
      </c>
    </row>
    <row r="2848" spans="1:8" x14ac:dyDescent="0.35">
      <c r="A2848">
        <v>10151</v>
      </c>
      <c r="B2848" t="s">
        <v>7</v>
      </c>
      <c r="C2848">
        <v>3</v>
      </c>
      <c r="D2848">
        <v>281</v>
      </c>
      <c r="E2848" t="s">
        <v>8</v>
      </c>
      <c r="F2848" t="s">
        <v>13</v>
      </c>
      <c r="G2848" t="s">
        <v>12</v>
      </c>
      <c r="H2848">
        <v>0</v>
      </c>
    </row>
    <row r="2849" spans="1:8" x14ac:dyDescent="0.35">
      <c r="A2849">
        <v>13946</v>
      </c>
      <c r="B2849" t="s">
        <v>11</v>
      </c>
      <c r="C2849">
        <v>6</v>
      </c>
      <c r="D2849">
        <v>401</v>
      </c>
      <c r="E2849" t="s">
        <v>8</v>
      </c>
      <c r="F2849" t="s">
        <v>9</v>
      </c>
      <c r="G2849" t="s">
        <v>10</v>
      </c>
      <c r="H2849">
        <v>0</v>
      </c>
    </row>
    <row r="2850" spans="1:8" x14ac:dyDescent="0.35">
      <c r="A2850">
        <v>10131</v>
      </c>
      <c r="B2850" t="s">
        <v>11</v>
      </c>
      <c r="C2850">
        <v>14</v>
      </c>
      <c r="D2850">
        <v>125</v>
      </c>
      <c r="E2850" t="s">
        <v>8</v>
      </c>
      <c r="F2850" t="s">
        <v>13</v>
      </c>
      <c r="G2850" t="s">
        <v>16</v>
      </c>
      <c r="H2850">
        <v>0</v>
      </c>
    </row>
    <row r="2851" spans="1:8" x14ac:dyDescent="0.35">
      <c r="A2851">
        <v>18009</v>
      </c>
      <c r="B2851" t="s">
        <v>11</v>
      </c>
      <c r="C2851">
        <v>5</v>
      </c>
      <c r="D2851">
        <v>63</v>
      </c>
      <c r="E2851" t="s">
        <v>8</v>
      </c>
      <c r="F2851" t="s">
        <v>9</v>
      </c>
      <c r="G2851" t="s">
        <v>12</v>
      </c>
      <c r="H2851">
        <v>0</v>
      </c>
    </row>
    <row r="2852" spans="1:8" x14ac:dyDescent="0.35">
      <c r="A2852">
        <v>16282</v>
      </c>
      <c r="B2852" t="s">
        <v>11</v>
      </c>
      <c r="C2852">
        <v>4</v>
      </c>
      <c r="D2852">
        <v>79</v>
      </c>
      <c r="E2852" t="s">
        <v>8</v>
      </c>
      <c r="F2852" t="s">
        <v>9</v>
      </c>
      <c r="G2852" t="s">
        <v>10</v>
      </c>
      <c r="H2852">
        <v>0</v>
      </c>
    </row>
    <row r="2853" spans="1:8" x14ac:dyDescent="0.35">
      <c r="A2853">
        <v>16025</v>
      </c>
      <c r="B2853" t="s">
        <v>11</v>
      </c>
      <c r="C2853">
        <v>3</v>
      </c>
      <c r="D2853">
        <v>103</v>
      </c>
      <c r="E2853" t="s">
        <v>8</v>
      </c>
      <c r="F2853" t="s">
        <v>13</v>
      </c>
      <c r="G2853" t="s">
        <v>14</v>
      </c>
      <c r="H2853">
        <v>0</v>
      </c>
    </row>
    <row r="2854" spans="1:8" x14ac:dyDescent="0.35">
      <c r="A2854">
        <v>17325</v>
      </c>
      <c r="B2854" t="s">
        <v>7</v>
      </c>
      <c r="C2854">
        <v>13</v>
      </c>
      <c r="D2854">
        <v>83</v>
      </c>
      <c r="E2854" t="s">
        <v>15</v>
      </c>
      <c r="F2854" t="s">
        <v>9</v>
      </c>
      <c r="G2854" t="s">
        <v>14</v>
      </c>
      <c r="H2854">
        <v>1</v>
      </c>
    </row>
    <row r="2855" spans="1:8" x14ac:dyDescent="0.35">
      <c r="A2855">
        <v>19055</v>
      </c>
      <c r="B2855" t="s">
        <v>7</v>
      </c>
      <c r="C2855">
        <v>12</v>
      </c>
      <c r="D2855">
        <v>359</v>
      </c>
      <c r="E2855" t="s">
        <v>8</v>
      </c>
      <c r="F2855" t="s">
        <v>9</v>
      </c>
      <c r="G2855" t="s">
        <v>16</v>
      </c>
      <c r="H2855">
        <v>0</v>
      </c>
    </row>
    <row r="2856" spans="1:8" x14ac:dyDescent="0.35">
      <c r="A2856">
        <v>19435</v>
      </c>
      <c r="B2856" t="s">
        <v>11</v>
      </c>
      <c r="C2856">
        <v>8</v>
      </c>
      <c r="D2856">
        <v>49</v>
      </c>
      <c r="E2856" t="s">
        <v>8</v>
      </c>
      <c r="F2856" t="s">
        <v>9</v>
      </c>
      <c r="G2856" t="s">
        <v>12</v>
      </c>
      <c r="H2856">
        <v>0</v>
      </c>
    </row>
    <row r="2857" spans="1:8" x14ac:dyDescent="0.35">
      <c r="A2857">
        <v>14773</v>
      </c>
      <c r="B2857" t="s">
        <v>7</v>
      </c>
      <c r="C2857">
        <v>7</v>
      </c>
      <c r="D2857">
        <v>332</v>
      </c>
      <c r="E2857" t="s">
        <v>8</v>
      </c>
      <c r="F2857" t="s">
        <v>13</v>
      </c>
      <c r="G2857" t="s">
        <v>10</v>
      </c>
      <c r="H2857">
        <v>0</v>
      </c>
    </row>
    <row r="2858" spans="1:8" x14ac:dyDescent="0.35">
      <c r="A2858">
        <v>11234</v>
      </c>
      <c r="B2858" t="s">
        <v>11</v>
      </c>
      <c r="C2858">
        <v>7</v>
      </c>
      <c r="D2858">
        <v>75</v>
      </c>
      <c r="E2858" t="s">
        <v>8</v>
      </c>
      <c r="F2858" t="s">
        <v>9</v>
      </c>
      <c r="G2858" t="s">
        <v>16</v>
      </c>
      <c r="H2858">
        <v>0</v>
      </c>
    </row>
    <row r="2859" spans="1:8" x14ac:dyDescent="0.35">
      <c r="A2859">
        <v>18322</v>
      </c>
      <c r="B2859" t="s">
        <v>7</v>
      </c>
      <c r="C2859">
        <v>14</v>
      </c>
      <c r="D2859">
        <v>171</v>
      </c>
      <c r="E2859" t="s">
        <v>8</v>
      </c>
      <c r="F2859" t="s">
        <v>13</v>
      </c>
      <c r="G2859" t="s">
        <v>16</v>
      </c>
      <c r="H2859">
        <v>0</v>
      </c>
    </row>
    <row r="2860" spans="1:8" x14ac:dyDescent="0.35">
      <c r="A2860">
        <v>13499</v>
      </c>
      <c r="B2860" t="s">
        <v>7</v>
      </c>
      <c r="C2860">
        <v>7</v>
      </c>
      <c r="D2860">
        <v>91</v>
      </c>
      <c r="E2860" t="s">
        <v>8</v>
      </c>
      <c r="F2860" t="s">
        <v>13</v>
      </c>
      <c r="G2860" t="s">
        <v>14</v>
      </c>
      <c r="H2860">
        <v>0</v>
      </c>
    </row>
    <row r="2861" spans="1:8" x14ac:dyDescent="0.35">
      <c r="A2861">
        <v>18087</v>
      </c>
      <c r="B2861" t="s">
        <v>7</v>
      </c>
      <c r="C2861">
        <v>10</v>
      </c>
      <c r="D2861">
        <v>54</v>
      </c>
      <c r="E2861" t="s">
        <v>8</v>
      </c>
      <c r="F2861" t="s">
        <v>9</v>
      </c>
      <c r="G2861" t="s">
        <v>12</v>
      </c>
      <c r="H2861">
        <v>0</v>
      </c>
    </row>
    <row r="2862" spans="1:8" x14ac:dyDescent="0.35">
      <c r="A2862">
        <v>14997</v>
      </c>
      <c r="B2862" t="s">
        <v>11</v>
      </c>
      <c r="C2862">
        <v>5</v>
      </c>
      <c r="D2862">
        <v>372</v>
      </c>
      <c r="E2862" t="s">
        <v>8</v>
      </c>
      <c r="F2862" t="s">
        <v>9</v>
      </c>
      <c r="G2862" t="s">
        <v>10</v>
      </c>
      <c r="H2862">
        <v>0</v>
      </c>
    </row>
    <row r="2863" spans="1:8" x14ac:dyDescent="0.35">
      <c r="A2863">
        <v>10373</v>
      </c>
      <c r="B2863" t="s">
        <v>11</v>
      </c>
      <c r="C2863">
        <v>12</v>
      </c>
      <c r="D2863">
        <v>158</v>
      </c>
      <c r="E2863" t="s">
        <v>8</v>
      </c>
      <c r="F2863" t="s">
        <v>9</v>
      </c>
      <c r="G2863" t="s">
        <v>10</v>
      </c>
      <c r="H2863">
        <v>0</v>
      </c>
    </row>
    <row r="2864" spans="1:8" x14ac:dyDescent="0.35">
      <c r="A2864">
        <v>11654</v>
      </c>
      <c r="B2864" t="s">
        <v>7</v>
      </c>
      <c r="C2864">
        <v>6</v>
      </c>
      <c r="D2864">
        <v>281</v>
      </c>
      <c r="E2864" t="s">
        <v>15</v>
      </c>
      <c r="F2864" t="s">
        <v>9</v>
      </c>
      <c r="G2864" t="s">
        <v>14</v>
      </c>
      <c r="H2864">
        <v>1</v>
      </c>
    </row>
    <row r="2865" spans="1:8" x14ac:dyDescent="0.35">
      <c r="A2865">
        <v>18922</v>
      </c>
      <c r="B2865" t="s">
        <v>7</v>
      </c>
      <c r="C2865">
        <v>2</v>
      </c>
      <c r="D2865">
        <v>440</v>
      </c>
      <c r="E2865" t="s">
        <v>8</v>
      </c>
      <c r="F2865" t="s">
        <v>13</v>
      </c>
      <c r="G2865" t="s">
        <v>10</v>
      </c>
      <c r="H2865">
        <v>0</v>
      </c>
    </row>
    <row r="2866" spans="1:8" x14ac:dyDescent="0.35">
      <c r="A2866">
        <v>16624</v>
      </c>
      <c r="B2866" t="s">
        <v>11</v>
      </c>
      <c r="C2866">
        <v>13</v>
      </c>
      <c r="D2866">
        <v>227</v>
      </c>
      <c r="E2866" t="s">
        <v>8</v>
      </c>
      <c r="F2866" t="s">
        <v>9</v>
      </c>
      <c r="G2866" t="s">
        <v>14</v>
      </c>
      <c r="H2866">
        <v>0</v>
      </c>
    </row>
    <row r="2867" spans="1:8" x14ac:dyDescent="0.35">
      <c r="A2867">
        <v>13130</v>
      </c>
      <c r="B2867" t="s">
        <v>7</v>
      </c>
      <c r="C2867">
        <v>6</v>
      </c>
      <c r="D2867">
        <v>108</v>
      </c>
      <c r="E2867" t="s">
        <v>8</v>
      </c>
      <c r="F2867" t="s">
        <v>13</v>
      </c>
      <c r="G2867" t="s">
        <v>14</v>
      </c>
      <c r="H2867">
        <v>0</v>
      </c>
    </row>
    <row r="2868" spans="1:8" x14ac:dyDescent="0.35">
      <c r="A2868">
        <v>14700</v>
      </c>
      <c r="B2868" t="s">
        <v>7</v>
      </c>
      <c r="C2868">
        <v>13</v>
      </c>
      <c r="D2868">
        <v>285</v>
      </c>
      <c r="E2868" t="s">
        <v>8</v>
      </c>
      <c r="F2868" t="s">
        <v>13</v>
      </c>
      <c r="G2868" t="s">
        <v>16</v>
      </c>
      <c r="H2868">
        <v>0</v>
      </c>
    </row>
    <row r="2869" spans="1:8" x14ac:dyDescent="0.35">
      <c r="A2869">
        <v>12086</v>
      </c>
      <c r="B2869" t="s">
        <v>11</v>
      </c>
      <c r="C2869">
        <v>10</v>
      </c>
      <c r="D2869">
        <v>417</v>
      </c>
      <c r="E2869" t="s">
        <v>8</v>
      </c>
      <c r="F2869" t="s">
        <v>13</v>
      </c>
      <c r="G2869" t="s">
        <v>12</v>
      </c>
      <c r="H2869">
        <v>0</v>
      </c>
    </row>
    <row r="2870" spans="1:8" x14ac:dyDescent="0.35">
      <c r="A2870">
        <v>14423</v>
      </c>
      <c r="B2870" t="s">
        <v>7</v>
      </c>
      <c r="C2870">
        <v>12</v>
      </c>
      <c r="D2870">
        <v>314</v>
      </c>
      <c r="E2870" t="s">
        <v>8</v>
      </c>
      <c r="F2870" t="s">
        <v>9</v>
      </c>
      <c r="G2870" t="s">
        <v>10</v>
      </c>
      <c r="H2870">
        <v>0</v>
      </c>
    </row>
    <row r="2871" spans="1:8" x14ac:dyDescent="0.35">
      <c r="A2871">
        <v>10576</v>
      </c>
      <c r="B2871" t="s">
        <v>7</v>
      </c>
      <c r="C2871">
        <v>6</v>
      </c>
      <c r="D2871">
        <v>165</v>
      </c>
      <c r="E2871" t="s">
        <v>8</v>
      </c>
      <c r="F2871" t="s">
        <v>13</v>
      </c>
      <c r="G2871" t="s">
        <v>16</v>
      </c>
      <c r="H2871">
        <v>0</v>
      </c>
    </row>
    <row r="2872" spans="1:8" x14ac:dyDescent="0.35">
      <c r="A2872">
        <v>18909</v>
      </c>
      <c r="B2872" t="s">
        <v>11</v>
      </c>
      <c r="C2872">
        <v>1</v>
      </c>
      <c r="D2872">
        <v>113</v>
      </c>
      <c r="E2872" t="s">
        <v>15</v>
      </c>
      <c r="F2872" t="s">
        <v>13</v>
      </c>
      <c r="G2872" t="s">
        <v>10</v>
      </c>
      <c r="H2872">
        <v>1</v>
      </c>
    </row>
    <row r="2873" spans="1:8" x14ac:dyDescent="0.35">
      <c r="A2873">
        <v>11875</v>
      </c>
      <c r="B2873" t="s">
        <v>7</v>
      </c>
      <c r="C2873">
        <v>10</v>
      </c>
      <c r="D2873">
        <v>418</v>
      </c>
      <c r="E2873" t="s">
        <v>8</v>
      </c>
      <c r="F2873" t="s">
        <v>9</v>
      </c>
      <c r="G2873" t="s">
        <v>12</v>
      </c>
      <c r="H2873">
        <v>0</v>
      </c>
    </row>
    <row r="2874" spans="1:8" x14ac:dyDescent="0.35">
      <c r="A2874">
        <v>17984</v>
      </c>
      <c r="B2874" t="s">
        <v>7</v>
      </c>
      <c r="C2874">
        <v>1</v>
      </c>
      <c r="D2874">
        <v>413</v>
      </c>
      <c r="E2874" t="s">
        <v>8</v>
      </c>
      <c r="F2874" t="s">
        <v>9</v>
      </c>
      <c r="G2874" t="s">
        <v>16</v>
      </c>
      <c r="H2874">
        <v>0</v>
      </c>
    </row>
    <row r="2875" spans="1:8" x14ac:dyDescent="0.35">
      <c r="A2875">
        <v>15967</v>
      </c>
      <c r="B2875" t="s">
        <v>11</v>
      </c>
      <c r="C2875">
        <v>2</v>
      </c>
      <c r="D2875">
        <v>84</v>
      </c>
      <c r="E2875" t="s">
        <v>8</v>
      </c>
      <c r="F2875" t="s">
        <v>13</v>
      </c>
      <c r="G2875" t="s">
        <v>10</v>
      </c>
      <c r="H2875">
        <v>0</v>
      </c>
    </row>
    <row r="2876" spans="1:8" x14ac:dyDescent="0.35">
      <c r="A2876">
        <v>16675</v>
      </c>
      <c r="B2876" t="s">
        <v>7</v>
      </c>
      <c r="C2876">
        <v>3</v>
      </c>
      <c r="D2876">
        <v>68</v>
      </c>
      <c r="E2876" t="s">
        <v>8</v>
      </c>
      <c r="F2876" t="s">
        <v>9</v>
      </c>
      <c r="G2876" t="s">
        <v>10</v>
      </c>
      <c r="H2876">
        <v>0</v>
      </c>
    </row>
    <row r="2877" spans="1:8" x14ac:dyDescent="0.35">
      <c r="A2877">
        <v>14181</v>
      </c>
      <c r="B2877" t="s">
        <v>11</v>
      </c>
      <c r="C2877">
        <v>1</v>
      </c>
      <c r="D2877">
        <v>329</v>
      </c>
      <c r="E2877" t="s">
        <v>8</v>
      </c>
      <c r="F2877" t="s">
        <v>9</v>
      </c>
      <c r="G2877" t="s">
        <v>14</v>
      </c>
      <c r="H2877">
        <v>0</v>
      </c>
    </row>
    <row r="2878" spans="1:8" x14ac:dyDescent="0.35">
      <c r="A2878">
        <v>17542</v>
      </c>
      <c r="B2878" t="s">
        <v>7</v>
      </c>
      <c r="C2878">
        <v>11</v>
      </c>
      <c r="D2878">
        <v>446</v>
      </c>
      <c r="E2878" t="s">
        <v>15</v>
      </c>
      <c r="F2878" t="s">
        <v>9</v>
      </c>
      <c r="G2878" t="s">
        <v>12</v>
      </c>
      <c r="H2878">
        <v>1</v>
      </c>
    </row>
    <row r="2879" spans="1:8" x14ac:dyDescent="0.35">
      <c r="A2879">
        <v>15160</v>
      </c>
      <c r="B2879" t="s">
        <v>11</v>
      </c>
      <c r="C2879">
        <v>11</v>
      </c>
      <c r="D2879">
        <v>257</v>
      </c>
      <c r="E2879" t="s">
        <v>15</v>
      </c>
      <c r="F2879" t="s">
        <v>13</v>
      </c>
      <c r="G2879" t="s">
        <v>14</v>
      </c>
      <c r="H2879">
        <v>1</v>
      </c>
    </row>
    <row r="2880" spans="1:8" x14ac:dyDescent="0.35">
      <c r="A2880">
        <v>18455</v>
      </c>
      <c r="B2880" t="s">
        <v>7</v>
      </c>
      <c r="C2880">
        <v>4</v>
      </c>
      <c r="D2880">
        <v>132</v>
      </c>
      <c r="E2880" t="s">
        <v>8</v>
      </c>
      <c r="F2880" t="s">
        <v>9</v>
      </c>
      <c r="G2880" t="s">
        <v>10</v>
      </c>
      <c r="H2880">
        <v>0</v>
      </c>
    </row>
    <row r="2881" spans="1:8" x14ac:dyDescent="0.35">
      <c r="A2881">
        <v>13729</v>
      </c>
      <c r="B2881" t="s">
        <v>11</v>
      </c>
      <c r="C2881">
        <v>11</v>
      </c>
      <c r="D2881">
        <v>449</v>
      </c>
      <c r="E2881" t="s">
        <v>8</v>
      </c>
      <c r="F2881" t="s">
        <v>13</v>
      </c>
      <c r="G2881" t="s">
        <v>14</v>
      </c>
      <c r="H2881">
        <v>0</v>
      </c>
    </row>
    <row r="2882" spans="1:8" x14ac:dyDescent="0.35">
      <c r="A2882">
        <v>19960</v>
      </c>
      <c r="B2882" t="s">
        <v>11</v>
      </c>
      <c r="C2882">
        <v>5</v>
      </c>
      <c r="D2882">
        <v>333</v>
      </c>
      <c r="E2882" t="s">
        <v>8</v>
      </c>
      <c r="F2882" t="s">
        <v>9</v>
      </c>
      <c r="G2882" t="s">
        <v>12</v>
      </c>
      <c r="H2882">
        <v>0</v>
      </c>
    </row>
    <row r="2883" spans="1:8" x14ac:dyDescent="0.35">
      <c r="A2883">
        <v>14422</v>
      </c>
      <c r="B2883" t="s">
        <v>11</v>
      </c>
      <c r="C2883">
        <v>11</v>
      </c>
      <c r="D2883">
        <v>75</v>
      </c>
      <c r="E2883" t="s">
        <v>8</v>
      </c>
      <c r="F2883" t="s">
        <v>9</v>
      </c>
      <c r="G2883" t="s">
        <v>10</v>
      </c>
      <c r="H2883">
        <v>0</v>
      </c>
    </row>
    <row r="2884" spans="1:8" x14ac:dyDescent="0.35">
      <c r="A2884">
        <v>17593</v>
      </c>
      <c r="B2884" t="s">
        <v>7</v>
      </c>
      <c r="C2884">
        <v>14</v>
      </c>
      <c r="D2884">
        <v>102</v>
      </c>
      <c r="E2884" t="s">
        <v>8</v>
      </c>
      <c r="F2884" t="s">
        <v>9</v>
      </c>
      <c r="G2884" t="s">
        <v>16</v>
      </c>
      <c r="H2884">
        <v>0</v>
      </c>
    </row>
    <row r="2885" spans="1:8" x14ac:dyDescent="0.35">
      <c r="A2885">
        <v>18571</v>
      </c>
      <c r="B2885" t="s">
        <v>11</v>
      </c>
      <c r="C2885">
        <v>2</v>
      </c>
      <c r="D2885">
        <v>67</v>
      </c>
      <c r="E2885" t="s">
        <v>8</v>
      </c>
      <c r="F2885" t="s">
        <v>9</v>
      </c>
      <c r="G2885" t="s">
        <v>12</v>
      </c>
      <c r="H2885">
        <v>0</v>
      </c>
    </row>
    <row r="2886" spans="1:8" x14ac:dyDescent="0.35">
      <c r="A2886">
        <v>12609</v>
      </c>
      <c r="B2886" t="s">
        <v>7</v>
      </c>
      <c r="C2886">
        <v>1</v>
      </c>
      <c r="D2886">
        <v>405</v>
      </c>
      <c r="E2886" t="s">
        <v>8</v>
      </c>
      <c r="F2886" t="s">
        <v>9</v>
      </c>
      <c r="G2886" t="s">
        <v>10</v>
      </c>
      <c r="H2886">
        <v>0</v>
      </c>
    </row>
    <row r="2887" spans="1:8" x14ac:dyDescent="0.35">
      <c r="A2887">
        <v>19646</v>
      </c>
      <c r="B2887" t="s">
        <v>7</v>
      </c>
      <c r="C2887">
        <v>12</v>
      </c>
      <c r="D2887">
        <v>206</v>
      </c>
      <c r="E2887" t="s">
        <v>8</v>
      </c>
      <c r="F2887" t="s">
        <v>9</v>
      </c>
      <c r="G2887" t="s">
        <v>12</v>
      </c>
      <c r="H2887">
        <v>0</v>
      </c>
    </row>
    <row r="2888" spans="1:8" x14ac:dyDescent="0.35">
      <c r="A2888">
        <v>19322</v>
      </c>
      <c r="B2888" t="s">
        <v>7</v>
      </c>
      <c r="C2888">
        <v>5</v>
      </c>
      <c r="D2888">
        <v>77</v>
      </c>
      <c r="E2888" t="s">
        <v>8</v>
      </c>
      <c r="F2888" t="s">
        <v>9</v>
      </c>
      <c r="G2888" t="s">
        <v>12</v>
      </c>
      <c r="H2888">
        <v>0</v>
      </c>
    </row>
    <row r="2889" spans="1:8" x14ac:dyDescent="0.35">
      <c r="A2889">
        <v>13901</v>
      </c>
      <c r="B2889" t="s">
        <v>11</v>
      </c>
      <c r="C2889">
        <v>13</v>
      </c>
      <c r="D2889">
        <v>137</v>
      </c>
      <c r="E2889" t="s">
        <v>8</v>
      </c>
      <c r="F2889" t="s">
        <v>13</v>
      </c>
      <c r="G2889" t="s">
        <v>14</v>
      </c>
      <c r="H2889">
        <v>0</v>
      </c>
    </row>
    <row r="2890" spans="1:8" x14ac:dyDescent="0.35">
      <c r="A2890">
        <v>13651</v>
      </c>
      <c r="B2890" t="s">
        <v>11</v>
      </c>
      <c r="C2890">
        <v>12</v>
      </c>
      <c r="D2890">
        <v>352</v>
      </c>
      <c r="E2890" t="s">
        <v>8</v>
      </c>
      <c r="F2890" t="s">
        <v>13</v>
      </c>
      <c r="G2890" t="s">
        <v>14</v>
      </c>
      <c r="H2890">
        <v>0</v>
      </c>
    </row>
    <row r="2891" spans="1:8" x14ac:dyDescent="0.35">
      <c r="A2891">
        <v>11407</v>
      </c>
      <c r="B2891" t="s">
        <v>11</v>
      </c>
      <c r="C2891">
        <v>3</v>
      </c>
      <c r="D2891">
        <v>421</v>
      </c>
      <c r="E2891" t="s">
        <v>8</v>
      </c>
      <c r="F2891" t="s">
        <v>9</v>
      </c>
      <c r="G2891" t="s">
        <v>12</v>
      </c>
      <c r="H2891">
        <v>0</v>
      </c>
    </row>
    <row r="2892" spans="1:8" x14ac:dyDescent="0.35">
      <c r="A2892">
        <v>18291</v>
      </c>
      <c r="B2892" t="s">
        <v>7</v>
      </c>
      <c r="C2892">
        <v>2</v>
      </c>
      <c r="D2892">
        <v>165</v>
      </c>
      <c r="E2892" t="s">
        <v>8</v>
      </c>
      <c r="F2892" t="s">
        <v>9</v>
      </c>
      <c r="G2892" t="s">
        <v>16</v>
      </c>
      <c r="H2892">
        <v>0</v>
      </c>
    </row>
    <row r="2893" spans="1:8" x14ac:dyDescent="0.35">
      <c r="A2893">
        <v>15361</v>
      </c>
      <c r="B2893" t="s">
        <v>11</v>
      </c>
      <c r="C2893">
        <v>14</v>
      </c>
      <c r="D2893">
        <v>441</v>
      </c>
      <c r="E2893" t="s">
        <v>8</v>
      </c>
      <c r="F2893" t="s">
        <v>13</v>
      </c>
      <c r="G2893" t="s">
        <v>12</v>
      </c>
      <c r="H2893">
        <v>0</v>
      </c>
    </row>
    <row r="2894" spans="1:8" x14ac:dyDescent="0.35">
      <c r="A2894">
        <v>13306</v>
      </c>
      <c r="B2894" t="s">
        <v>11</v>
      </c>
      <c r="C2894">
        <v>14</v>
      </c>
      <c r="D2894">
        <v>448</v>
      </c>
      <c r="E2894" t="s">
        <v>8</v>
      </c>
      <c r="F2894" t="s">
        <v>13</v>
      </c>
      <c r="G2894" t="s">
        <v>10</v>
      </c>
      <c r="H2894">
        <v>0</v>
      </c>
    </row>
    <row r="2895" spans="1:8" x14ac:dyDescent="0.35">
      <c r="A2895">
        <v>15921</v>
      </c>
      <c r="B2895" t="s">
        <v>11</v>
      </c>
      <c r="C2895">
        <v>10</v>
      </c>
      <c r="D2895">
        <v>326</v>
      </c>
      <c r="E2895" t="s">
        <v>8</v>
      </c>
      <c r="F2895" t="s">
        <v>13</v>
      </c>
      <c r="G2895" t="s">
        <v>10</v>
      </c>
      <c r="H2895">
        <v>0</v>
      </c>
    </row>
    <row r="2896" spans="1:8" x14ac:dyDescent="0.35">
      <c r="A2896">
        <v>17110</v>
      </c>
      <c r="B2896" t="s">
        <v>7</v>
      </c>
      <c r="C2896">
        <v>12</v>
      </c>
      <c r="D2896">
        <v>419</v>
      </c>
      <c r="E2896" t="s">
        <v>8</v>
      </c>
      <c r="F2896" t="s">
        <v>13</v>
      </c>
      <c r="G2896" t="s">
        <v>12</v>
      </c>
      <c r="H2896">
        <v>0</v>
      </c>
    </row>
    <row r="2897" spans="1:8" x14ac:dyDescent="0.35">
      <c r="A2897">
        <v>17978</v>
      </c>
      <c r="B2897" t="s">
        <v>7</v>
      </c>
      <c r="C2897">
        <v>1</v>
      </c>
      <c r="D2897">
        <v>229</v>
      </c>
      <c r="E2897" t="s">
        <v>8</v>
      </c>
      <c r="F2897" t="s">
        <v>13</v>
      </c>
      <c r="G2897" t="s">
        <v>12</v>
      </c>
      <c r="H2897">
        <v>0</v>
      </c>
    </row>
    <row r="2898" spans="1:8" x14ac:dyDescent="0.35">
      <c r="A2898">
        <v>11393</v>
      </c>
      <c r="B2898" t="s">
        <v>7</v>
      </c>
      <c r="C2898">
        <v>8</v>
      </c>
      <c r="D2898">
        <v>171</v>
      </c>
      <c r="E2898" t="s">
        <v>8</v>
      </c>
      <c r="F2898" t="s">
        <v>9</v>
      </c>
      <c r="G2898" t="s">
        <v>12</v>
      </c>
      <c r="H2898">
        <v>0</v>
      </c>
    </row>
    <row r="2899" spans="1:8" x14ac:dyDescent="0.35">
      <c r="A2899">
        <v>18491</v>
      </c>
      <c r="B2899" t="s">
        <v>11</v>
      </c>
      <c r="C2899">
        <v>1</v>
      </c>
      <c r="D2899">
        <v>310</v>
      </c>
      <c r="E2899" t="s">
        <v>8</v>
      </c>
      <c r="F2899" t="s">
        <v>9</v>
      </c>
      <c r="G2899" t="s">
        <v>10</v>
      </c>
      <c r="H2899">
        <v>0</v>
      </c>
    </row>
    <row r="2900" spans="1:8" x14ac:dyDescent="0.35">
      <c r="A2900">
        <v>14598</v>
      </c>
      <c r="B2900" t="s">
        <v>11</v>
      </c>
      <c r="C2900">
        <v>7</v>
      </c>
      <c r="D2900">
        <v>312</v>
      </c>
      <c r="E2900" t="s">
        <v>8</v>
      </c>
      <c r="F2900" t="s">
        <v>13</v>
      </c>
      <c r="G2900" t="s">
        <v>14</v>
      </c>
      <c r="H2900">
        <v>0</v>
      </c>
    </row>
    <row r="2901" spans="1:8" x14ac:dyDescent="0.35">
      <c r="A2901">
        <v>13254</v>
      </c>
      <c r="B2901" t="s">
        <v>11</v>
      </c>
      <c r="C2901">
        <v>3</v>
      </c>
      <c r="D2901">
        <v>351</v>
      </c>
      <c r="E2901" t="s">
        <v>8</v>
      </c>
      <c r="F2901" t="s">
        <v>13</v>
      </c>
      <c r="G2901" t="s">
        <v>16</v>
      </c>
      <c r="H2901">
        <v>0</v>
      </c>
    </row>
    <row r="2902" spans="1:8" x14ac:dyDescent="0.35">
      <c r="A2902">
        <v>14486</v>
      </c>
      <c r="B2902" t="s">
        <v>11</v>
      </c>
      <c r="C2902">
        <v>9</v>
      </c>
      <c r="D2902">
        <v>329</v>
      </c>
      <c r="E2902" t="s">
        <v>8</v>
      </c>
      <c r="F2902" t="s">
        <v>13</v>
      </c>
      <c r="G2902" t="s">
        <v>12</v>
      </c>
      <c r="H2902">
        <v>0</v>
      </c>
    </row>
    <row r="2903" spans="1:8" x14ac:dyDescent="0.35">
      <c r="A2903">
        <v>15682</v>
      </c>
      <c r="B2903" t="s">
        <v>7</v>
      </c>
      <c r="C2903">
        <v>11</v>
      </c>
      <c r="D2903">
        <v>189</v>
      </c>
      <c r="E2903" t="s">
        <v>8</v>
      </c>
      <c r="F2903" t="s">
        <v>13</v>
      </c>
      <c r="G2903" t="s">
        <v>12</v>
      </c>
      <c r="H2903">
        <v>0</v>
      </c>
    </row>
    <row r="2904" spans="1:8" x14ac:dyDescent="0.35">
      <c r="A2904">
        <v>14388</v>
      </c>
      <c r="B2904" t="s">
        <v>11</v>
      </c>
      <c r="C2904">
        <v>5</v>
      </c>
      <c r="D2904">
        <v>119</v>
      </c>
      <c r="E2904" t="s">
        <v>8</v>
      </c>
      <c r="F2904" t="s">
        <v>13</v>
      </c>
      <c r="G2904" t="s">
        <v>16</v>
      </c>
      <c r="H2904">
        <v>0</v>
      </c>
    </row>
    <row r="2905" spans="1:8" x14ac:dyDescent="0.35">
      <c r="A2905">
        <v>14297</v>
      </c>
      <c r="B2905" t="s">
        <v>11</v>
      </c>
      <c r="C2905">
        <v>7</v>
      </c>
      <c r="D2905">
        <v>158</v>
      </c>
      <c r="E2905" t="s">
        <v>8</v>
      </c>
      <c r="F2905" t="s">
        <v>9</v>
      </c>
      <c r="G2905" t="s">
        <v>10</v>
      </c>
      <c r="H2905">
        <v>0</v>
      </c>
    </row>
    <row r="2906" spans="1:8" x14ac:dyDescent="0.35">
      <c r="A2906">
        <v>19372</v>
      </c>
      <c r="B2906" t="s">
        <v>7</v>
      </c>
      <c r="C2906">
        <v>3</v>
      </c>
      <c r="D2906">
        <v>408</v>
      </c>
      <c r="E2906" t="s">
        <v>8</v>
      </c>
      <c r="F2906" t="s">
        <v>13</v>
      </c>
      <c r="G2906" t="s">
        <v>16</v>
      </c>
      <c r="H2906">
        <v>0</v>
      </c>
    </row>
    <row r="2907" spans="1:8" x14ac:dyDescent="0.35">
      <c r="A2907">
        <v>12631</v>
      </c>
      <c r="B2907" t="s">
        <v>7</v>
      </c>
      <c r="C2907">
        <v>4</v>
      </c>
      <c r="D2907">
        <v>411</v>
      </c>
      <c r="E2907" t="s">
        <v>8</v>
      </c>
      <c r="F2907" t="s">
        <v>9</v>
      </c>
      <c r="G2907" t="s">
        <v>14</v>
      </c>
      <c r="H2907">
        <v>0</v>
      </c>
    </row>
    <row r="2908" spans="1:8" x14ac:dyDescent="0.35">
      <c r="A2908">
        <v>11493</v>
      </c>
      <c r="B2908" t="s">
        <v>11</v>
      </c>
      <c r="C2908">
        <v>8</v>
      </c>
      <c r="D2908">
        <v>195</v>
      </c>
      <c r="E2908" t="s">
        <v>8</v>
      </c>
      <c r="F2908" t="s">
        <v>9</v>
      </c>
      <c r="G2908" t="s">
        <v>14</v>
      </c>
      <c r="H2908">
        <v>0</v>
      </c>
    </row>
    <row r="2909" spans="1:8" x14ac:dyDescent="0.35">
      <c r="A2909">
        <v>13935</v>
      </c>
      <c r="B2909" t="s">
        <v>7</v>
      </c>
      <c r="C2909">
        <v>11</v>
      </c>
      <c r="D2909">
        <v>152</v>
      </c>
      <c r="E2909" t="s">
        <v>8</v>
      </c>
      <c r="F2909" t="s">
        <v>13</v>
      </c>
      <c r="G2909" t="s">
        <v>16</v>
      </c>
      <c r="H2909">
        <v>0</v>
      </c>
    </row>
    <row r="2910" spans="1:8" x14ac:dyDescent="0.35">
      <c r="A2910">
        <v>11341</v>
      </c>
      <c r="B2910" t="s">
        <v>7</v>
      </c>
      <c r="C2910">
        <v>8</v>
      </c>
      <c r="D2910">
        <v>308</v>
      </c>
      <c r="E2910" t="s">
        <v>15</v>
      </c>
      <c r="F2910" t="s">
        <v>13</v>
      </c>
      <c r="G2910" t="s">
        <v>14</v>
      </c>
      <c r="H2910">
        <v>1</v>
      </c>
    </row>
    <row r="2911" spans="1:8" x14ac:dyDescent="0.35">
      <c r="A2911">
        <v>17008</v>
      </c>
      <c r="B2911" t="s">
        <v>7</v>
      </c>
      <c r="C2911">
        <v>6</v>
      </c>
      <c r="D2911">
        <v>262</v>
      </c>
      <c r="E2911" t="s">
        <v>8</v>
      </c>
      <c r="F2911" t="s">
        <v>13</v>
      </c>
      <c r="G2911" t="s">
        <v>14</v>
      </c>
      <c r="H2911">
        <v>0</v>
      </c>
    </row>
    <row r="2912" spans="1:8" x14ac:dyDescent="0.35">
      <c r="A2912">
        <v>11788</v>
      </c>
      <c r="B2912" t="s">
        <v>7</v>
      </c>
      <c r="C2912">
        <v>8</v>
      </c>
      <c r="D2912">
        <v>91</v>
      </c>
      <c r="E2912" t="s">
        <v>8</v>
      </c>
      <c r="F2912" t="s">
        <v>9</v>
      </c>
      <c r="G2912" t="s">
        <v>10</v>
      </c>
      <c r="H2912">
        <v>0</v>
      </c>
    </row>
    <row r="2913" spans="1:8" x14ac:dyDescent="0.35">
      <c r="A2913">
        <v>18292</v>
      </c>
      <c r="B2913" t="s">
        <v>11</v>
      </c>
      <c r="C2913">
        <v>12</v>
      </c>
      <c r="D2913">
        <v>168</v>
      </c>
      <c r="E2913" t="s">
        <v>8</v>
      </c>
      <c r="F2913" t="s">
        <v>13</v>
      </c>
      <c r="G2913" t="s">
        <v>12</v>
      </c>
      <c r="H2913">
        <v>0</v>
      </c>
    </row>
    <row r="2914" spans="1:8" x14ac:dyDescent="0.35">
      <c r="A2914">
        <v>15668</v>
      </c>
      <c r="B2914" t="s">
        <v>7</v>
      </c>
      <c r="C2914">
        <v>5</v>
      </c>
      <c r="D2914">
        <v>209</v>
      </c>
      <c r="E2914" t="s">
        <v>8</v>
      </c>
      <c r="F2914" t="s">
        <v>13</v>
      </c>
      <c r="G2914" t="s">
        <v>12</v>
      </c>
      <c r="H2914">
        <v>0</v>
      </c>
    </row>
    <row r="2915" spans="1:8" x14ac:dyDescent="0.35">
      <c r="A2915">
        <v>18620</v>
      </c>
      <c r="B2915" t="s">
        <v>11</v>
      </c>
      <c r="C2915">
        <v>13</v>
      </c>
      <c r="D2915">
        <v>143</v>
      </c>
      <c r="E2915" t="s">
        <v>8</v>
      </c>
      <c r="F2915" t="s">
        <v>9</v>
      </c>
      <c r="G2915" t="s">
        <v>10</v>
      </c>
      <c r="H2915">
        <v>0</v>
      </c>
    </row>
    <row r="2916" spans="1:8" x14ac:dyDescent="0.35">
      <c r="A2916">
        <v>12319</v>
      </c>
      <c r="B2916" t="s">
        <v>7</v>
      </c>
      <c r="C2916">
        <v>5</v>
      </c>
      <c r="D2916">
        <v>54</v>
      </c>
      <c r="E2916" t="s">
        <v>8</v>
      </c>
      <c r="F2916" t="s">
        <v>13</v>
      </c>
      <c r="G2916" t="s">
        <v>14</v>
      </c>
      <c r="H2916">
        <v>0</v>
      </c>
    </row>
    <row r="2917" spans="1:8" x14ac:dyDescent="0.35">
      <c r="A2917">
        <v>18247</v>
      </c>
      <c r="B2917" t="s">
        <v>7</v>
      </c>
      <c r="C2917">
        <v>12</v>
      </c>
      <c r="D2917">
        <v>303</v>
      </c>
      <c r="E2917" t="s">
        <v>8</v>
      </c>
      <c r="F2917" t="s">
        <v>13</v>
      </c>
      <c r="G2917" t="s">
        <v>16</v>
      </c>
      <c r="H2917">
        <v>0</v>
      </c>
    </row>
    <row r="2918" spans="1:8" x14ac:dyDescent="0.35">
      <c r="A2918">
        <v>16327</v>
      </c>
      <c r="B2918" t="s">
        <v>11</v>
      </c>
      <c r="C2918">
        <v>14</v>
      </c>
      <c r="D2918">
        <v>55</v>
      </c>
      <c r="E2918" t="s">
        <v>8</v>
      </c>
      <c r="F2918" t="s">
        <v>13</v>
      </c>
      <c r="G2918" t="s">
        <v>14</v>
      </c>
      <c r="H2918">
        <v>0</v>
      </c>
    </row>
    <row r="2919" spans="1:8" x14ac:dyDescent="0.35">
      <c r="A2919">
        <v>15231</v>
      </c>
      <c r="B2919" t="s">
        <v>7</v>
      </c>
      <c r="C2919">
        <v>7</v>
      </c>
      <c r="D2919">
        <v>240</v>
      </c>
      <c r="E2919" t="s">
        <v>8</v>
      </c>
      <c r="F2919" t="s">
        <v>13</v>
      </c>
      <c r="G2919" t="s">
        <v>10</v>
      </c>
      <c r="H2919">
        <v>0</v>
      </c>
    </row>
    <row r="2920" spans="1:8" x14ac:dyDescent="0.35">
      <c r="A2920">
        <v>15547</v>
      </c>
      <c r="B2920" t="s">
        <v>7</v>
      </c>
      <c r="C2920">
        <v>5</v>
      </c>
      <c r="D2920">
        <v>434</v>
      </c>
      <c r="E2920" t="s">
        <v>8</v>
      </c>
      <c r="F2920" t="s">
        <v>9</v>
      </c>
      <c r="G2920" t="s">
        <v>16</v>
      </c>
      <c r="H2920">
        <v>0</v>
      </c>
    </row>
    <row r="2921" spans="1:8" x14ac:dyDescent="0.35">
      <c r="A2921">
        <v>17036</v>
      </c>
      <c r="B2921" t="s">
        <v>11</v>
      </c>
      <c r="C2921">
        <v>6</v>
      </c>
      <c r="D2921">
        <v>91</v>
      </c>
      <c r="E2921" t="s">
        <v>8</v>
      </c>
      <c r="F2921" t="s">
        <v>13</v>
      </c>
      <c r="G2921" t="s">
        <v>10</v>
      </c>
      <c r="H2921">
        <v>0</v>
      </c>
    </row>
    <row r="2922" spans="1:8" x14ac:dyDescent="0.35">
      <c r="A2922">
        <v>12230</v>
      </c>
      <c r="B2922" t="s">
        <v>11</v>
      </c>
      <c r="C2922">
        <v>2</v>
      </c>
      <c r="D2922">
        <v>200</v>
      </c>
      <c r="E2922" t="s">
        <v>8</v>
      </c>
      <c r="F2922" t="s">
        <v>9</v>
      </c>
      <c r="G2922" t="s">
        <v>16</v>
      </c>
      <c r="H2922">
        <v>0</v>
      </c>
    </row>
    <row r="2923" spans="1:8" x14ac:dyDescent="0.35">
      <c r="A2923">
        <v>16628</v>
      </c>
      <c r="B2923" t="s">
        <v>11</v>
      </c>
      <c r="C2923">
        <v>12</v>
      </c>
      <c r="D2923">
        <v>285</v>
      </c>
      <c r="E2923" t="s">
        <v>8</v>
      </c>
      <c r="F2923" t="s">
        <v>9</v>
      </c>
      <c r="G2923" t="s">
        <v>14</v>
      </c>
      <c r="H2923">
        <v>0</v>
      </c>
    </row>
    <row r="2924" spans="1:8" x14ac:dyDescent="0.35">
      <c r="A2924">
        <v>16215</v>
      </c>
      <c r="B2924" t="s">
        <v>7</v>
      </c>
      <c r="C2924">
        <v>2</v>
      </c>
      <c r="D2924">
        <v>78</v>
      </c>
      <c r="E2924" t="s">
        <v>8</v>
      </c>
      <c r="F2924" t="s">
        <v>9</v>
      </c>
      <c r="G2924" t="s">
        <v>14</v>
      </c>
      <c r="H2924">
        <v>0</v>
      </c>
    </row>
    <row r="2925" spans="1:8" x14ac:dyDescent="0.35">
      <c r="A2925">
        <v>17259</v>
      </c>
      <c r="B2925" t="s">
        <v>11</v>
      </c>
      <c r="C2925">
        <v>12</v>
      </c>
      <c r="D2925">
        <v>312</v>
      </c>
      <c r="E2925" t="s">
        <v>8</v>
      </c>
      <c r="F2925" t="s">
        <v>13</v>
      </c>
      <c r="G2925" t="s">
        <v>14</v>
      </c>
      <c r="H2925">
        <v>0</v>
      </c>
    </row>
    <row r="2926" spans="1:8" x14ac:dyDescent="0.35">
      <c r="A2926">
        <v>10110</v>
      </c>
      <c r="B2926" t="s">
        <v>7</v>
      </c>
      <c r="C2926">
        <v>7</v>
      </c>
      <c r="D2926">
        <v>197</v>
      </c>
      <c r="E2926" t="s">
        <v>8</v>
      </c>
      <c r="F2926" t="s">
        <v>9</v>
      </c>
      <c r="G2926" t="s">
        <v>10</v>
      </c>
      <c r="H2926">
        <v>0</v>
      </c>
    </row>
    <row r="2927" spans="1:8" x14ac:dyDescent="0.35">
      <c r="A2927">
        <v>17471</v>
      </c>
      <c r="B2927" t="s">
        <v>11</v>
      </c>
      <c r="C2927">
        <v>12</v>
      </c>
      <c r="D2927">
        <v>366</v>
      </c>
      <c r="E2927" t="s">
        <v>8</v>
      </c>
      <c r="F2927" t="s">
        <v>9</v>
      </c>
      <c r="G2927" t="s">
        <v>10</v>
      </c>
      <c r="H2927">
        <v>0</v>
      </c>
    </row>
    <row r="2928" spans="1:8" x14ac:dyDescent="0.35">
      <c r="A2928">
        <v>13443</v>
      </c>
      <c r="B2928" t="s">
        <v>11</v>
      </c>
      <c r="C2928">
        <v>7</v>
      </c>
      <c r="D2928">
        <v>273</v>
      </c>
      <c r="E2928" t="s">
        <v>8</v>
      </c>
      <c r="F2928" t="s">
        <v>13</v>
      </c>
      <c r="G2928" t="s">
        <v>12</v>
      </c>
      <c r="H2928">
        <v>0</v>
      </c>
    </row>
    <row r="2929" spans="1:8" x14ac:dyDescent="0.35">
      <c r="A2929">
        <v>10924</v>
      </c>
      <c r="B2929" t="s">
        <v>11</v>
      </c>
      <c r="C2929">
        <v>5</v>
      </c>
      <c r="D2929">
        <v>174</v>
      </c>
      <c r="E2929" t="s">
        <v>8</v>
      </c>
      <c r="F2929" t="s">
        <v>9</v>
      </c>
      <c r="G2929" t="s">
        <v>12</v>
      </c>
      <c r="H2929">
        <v>0</v>
      </c>
    </row>
    <row r="2930" spans="1:8" x14ac:dyDescent="0.35">
      <c r="A2930">
        <v>13896</v>
      </c>
      <c r="B2930" t="s">
        <v>11</v>
      </c>
      <c r="C2930">
        <v>9</v>
      </c>
      <c r="D2930">
        <v>371</v>
      </c>
      <c r="E2930" t="s">
        <v>8</v>
      </c>
      <c r="F2930" t="s">
        <v>9</v>
      </c>
      <c r="G2930" t="s">
        <v>10</v>
      </c>
      <c r="H2930">
        <v>0</v>
      </c>
    </row>
    <row r="2931" spans="1:8" x14ac:dyDescent="0.35">
      <c r="A2931">
        <v>15021</v>
      </c>
      <c r="B2931" t="s">
        <v>7</v>
      </c>
      <c r="C2931">
        <v>11</v>
      </c>
      <c r="D2931">
        <v>326</v>
      </c>
      <c r="E2931" t="s">
        <v>15</v>
      </c>
      <c r="F2931" t="s">
        <v>9</v>
      </c>
      <c r="G2931" t="s">
        <v>14</v>
      </c>
      <c r="H2931">
        <v>1</v>
      </c>
    </row>
    <row r="2932" spans="1:8" x14ac:dyDescent="0.35">
      <c r="A2932">
        <v>19713</v>
      </c>
      <c r="B2932" t="s">
        <v>7</v>
      </c>
      <c r="C2932">
        <v>9</v>
      </c>
      <c r="D2932">
        <v>123</v>
      </c>
      <c r="E2932" t="s">
        <v>8</v>
      </c>
      <c r="F2932" t="s">
        <v>9</v>
      </c>
      <c r="G2932" t="s">
        <v>12</v>
      </c>
      <c r="H2932">
        <v>0</v>
      </c>
    </row>
    <row r="2933" spans="1:8" x14ac:dyDescent="0.35">
      <c r="A2933">
        <v>19124</v>
      </c>
      <c r="B2933" t="s">
        <v>11</v>
      </c>
      <c r="C2933">
        <v>4</v>
      </c>
      <c r="D2933">
        <v>212</v>
      </c>
      <c r="E2933" t="s">
        <v>8</v>
      </c>
      <c r="F2933" t="s">
        <v>13</v>
      </c>
      <c r="G2933" t="s">
        <v>12</v>
      </c>
      <c r="H2933">
        <v>0</v>
      </c>
    </row>
    <row r="2934" spans="1:8" x14ac:dyDescent="0.35">
      <c r="A2934">
        <v>12255</v>
      </c>
      <c r="B2934" t="s">
        <v>11</v>
      </c>
      <c r="C2934">
        <v>7</v>
      </c>
      <c r="D2934">
        <v>382</v>
      </c>
      <c r="E2934" t="s">
        <v>8</v>
      </c>
      <c r="F2934" t="s">
        <v>13</v>
      </c>
      <c r="G2934" t="s">
        <v>14</v>
      </c>
      <c r="H2934">
        <v>0</v>
      </c>
    </row>
    <row r="2935" spans="1:8" x14ac:dyDescent="0.35">
      <c r="A2935">
        <v>12966</v>
      </c>
      <c r="B2935" t="s">
        <v>7</v>
      </c>
      <c r="C2935">
        <v>11</v>
      </c>
      <c r="D2935">
        <v>436</v>
      </c>
      <c r="E2935" t="s">
        <v>8</v>
      </c>
      <c r="F2935" t="s">
        <v>9</v>
      </c>
      <c r="G2935" t="s">
        <v>10</v>
      </c>
      <c r="H2935">
        <v>0</v>
      </c>
    </row>
    <row r="2936" spans="1:8" x14ac:dyDescent="0.35">
      <c r="A2936">
        <v>19786</v>
      </c>
      <c r="B2936" t="s">
        <v>11</v>
      </c>
      <c r="C2936">
        <v>1</v>
      </c>
      <c r="D2936">
        <v>177</v>
      </c>
      <c r="E2936" t="s">
        <v>8</v>
      </c>
      <c r="F2936" t="s">
        <v>9</v>
      </c>
      <c r="G2936" t="s">
        <v>12</v>
      </c>
      <c r="H2936">
        <v>0</v>
      </c>
    </row>
    <row r="2937" spans="1:8" x14ac:dyDescent="0.35">
      <c r="A2937">
        <v>12377</v>
      </c>
      <c r="B2937" t="s">
        <v>11</v>
      </c>
      <c r="C2937">
        <v>13</v>
      </c>
      <c r="D2937">
        <v>150</v>
      </c>
      <c r="E2937" t="s">
        <v>8</v>
      </c>
      <c r="F2937" t="s">
        <v>9</v>
      </c>
      <c r="G2937" t="s">
        <v>10</v>
      </c>
      <c r="H2937">
        <v>0</v>
      </c>
    </row>
    <row r="2938" spans="1:8" x14ac:dyDescent="0.35">
      <c r="A2938">
        <v>13252</v>
      </c>
      <c r="B2938" t="s">
        <v>11</v>
      </c>
      <c r="C2938">
        <v>11</v>
      </c>
      <c r="D2938">
        <v>157</v>
      </c>
      <c r="E2938" t="s">
        <v>8</v>
      </c>
      <c r="F2938" t="s">
        <v>13</v>
      </c>
      <c r="G2938" t="s">
        <v>16</v>
      </c>
      <c r="H2938">
        <v>0</v>
      </c>
    </row>
    <row r="2939" spans="1:8" x14ac:dyDescent="0.35">
      <c r="A2939">
        <v>11739</v>
      </c>
      <c r="B2939" t="s">
        <v>7</v>
      </c>
      <c r="C2939">
        <v>4</v>
      </c>
      <c r="D2939">
        <v>55</v>
      </c>
      <c r="E2939" t="s">
        <v>8</v>
      </c>
      <c r="F2939" t="s">
        <v>13</v>
      </c>
      <c r="G2939" t="s">
        <v>16</v>
      </c>
      <c r="H2939">
        <v>0</v>
      </c>
    </row>
    <row r="2940" spans="1:8" x14ac:dyDescent="0.35">
      <c r="A2940">
        <v>16152</v>
      </c>
      <c r="B2940" t="s">
        <v>7</v>
      </c>
      <c r="C2940">
        <v>3</v>
      </c>
      <c r="D2940">
        <v>334</v>
      </c>
      <c r="E2940" t="s">
        <v>8</v>
      </c>
      <c r="F2940" t="s">
        <v>13</v>
      </c>
      <c r="G2940" t="s">
        <v>14</v>
      </c>
      <c r="H2940">
        <v>0</v>
      </c>
    </row>
    <row r="2941" spans="1:8" x14ac:dyDescent="0.35">
      <c r="A2941">
        <v>12693</v>
      </c>
      <c r="B2941" t="s">
        <v>11</v>
      </c>
      <c r="C2941">
        <v>8</v>
      </c>
      <c r="D2941">
        <v>394</v>
      </c>
      <c r="E2941" t="s">
        <v>8</v>
      </c>
      <c r="F2941" t="s">
        <v>13</v>
      </c>
      <c r="G2941" t="s">
        <v>10</v>
      </c>
      <c r="H2941">
        <v>0</v>
      </c>
    </row>
    <row r="2942" spans="1:8" x14ac:dyDescent="0.35">
      <c r="A2942">
        <v>12475</v>
      </c>
      <c r="B2942" t="s">
        <v>11</v>
      </c>
      <c r="C2942">
        <v>9</v>
      </c>
      <c r="D2942">
        <v>275</v>
      </c>
      <c r="E2942" t="s">
        <v>8</v>
      </c>
      <c r="F2942" t="s">
        <v>13</v>
      </c>
      <c r="G2942" t="s">
        <v>10</v>
      </c>
      <c r="H2942">
        <v>0</v>
      </c>
    </row>
    <row r="2943" spans="1:8" x14ac:dyDescent="0.35">
      <c r="A2943">
        <v>19580</v>
      </c>
      <c r="B2943" t="s">
        <v>11</v>
      </c>
      <c r="C2943">
        <v>8</v>
      </c>
      <c r="D2943">
        <v>62</v>
      </c>
      <c r="E2943" t="s">
        <v>8</v>
      </c>
      <c r="F2943" t="s">
        <v>9</v>
      </c>
      <c r="G2943" t="s">
        <v>12</v>
      </c>
      <c r="H2943">
        <v>0</v>
      </c>
    </row>
    <row r="2944" spans="1:8" x14ac:dyDescent="0.35">
      <c r="A2944">
        <v>10160</v>
      </c>
      <c r="B2944" t="s">
        <v>7</v>
      </c>
      <c r="C2944">
        <v>3</v>
      </c>
      <c r="D2944">
        <v>91</v>
      </c>
      <c r="E2944" t="s">
        <v>8</v>
      </c>
      <c r="F2944" t="s">
        <v>13</v>
      </c>
      <c r="G2944" t="s">
        <v>10</v>
      </c>
      <c r="H2944">
        <v>0</v>
      </c>
    </row>
    <row r="2945" spans="1:8" x14ac:dyDescent="0.35">
      <c r="A2945">
        <v>14939</v>
      </c>
      <c r="B2945" t="s">
        <v>7</v>
      </c>
      <c r="C2945">
        <v>5</v>
      </c>
      <c r="D2945">
        <v>427</v>
      </c>
      <c r="E2945" t="s">
        <v>8</v>
      </c>
      <c r="F2945" t="s">
        <v>9</v>
      </c>
      <c r="G2945" t="s">
        <v>16</v>
      </c>
      <c r="H2945">
        <v>0</v>
      </c>
    </row>
    <row r="2946" spans="1:8" x14ac:dyDescent="0.35">
      <c r="A2946">
        <v>14923</v>
      </c>
      <c r="B2946" t="s">
        <v>7</v>
      </c>
      <c r="C2946">
        <v>3</v>
      </c>
      <c r="D2946">
        <v>236</v>
      </c>
      <c r="E2946" t="s">
        <v>15</v>
      </c>
      <c r="F2946" t="s">
        <v>9</v>
      </c>
      <c r="G2946" t="s">
        <v>10</v>
      </c>
      <c r="H2946">
        <v>1</v>
      </c>
    </row>
    <row r="2947" spans="1:8" x14ac:dyDescent="0.35">
      <c r="A2947">
        <v>11898</v>
      </c>
      <c r="B2947" t="s">
        <v>11</v>
      </c>
      <c r="C2947">
        <v>14</v>
      </c>
      <c r="D2947">
        <v>393</v>
      </c>
      <c r="E2947" t="s">
        <v>8</v>
      </c>
      <c r="F2947" t="s">
        <v>13</v>
      </c>
      <c r="G2947" t="s">
        <v>14</v>
      </c>
      <c r="H2947">
        <v>0</v>
      </c>
    </row>
    <row r="2948" spans="1:8" x14ac:dyDescent="0.35">
      <c r="A2948">
        <v>17960</v>
      </c>
      <c r="B2948" t="s">
        <v>7</v>
      </c>
      <c r="C2948">
        <v>9</v>
      </c>
      <c r="D2948">
        <v>209</v>
      </c>
      <c r="E2948" t="s">
        <v>8</v>
      </c>
      <c r="F2948" t="s">
        <v>9</v>
      </c>
      <c r="G2948" t="s">
        <v>14</v>
      </c>
      <c r="H2948">
        <v>0</v>
      </c>
    </row>
    <row r="2949" spans="1:8" x14ac:dyDescent="0.35">
      <c r="A2949">
        <v>18206</v>
      </c>
      <c r="B2949" t="s">
        <v>11</v>
      </c>
      <c r="C2949">
        <v>13</v>
      </c>
      <c r="D2949">
        <v>321</v>
      </c>
      <c r="E2949" t="s">
        <v>8</v>
      </c>
      <c r="F2949" t="s">
        <v>9</v>
      </c>
      <c r="G2949" t="s">
        <v>14</v>
      </c>
      <c r="H2949">
        <v>0</v>
      </c>
    </row>
    <row r="2950" spans="1:8" x14ac:dyDescent="0.35">
      <c r="A2950">
        <v>14716</v>
      </c>
      <c r="B2950" t="s">
        <v>11</v>
      </c>
      <c r="C2950">
        <v>11</v>
      </c>
      <c r="D2950">
        <v>360</v>
      </c>
      <c r="E2950" t="s">
        <v>8</v>
      </c>
      <c r="F2950" t="s">
        <v>13</v>
      </c>
      <c r="G2950" t="s">
        <v>14</v>
      </c>
      <c r="H2950">
        <v>0</v>
      </c>
    </row>
    <row r="2951" spans="1:8" x14ac:dyDescent="0.35">
      <c r="A2951">
        <v>13074</v>
      </c>
      <c r="B2951" t="s">
        <v>7</v>
      </c>
      <c r="C2951">
        <v>6</v>
      </c>
      <c r="D2951">
        <v>185</v>
      </c>
      <c r="E2951" t="s">
        <v>8</v>
      </c>
      <c r="F2951" t="s">
        <v>13</v>
      </c>
      <c r="G2951" t="s">
        <v>10</v>
      </c>
      <c r="H2951">
        <v>0</v>
      </c>
    </row>
    <row r="2952" spans="1:8" x14ac:dyDescent="0.35">
      <c r="A2952">
        <v>12602</v>
      </c>
      <c r="B2952" t="s">
        <v>11</v>
      </c>
      <c r="C2952">
        <v>11</v>
      </c>
      <c r="D2952">
        <v>247</v>
      </c>
      <c r="E2952" t="s">
        <v>8</v>
      </c>
      <c r="F2952" t="s">
        <v>9</v>
      </c>
      <c r="G2952" t="s">
        <v>10</v>
      </c>
      <c r="H2952">
        <v>0</v>
      </c>
    </row>
    <row r="2953" spans="1:8" x14ac:dyDescent="0.35">
      <c r="A2953">
        <v>11885</v>
      </c>
      <c r="B2953" t="s">
        <v>7</v>
      </c>
      <c r="C2953">
        <v>2</v>
      </c>
      <c r="D2953">
        <v>403</v>
      </c>
      <c r="E2953" t="s">
        <v>8</v>
      </c>
      <c r="F2953" t="s">
        <v>13</v>
      </c>
      <c r="G2953" t="s">
        <v>14</v>
      </c>
      <c r="H2953">
        <v>0</v>
      </c>
    </row>
    <row r="2954" spans="1:8" x14ac:dyDescent="0.35">
      <c r="A2954">
        <v>14861</v>
      </c>
      <c r="B2954" t="s">
        <v>7</v>
      </c>
      <c r="C2954">
        <v>13</v>
      </c>
      <c r="D2954">
        <v>129</v>
      </c>
      <c r="E2954" t="s">
        <v>8</v>
      </c>
      <c r="F2954" t="s">
        <v>9</v>
      </c>
      <c r="G2954" t="s">
        <v>12</v>
      </c>
      <c r="H2954">
        <v>0</v>
      </c>
    </row>
    <row r="2955" spans="1:8" x14ac:dyDescent="0.35">
      <c r="A2955">
        <v>12461</v>
      </c>
      <c r="B2955" t="s">
        <v>7</v>
      </c>
      <c r="C2955">
        <v>2</v>
      </c>
      <c r="D2955">
        <v>127</v>
      </c>
      <c r="E2955" t="s">
        <v>8</v>
      </c>
      <c r="F2955" t="s">
        <v>13</v>
      </c>
      <c r="G2955" t="s">
        <v>14</v>
      </c>
      <c r="H2955">
        <v>0</v>
      </c>
    </row>
    <row r="2956" spans="1:8" x14ac:dyDescent="0.35">
      <c r="A2956">
        <v>13229</v>
      </c>
      <c r="B2956" t="s">
        <v>11</v>
      </c>
      <c r="C2956">
        <v>3</v>
      </c>
      <c r="D2956">
        <v>48</v>
      </c>
      <c r="E2956" t="s">
        <v>8</v>
      </c>
      <c r="F2956" t="s">
        <v>13</v>
      </c>
      <c r="G2956" t="s">
        <v>16</v>
      </c>
      <c r="H2956">
        <v>0</v>
      </c>
    </row>
    <row r="2957" spans="1:8" x14ac:dyDescent="0.35">
      <c r="A2957">
        <v>17308</v>
      </c>
      <c r="B2957" t="s">
        <v>11</v>
      </c>
      <c r="C2957">
        <v>7</v>
      </c>
      <c r="D2957">
        <v>238</v>
      </c>
      <c r="E2957" t="s">
        <v>8</v>
      </c>
      <c r="F2957" t="s">
        <v>9</v>
      </c>
      <c r="G2957" t="s">
        <v>16</v>
      </c>
      <c r="H2957">
        <v>0</v>
      </c>
    </row>
    <row r="2958" spans="1:8" x14ac:dyDescent="0.35">
      <c r="A2958">
        <v>16581</v>
      </c>
      <c r="B2958" t="s">
        <v>7</v>
      </c>
      <c r="C2958">
        <v>5</v>
      </c>
      <c r="D2958">
        <v>372</v>
      </c>
      <c r="E2958" t="s">
        <v>15</v>
      </c>
      <c r="F2958" t="s">
        <v>9</v>
      </c>
      <c r="G2958" t="s">
        <v>16</v>
      </c>
      <c r="H2958">
        <v>1</v>
      </c>
    </row>
    <row r="2959" spans="1:8" x14ac:dyDescent="0.35">
      <c r="A2959">
        <v>12110</v>
      </c>
      <c r="B2959" t="s">
        <v>7</v>
      </c>
      <c r="C2959">
        <v>11</v>
      </c>
      <c r="D2959">
        <v>413</v>
      </c>
      <c r="E2959" t="s">
        <v>8</v>
      </c>
      <c r="F2959" t="s">
        <v>9</v>
      </c>
      <c r="G2959" t="s">
        <v>12</v>
      </c>
      <c r="H2959">
        <v>0</v>
      </c>
    </row>
    <row r="2960" spans="1:8" x14ac:dyDescent="0.35">
      <c r="A2960">
        <v>10196</v>
      </c>
      <c r="B2960" t="s">
        <v>11</v>
      </c>
      <c r="C2960">
        <v>6</v>
      </c>
      <c r="D2960">
        <v>156</v>
      </c>
      <c r="E2960" t="s">
        <v>8</v>
      </c>
      <c r="F2960" t="s">
        <v>13</v>
      </c>
      <c r="G2960" t="s">
        <v>12</v>
      </c>
      <c r="H2960">
        <v>0</v>
      </c>
    </row>
    <row r="2961" spans="1:8" x14ac:dyDescent="0.35">
      <c r="A2961">
        <v>17068</v>
      </c>
      <c r="B2961" t="s">
        <v>11</v>
      </c>
      <c r="C2961">
        <v>4</v>
      </c>
      <c r="D2961">
        <v>300</v>
      </c>
      <c r="E2961" t="s">
        <v>8</v>
      </c>
      <c r="F2961" t="s">
        <v>13</v>
      </c>
      <c r="G2961" t="s">
        <v>16</v>
      </c>
      <c r="H2961">
        <v>0</v>
      </c>
    </row>
    <row r="2962" spans="1:8" x14ac:dyDescent="0.35">
      <c r="A2962">
        <v>11703</v>
      </c>
      <c r="B2962" t="s">
        <v>7</v>
      </c>
      <c r="C2962">
        <v>8</v>
      </c>
      <c r="D2962">
        <v>150</v>
      </c>
      <c r="E2962" t="s">
        <v>8</v>
      </c>
      <c r="F2962" t="s">
        <v>13</v>
      </c>
      <c r="G2962" t="s">
        <v>10</v>
      </c>
      <c r="H2962">
        <v>0</v>
      </c>
    </row>
    <row r="2963" spans="1:8" x14ac:dyDescent="0.35">
      <c r="A2963">
        <v>10311</v>
      </c>
      <c r="B2963" t="s">
        <v>11</v>
      </c>
      <c r="C2963">
        <v>2</v>
      </c>
      <c r="D2963">
        <v>342</v>
      </c>
      <c r="E2963" t="s">
        <v>8</v>
      </c>
      <c r="F2963" t="s">
        <v>9</v>
      </c>
      <c r="G2963" t="s">
        <v>16</v>
      </c>
      <c r="H2963">
        <v>0</v>
      </c>
    </row>
    <row r="2964" spans="1:8" x14ac:dyDescent="0.35">
      <c r="A2964">
        <v>11065</v>
      </c>
      <c r="B2964" t="s">
        <v>11</v>
      </c>
      <c r="C2964">
        <v>13</v>
      </c>
      <c r="D2964">
        <v>287</v>
      </c>
      <c r="E2964" t="s">
        <v>8</v>
      </c>
      <c r="F2964" t="s">
        <v>9</v>
      </c>
      <c r="G2964" t="s">
        <v>10</v>
      </c>
      <c r="H2964">
        <v>0</v>
      </c>
    </row>
    <row r="2965" spans="1:8" x14ac:dyDescent="0.35">
      <c r="A2965">
        <v>12855</v>
      </c>
      <c r="B2965" t="s">
        <v>7</v>
      </c>
      <c r="C2965">
        <v>8</v>
      </c>
      <c r="D2965">
        <v>231</v>
      </c>
      <c r="E2965" t="s">
        <v>8</v>
      </c>
      <c r="F2965" t="s">
        <v>9</v>
      </c>
      <c r="G2965" t="s">
        <v>16</v>
      </c>
      <c r="H2965">
        <v>0</v>
      </c>
    </row>
    <row r="2966" spans="1:8" x14ac:dyDescent="0.35">
      <c r="A2966">
        <v>16586</v>
      </c>
      <c r="B2966" t="s">
        <v>11</v>
      </c>
      <c r="C2966">
        <v>10</v>
      </c>
      <c r="D2966">
        <v>394</v>
      </c>
      <c r="E2966" t="s">
        <v>8</v>
      </c>
      <c r="F2966" t="s">
        <v>9</v>
      </c>
      <c r="G2966" t="s">
        <v>12</v>
      </c>
      <c r="H2966">
        <v>0</v>
      </c>
    </row>
    <row r="2967" spans="1:8" x14ac:dyDescent="0.35">
      <c r="A2967">
        <v>16582</v>
      </c>
      <c r="B2967" t="s">
        <v>11</v>
      </c>
      <c r="C2967">
        <v>4</v>
      </c>
      <c r="D2967">
        <v>258</v>
      </c>
      <c r="E2967" t="s">
        <v>8</v>
      </c>
      <c r="F2967" t="s">
        <v>13</v>
      </c>
      <c r="G2967" t="s">
        <v>12</v>
      </c>
      <c r="H2967">
        <v>0</v>
      </c>
    </row>
    <row r="2968" spans="1:8" x14ac:dyDescent="0.35">
      <c r="A2968">
        <v>17477</v>
      </c>
      <c r="B2968" t="s">
        <v>7</v>
      </c>
      <c r="C2968">
        <v>10</v>
      </c>
      <c r="D2968">
        <v>217</v>
      </c>
      <c r="E2968" t="s">
        <v>8</v>
      </c>
      <c r="F2968" t="s">
        <v>13</v>
      </c>
      <c r="G2968" t="s">
        <v>16</v>
      </c>
      <c r="H2968">
        <v>0</v>
      </c>
    </row>
    <row r="2969" spans="1:8" x14ac:dyDescent="0.35">
      <c r="A2969">
        <v>11692</v>
      </c>
      <c r="B2969" t="s">
        <v>11</v>
      </c>
      <c r="C2969">
        <v>9</v>
      </c>
      <c r="D2969">
        <v>447</v>
      </c>
      <c r="E2969" t="s">
        <v>8</v>
      </c>
      <c r="F2969" t="s">
        <v>13</v>
      </c>
      <c r="G2969" t="s">
        <v>10</v>
      </c>
      <c r="H2969">
        <v>0</v>
      </c>
    </row>
    <row r="2970" spans="1:8" x14ac:dyDescent="0.35">
      <c r="A2970">
        <v>10976</v>
      </c>
      <c r="B2970" t="s">
        <v>11</v>
      </c>
      <c r="C2970">
        <v>2</v>
      </c>
      <c r="D2970">
        <v>382</v>
      </c>
      <c r="E2970" t="s">
        <v>15</v>
      </c>
      <c r="F2970" t="s">
        <v>9</v>
      </c>
      <c r="G2970" t="s">
        <v>14</v>
      </c>
      <c r="H2970">
        <v>1</v>
      </c>
    </row>
    <row r="2971" spans="1:8" x14ac:dyDescent="0.35">
      <c r="A2971">
        <v>15702</v>
      </c>
      <c r="B2971" t="s">
        <v>11</v>
      </c>
      <c r="C2971">
        <v>7</v>
      </c>
      <c r="D2971">
        <v>269</v>
      </c>
      <c r="E2971" t="s">
        <v>8</v>
      </c>
      <c r="F2971" t="s">
        <v>9</v>
      </c>
      <c r="G2971" t="s">
        <v>16</v>
      </c>
      <c r="H2971">
        <v>0</v>
      </c>
    </row>
    <row r="2972" spans="1:8" x14ac:dyDescent="0.35">
      <c r="A2972">
        <v>10075</v>
      </c>
      <c r="B2972" t="s">
        <v>7</v>
      </c>
      <c r="C2972">
        <v>4</v>
      </c>
      <c r="D2972">
        <v>92</v>
      </c>
      <c r="E2972" t="s">
        <v>8</v>
      </c>
      <c r="F2972" t="s">
        <v>9</v>
      </c>
      <c r="G2972" t="s">
        <v>16</v>
      </c>
      <c r="H2972">
        <v>0</v>
      </c>
    </row>
    <row r="2973" spans="1:8" x14ac:dyDescent="0.35">
      <c r="A2973">
        <v>14917</v>
      </c>
      <c r="B2973" t="s">
        <v>7</v>
      </c>
      <c r="C2973">
        <v>7</v>
      </c>
      <c r="D2973">
        <v>417</v>
      </c>
      <c r="E2973" t="s">
        <v>15</v>
      </c>
      <c r="F2973" t="s">
        <v>13</v>
      </c>
      <c r="G2973" t="s">
        <v>14</v>
      </c>
      <c r="H2973">
        <v>1</v>
      </c>
    </row>
    <row r="2974" spans="1:8" x14ac:dyDescent="0.35">
      <c r="A2974">
        <v>15094</v>
      </c>
      <c r="B2974" t="s">
        <v>7</v>
      </c>
      <c r="C2974">
        <v>14</v>
      </c>
      <c r="D2974">
        <v>118</v>
      </c>
      <c r="E2974" t="s">
        <v>15</v>
      </c>
      <c r="F2974" t="s">
        <v>13</v>
      </c>
      <c r="G2974" t="s">
        <v>14</v>
      </c>
      <c r="H2974">
        <v>1</v>
      </c>
    </row>
    <row r="2975" spans="1:8" x14ac:dyDescent="0.35">
      <c r="A2975">
        <v>17994</v>
      </c>
      <c r="B2975" t="s">
        <v>11</v>
      </c>
      <c r="C2975">
        <v>8</v>
      </c>
      <c r="D2975">
        <v>46</v>
      </c>
      <c r="E2975" t="s">
        <v>8</v>
      </c>
      <c r="F2975" t="s">
        <v>9</v>
      </c>
      <c r="G2975" t="s">
        <v>12</v>
      </c>
      <c r="H2975">
        <v>0</v>
      </c>
    </row>
    <row r="2976" spans="1:8" x14ac:dyDescent="0.35">
      <c r="A2976">
        <v>16370</v>
      </c>
      <c r="B2976" t="s">
        <v>11</v>
      </c>
      <c r="C2976">
        <v>1</v>
      </c>
      <c r="D2976">
        <v>376</v>
      </c>
      <c r="E2976" t="s">
        <v>8</v>
      </c>
      <c r="F2976" t="s">
        <v>9</v>
      </c>
      <c r="G2976" t="s">
        <v>12</v>
      </c>
      <c r="H2976">
        <v>0</v>
      </c>
    </row>
    <row r="2977" spans="1:8" x14ac:dyDescent="0.35">
      <c r="A2977">
        <v>19379</v>
      </c>
      <c r="B2977" t="s">
        <v>11</v>
      </c>
      <c r="C2977">
        <v>6</v>
      </c>
      <c r="D2977">
        <v>88</v>
      </c>
      <c r="E2977" t="s">
        <v>8</v>
      </c>
      <c r="F2977" t="s">
        <v>9</v>
      </c>
      <c r="G2977" t="s">
        <v>12</v>
      </c>
      <c r="H2977">
        <v>0</v>
      </c>
    </row>
    <row r="2978" spans="1:8" x14ac:dyDescent="0.35">
      <c r="A2978">
        <v>16094</v>
      </c>
      <c r="B2978" t="s">
        <v>7</v>
      </c>
      <c r="C2978">
        <v>9</v>
      </c>
      <c r="D2978">
        <v>179</v>
      </c>
      <c r="E2978" t="s">
        <v>8</v>
      </c>
      <c r="F2978" t="s">
        <v>13</v>
      </c>
      <c r="G2978" t="s">
        <v>10</v>
      </c>
      <c r="H2978">
        <v>0</v>
      </c>
    </row>
    <row r="2979" spans="1:8" x14ac:dyDescent="0.35">
      <c r="A2979">
        <v>15859</v>
      </c>
      <c r="B2979" t="s">
        <v>11</v>
      </c>
      <c r="C2979">
        <v>6</v>
      </c>
      <c r="D2979">
        <v>430</v>
      </c>
      <c r="E2979" t="s">
        <v>8</v>
      </c>
      <c r="F2979" t="s">
        <v>9</v>
      </c>
      <c r="G2979" t="s">
        <v>12</v>
      </c>
      <c r="H2979">
        <v>0</v>
      </c>
    </row>
    <row r="2980" spans="1:8" x14ac:dyDescent="0.35">
      <c r="A2980">
        <v>14489</v>
      </c>
      <c r="B2980" t="s">
        <v>7</v>
      </c>
      <c r="C2980">
        <v>9</v>
      </c>
      <c r="D2980">
        <v>274</v>
      </c>
      <c r="E2980" t="s">
        <v>8</v>
      </c>
      <c r="F2980" t="s">
        <v>9</v>
      </c>
      <c r="G2980" t="s">
        <v>12</v>
      </c>
      <c r="H2980">
        <v>0</v>
      </c>
    </row>
    <row r="2981" spans="1:8" x14ac:dyDescent="0.35">
      <c r="A2981">
        <v>17003</v>
      </c>
      <c r="B2981" t="s">
        <v>7</v>
      </c>
      <c r="C2981">
        <v>12</v>
      </c>
      <c r="D2981">
        <v>91</v>
      </c>
      <c r="E2981" t="s">
        <v>15</v>
      </c>
      <c r="F2981" t="s">
        <v>13</v>
      </c>
      <c r="G2981" t="s">
        <v>12</v>
      </c>
      <c r="H2981">
        <v>1</v>
      </c>
    </row>
    <row r="2982" spans="1:8" x14ac:dyDescent="0.35">
      <c r="A2982">
        <v>16265</v>
      </c>
      <c r="B2982" t="s">
        <v>7</v>
      </c>
      <c r="C2982">
        <v>6</v>
      </c>
      <c r="D2982">
        <v>273</v>
      </c>
      <c r="E2982" t="s">
        <v>8</v>
      </c>
      <c r="F2982" t="s">
        <v>13</v>
      </c>
      <c r="G2982" t="s">
        <v>10</v>
      </c>
      <c r="H2982">
        <v>0</v>
      </c>
    </row>
    <row r="2983" spans="1:8" x14ac:dyDescent="0.35">
      <c r="A2983">
        <v>18658</v>
      </c>
      <c r="B2983" t="s">
        <v>11</v>
      </c>
      <c r="C2983">
        <v>9</v>
      </c>
      <c r="D2983">
        <v>268</v>
      </c>
      <c r="E2983" t="s">
        <v>8</v>
      </c>
      <c r="F2983" t="s">
        <v>9</v>
      </c>
      <c r="G2983" t="s">
        <v>12</v>
      </c>
      <c r="H2983">
        <v>0</v>
      </c>
    </row>
    <row r="2984" spans="1:8" x14ac:dyDescent="0.35">
      <c r="A2984">
        <v>11647</v>
      </c>
      <c r="B2984" t="s">
        <v>11</v>
      </c>
      <c r="C2984">
        <v>10</v>
      </c>
      <c r="D2984">
        <v>319</v>
      </c>
      <c r="E2984" t="s">
        <v>8</v>
      </c>
      <c r="F2984" t="s">
        <v>13</v>
      </c>
      <c r="G2984" t="s">
        <v>12</v>
      </c>
      <c r="H2984">
        <v>0</v>
      </c>
    </row>
    <row r="2985" spans="1:8" x14ac:dyDescent="0.35">
      <c r="A2985">
        <v>13046</v>
      </c>
      <c r="B2985" t="s">
        <v>7</v>
      </c>
      <c r="C2985">
        <v>12</v>
      </c>
      <c r="D2985">
        <v>378</v>
      </c>
      <c r="E2985" t="s">
        <v>8</v>
      </c>
      <c r="F2985" t="s">
        <v>13</v>
      </c>
      <c r="G2985" t="s">
        <v>12</v>
      </c>
      <c r="H2985">
        <v>0</v>
      </c>
    </row>
    <row r="2986" spans="1:8" x14ac:dyDescent="0.35">
      <c r="A2986">
        <v>11466</v>
      </c>
      <c r="B2986" t="s">
        <v>7</v>
      </c>
      <c r="C2986">
        <v>11</v>
      </c>
      <c r="D2986">
        <v>247</v>
      </c>
      <c r="E2986" t="s">
        <v>15</v>
      </c>
      <c r="F2986" t="s">
        <v>13</v>
      </c>
      <c r="G2986" t="s">
        <v>12</v>
      </c>
      <c r="H2986">
        <v>1</v>
      </c>
    </row>
    <row r="2987" spans="1:8" x14ac:dyDescent="0.35">
      <c r="A2987">
        <v>10512</v>
      </c>
      <c r="B2987" t="s">
        <v>11</v>
      </c>
      <c r="C2987">
        <v>7</v>
      </c>
      <c r="D2987">
        <v>79</v>
      </c>
      <c r="E2987" t="s">
        <v>8</v>
      </c>
      <c r="F2987" t="s">
        <v>13</v>
      </c>
      <c r="G2987" t="s">
        <v>16</v>
      </c>
      <c r="H2987">
        <v>0</v>
      </c>
    </row>
    <row r="2988" spans="1:8" x14ac:dyDescent="0.35">
      <c r="A2988">
        <v>14977</v>
      </c>
      <c r="B2988" t="s">
        <v>11</v>
      </c>
      <c r="C2988">
        <v>4</v>
      </c>
      <c r="D2988">
        <v>54</v>
      </c>
      <c r="E2988" t="s">
        <v>8</v>
      </c>
      <c r="F2988" t="s">
        <v>13</v>
      </c>
      <c r="G2988" t="s">
        <v>16</v>
      </c>
      <c r="H2988">
        <v>0</v>
      </c>
    </row>
    <row r="2989" spans="1:8" x14ac:dyDescent="0.35">
      <c r="A2989">
        <v>15980</v>
      </c>
      <c r="B2989" t="s">
        <v>7</v>
      </c>
      <c r="C2989">
        <v>11</v>
      </c>
      <c r="D2989">
        <v>164</v>
      </c>
      <c r="E2989" t="s">
        <v>8</v>
      </c>
      <c r="F2989" t="s">
        <v>13</v>
      </c>
      <c r="G2989" t="s">
        <v>16</v>
      </c>
      <c r="H2989">
        <v>0</v>
      </c>
    </row>
    <row r="2990" spans="1:8" x14ac:dyDescent="0.35">
      <c r="A2990">
        <v>17489</v>
      </c>
      <c r="B2990" t="s">
        <v>7</v>
      </c>
      <c r="C2990">
        <v>4</v>
      </c>
      <c r="D2990">
        <v>357</v>
      </c>
      <c r="E2990" t="s">
        <v>8</v>
      </c>
      <c r="F2990" t="s">
        <v>9</v>
      </c>
      <c r="G2990" t="s">
        <v>12</v>
      </c>
      <c r="H2990">
        <v>0</v>
      </c>
    </row>
    <row r="2991" spans="1:8" x14ac:dyDescent="0.35">
      <c r="A2991">
        <v>13280</v>
      </c>
      <c r="B2991" t="s">
        <v>11</v>
      </c>
      <c r="C2991">
        <v>12</v>
      </c>
      <c r="D2991">
        <v>317</v>
      </c>
      <c r="E2991" t="s">
        <v>8</v>
      </c>
      <c r="F2991" t="s">
        <v>9</v>
      </c>
      <c r="G2991" t="s">
        <v>16</v>
      </c>
      <c r="H2991">
        <v>0</v>
      </c>
    </row>
    <row r="2992" spans="1:8" x14ac:dyDescent="0.35">
      <c r="A2992">
        <v>11321</v>
      </c>
      <c r="B2992" t="s">
        <v>7</v>
      </c>
      <c r="C2992">
        <v>4</v>
      </c>
      <c r="D2992">
        <v>134</v>
      </c>
      <c r="E2992" t="s">
        <v>8</v>
      </c>
      <c r="F2992" t="s">
        <v>9</v>
      </c>
      <c r="G2992" t="s">
        <v>12</v>
      </c>
      <c r="H2992">
        <v>0</v>
      </c>
    </row>
    <row r="2993" spans="1:8" x14ac:dyDescent="0.35">
      <c r="A2993">
        <v>12194</v>
      </c>
      <c r="B2993" t="s">
        <v>11</v>
      </c>
      <c r="C2993">
        <v>11</v>
      </c>
      <c r="D2993">
        <v>279</v>
      </c>
      <c r="E2993" t="s">
        <v>8</v>
      </c>
      <c r="F2993" t="s">
        <v>9</v>
      </c>
      <c r="G2993" t="s">
        <v>16</v>
      </c>
      <c r="H2993">
        <v>0</v>
      </c>
    </row>
    <row r="2994" spans="1:8" x14ac:dyDescent="0.35">
      <c r="A2994">
        <v>10843</v>
      </c>
      <c r="B2994" t="s">
        <v>11</v>
      </c>
      <c r="C2994">
        <v>11</v>
      </c>
      <c r="D2994">
        <v>114</v>
      </c>
      <c r="E2994" t="s">
        <v>8</v>
      </c>
      <c r="F2994" t="s">
        <v>9</v>
      </c>
      <c r="G2994" t="s">
        <v>12</v>
      </c>
      <c r="H2994">
        <v>0</v>
      </c>
    </row>
    <row r="2995" spans="1:8" x14ac:dyDescent="0.35">
      <c r="A2995">
        <v>19736</v>
      </c>
      <c r="B2995" t="s">
        <v>11</v>
      </c>
      <c r="C2995">
        <v>1</v>
      </c>
      <c r="D2995">
        <v>238</v>
      </c>
      <c r="E2995" t="s">
        <v>8</v>
      </c>
      <c r="F2995" t="s">
        <v>13</v>
      </c>
      <c r="G2995" t="s">
        <v>14</v>
      </c>
      <c r="H2995">
        <v>0</v>
      </c>
    </row>
    <row r="2996" spans="1:8" x14ac:dyDescent="0.35">
      <c r="A2996">
        <v>15934</v>
      </c>
      <c r="B2996" t="s">
        <v>11</v>
      </c>
      <c r="C2996">
        <v>13</v>
      </c>
      <c r="D2996">
        <v>177</v>
      </c>
      <c r="E2996" t="s">
        <v>8</v>
      </c>
      <c r="F2996" t="s">
        <v>13</v>
      </c>
      <c r="G2996" t="s">
        <v>10</v>
      </c>
      <c r="H2996">
        <v>0</v>
      </c>
    </row>
    <row r="2997" spans="1:8" x14ac:dyDescent="0.35">
      <c r="A2997">
        <v>11271</v>
      </c>
      <c r="B2997" t="s">
        <v>7</v>
      </c>
      <c r="C2997">
        <v>14</v>
      </c>
      <c r="D2997">
        <v>351</v>
      </c>
      <c r="E2997" t="s">
        <v>8</v>
      </c>
      <c r="F2997" t="s">
        <v>13</v>
      </c>
      <c r="G2997" t="s">
        <v>12</v>
      </c>
      <c r="H2997">
        <v>0</v>
      </c>
    </row>
    <row r="2998" spans="1:8" x14ac:dyDescent="0.35">
      <c r="A2998">
        <v>17194</v>
      </c>
      <c r="B2998" t="s">
        <v>7</v>
      </c>
      <c r="C2998">
        <v>11</v>
      </c>
      <c r="D2998">
        <v>222</v>
      </c>
      <c r="E2998" t="s">
        <v>8</v>
      </c>
      <c r="F2998" t="s">
        <v>13</v>
      </c>
      <c r="G2998" t="s">
        <v>16</v>
      </c>
      <c r="H2998">
        <v>0</v>
      </c>
    </row>
    <row r="2999" spans="1:8" x14ac:dyDescent="0.35">
      <c r="A2999">
        <v>18615</v>
      </c>
      <c r="B2999" t="s">
        <v>7</v>
      </c>
      <c r="C2999">
        <v>3</v>
      </c>
      <c r="D2999">
        <v>211</v>
      </c>
      <c r="E2999" t="s">
        <v>8</v>
      </c>
      <c r="F2999" t="s">
        <v>13</v>
      </c>
      <c r="G2999" t="s">
        <v>12</v>
      </c>
      <c r="H2999">
        <v>0</v>
      </c>
    </row>
    <row r="3000" spans="1:8" x14ac:dyDescent="0.35">
      <c r="A3000">
        <v>17426</v>
      </c>
      <c r="B3000" t="s">
        <v>11</v>
      </c>
      <c r="C3000">
        <v>13</v>
      </c>
      <c r="D3000">
        <v>287</v>
      </c>
      <c r="E3000" t="s">
        <v>8</v>
      </c>
      <c r="F3000" t="s">
        <v>9</v>
      </c>
      <c r="G3000" t="s">
        <v>16</v>
      </c>
      <c r="H3000">
        <v>0</v>
      </c>
    </row>
    <row r="3001" spans="1:8" x14ac:dyDescent="0.35">
      <c r="A3001">
        <v>19014</v>
      </c>
      <c r="B3001" t="s">
        <v>11</v>
      </c>
      <c r="C3001">
        <v>12</v>
      </c>
      <c r="D3001">
        <v>151</v>
      </c>
      <c r="E3001" t="s">
        <v>8</v>
      </c>
      <c r="F3001" t="s">
        <v>13</v>
      </c>
      <c r="G3001" t="s">
        <v>12</v>
      </c>
      <c r="H3001">
        <v>0</v>
      </c>
    </row>
    <row r="3002" spans="1:8" x14ac:dyDescent="0.35">
      <c r="A3002">
        <v>19548</v>
      </c>
      <c r="B3002" t="s">
        <v>11</v>
      </c>
      <c r="C3002">
        <v>10</v>
      </c>
      <c r="D3002">
        <v>77</v>
      </c>
      <c r="E3002" t="s">
        <v>8</v>
      </c>
      <c r="F3002" t="s">
        <v>13</v>
      </c>
      <c r="G3002" t="s">
        <v>12</v>
      </c>
      <c r="H3002">
        <v>0</v>
      </c>
    </row>
    <row r="3003" spans="1:8" x14ac:dyDescent="0.35">
      <c r="A3003">
        <v>15872</v>
      </c>
      <c r="B3003" t="s">
        <v>11</v>
      </c>
      <c r="C3003">
        <v>6</v>
      </c>
      <c r="D3003">
        <v>266</v>
      </c>
      <c r="E3003" t="s">
        <v>8</v>
      </c>
      <c r="F3003" t="s">
        <v>13</v>
      </c>
      <c r="G3003" t="s">
        <v>16</v>
      </c>
      <c r="H3003">
        <v>0</v>
      </c>
    </row>
    <row r="3004" spans="1:8" x14ac:dyDescent="0.35">
      <c r="A3004">
        <v>14231</v>
      </c>
      <c r="B3004" t="s">
        <v>7</v>
      </c>
      <c r="C3004">
        <v>13</v>
      </c>
      <c r="D3004">
        <v>104</v>
      </c>
      <c r="E3004" t="s">
        <v>8</v>
      </c>
      <c r="F3004" t="s">
        <v>9</v>
      </c>
      <c r="G3004" t="s">
        <v>16</v>
      </c>
      <c r="H3004">
        <v>0</v>
      </c>
    </row>
    <row r="3005" spans="1:8" x14ac:dyDescent="0.35">
      <c r="A3005">
        <v>10900</v>
      </c>
      <c r="B3005" t="s">
        <v>11</v>
      </c>
      <c r="C3005">
        <v>12</v>
      </c>
      <c r="D3005">
        <v>128</v>
      </c>
      <c r="E3005" t="s">
        <v>8</v>
      </c>
      <c r="F3005" t="s">
        <v>9</v>
      </c>
      <c r="G3005" t="s">
        <v>16</v>
      </c>
      <c r="H3005">
        <v>0</v>
      </c>
    </row>
    <row r="3006" spans="1:8" x14ac:dyDescent="0.35">
      <c r="A3006">
        <v>12345</v>
      </c>
      <c r="B3006" t="s">
        <v>7</v>
      </c>
      <c r="C3006">
        <v>5</v>
      </c>
      <c r="D3006">
        <v>198</v>
      </c>
      <c r="E3006" t="s">
        <v>8</v>
      </c>
      <c r="F3006" t="s">
        <v>13</v>
      </c>
      <c r="G3006" t="s">
        <v>14</v>
      </c>
      <c r="H3006">
        <v>0</v>
      </c>
    </row>
    <row r="3007" spans="1:8" x14ac:dyDescent="0.35">
      <c r="A3007">
        <v>18840</v>
      </c>
      <c r="B3007" t="s">
        <v>11</v>
      </c>
      <c r="C3007">
        <v>10</v>
      </c>
      <c r="D3007">
        <v>186</v>
      </c>
      <c r="E3007" t="s">
        <v>8</v>
      </c>
      <c r="F3007" t="s">
        <v>9</v>
      </c>
      <c r="G3007" t="s">
        <v>14</v>
      </c>
      <c r="H3007">
        <v>0</v>
      </c>
    </row>
    <row r="3008" spans="1:8" x14ac:dyDescent="0.35">
      <c r="A3008">
        <v>17283</v>
      </c>
      <c r="B3008" t="s">
        <v>11</v>
      </c>
      <c r="C3008">
        <v>5</v>
      </c>
      <c r="D3008">
        <v>444</v>
      </c>
      <c r="E3008" t="s">
        <v>8</v>
      </c>
      <c r="F3008" t="s">
        <v>13</v>
      </c>
      <c r="G3008" t="s">
        <v>10</v>
      </c>
      <c r="H3008">
        <v>0</v>
      </c>
    </row>
    <row r="3009" spans="1:8" x14ac:dyDescent="0.35">
      <c r="A3009">
        <v>12802</v>
      </c>
      <c r="B3009" t="s">
        <v>7</v>
      </c>
      <c r="C3009">
        <v>8</v>
      </c>
      <c r="D3009">
        <v>335</v>
      </c>
      <c r="E3009" t="s">
        <v>8</v>
      </c>
      <c r="F3009" t="s">
        <v>13</v>
      </c>
      <c r="G3009" t="s">
        <v>14</v>
      </c>
      <c r="H3009">
        <v>0</v>
      </c>
    </row>
    <row r="3010" spans="1:8" x14ac:dyDescent="0.35">
      <c r="A3010">
        <v>14117</v>
      </c>
      <c r="B3010" t="s">
        <v>11</v>
      </c>
      <c r="C3010">
        <v>4</v>
      </c>
      <c r="D3010">
        <v>275</v>
      </c>
      <c r="E3010" t="s">
        <v>8</v>
      </c>
      <c r="F3010" t="s">
        <v>9</v>
      </c>
      <c r="G3010" t="s">
        <v>16</v>
      </c>
      <c r="H3010">
        <v>0</v>
      </c>
    </row>
    <row r="3011" spans="1:8" x14ac:dyDescent="0.35">
      <c r="A3011">
        <v>12568</v>
      </c>
      <c r="B3011" t="s">
        <v>7</v>
      </c>
      <c r="C3011">
        <v>12</v>
      </c>
      <c r="D3011">
        <v>381</v>
      </c>
      <c r="E3011" t="s">
        <v>8</v>
      </c>
      <c r="F3011" t="s">
        <v>13</v>
      </c>
      <c r="G3011" t="s">
        <v>12</v>
      </c>
      <c r="H3011">
        <v>0</v>
      </c>
    </row>
    <row r="3012" spans="1:8" x14ac:dyDescent="0.35">
      <c r="A3012">
        <v>17606</v>
      </c>
      <c r="B3012" t="s">
        <v>7</v>
      </c>
      <c r="C3012">
        <v>7</v>
      </c>
      <c r="D3012">
        <v>427</v>
      </c>
      <c r="E3012" t="s">
        <v>15</v>
      </c>
      <c r="F3012" t="s">
        <v>9</v>
      </c>
      <c r="G3012" t="s">
        <v>12</v>
      </c>
      <c r="H3012">
        <v>1</v>
      </c>
    </row>
    <row r="3013" spans="1:8" x14ac:dyDescent="0.35">
      <c r="A3013">
        <v>12685</v>
      </c>
      <c r="B3013" t="s">
        <v>7</v>
      </c>
      <c r="C3013">
        <v>9</v>
      </c>
      <c r="D3013">
        <v>200</v>
      </c>
      <c r="E3013" t="s">
        <v>15</v>
      </c>
      <c r="F3013" t="s">
        <v>13</v>
      </c>
      <c r="G3013" t="s">
        <v>12</v>
      </c>
      <c r="H3013">
        <v>1</v>
      </c>
    </row>
    <row r="3014" spans="1:8" x14ac:dyDescent="0.35">
      <c r="A3014">
        <v>14711</v>
      </c>
      <c r="B3014" t="s">
        <v>11</v>
      </c>
      <c r="C3014">
        <v>5</v>
      </c>
      <c r="D3014">
        <v>353</v>
      </c>
      <c r="E3014" t="s">
        <v>8</v>
      </c>
      <c r="F3014" t="s">
        <v>9</v>
      </c>
      <c r="G3014" t="s">
        <v>12</v>
      </c>
      <c r="H3014">
        <v>0</v>
      </c>
    </row>
    <row r="3015" spans="1:8" x14ac:dyDescent="0.35">
      <c r="A3015">
        <v>19220</v>
      </c>
      <c r="B3015" t="s">
        <v>7</v>
      </c>
      <c r="C3015">
        <v>1</v>
      </c>
      <c r="D3015">
        <v>59</v>
      </c>
      <c r="E3015" t="s">
        <v>8</v>
      </c>
      <c r="F3015" t="s">
        <v>13</v>
      </c>
      <c r="G3015" t="s">
        <v>10</v>
      </c>
      <c r="H3015">
        <v>0</v>
      </c>
    </row>
    <row r="3016" spans="1:8" x14ac:dyDescent="0.35">
      <c r="A3016">
        <v>14245</v>
      </c>
      <c r="B3016" t="s">
        <v>11</v>
      </c>
      <c r="C3016">
        <v>1</v>
      </c>
      <c r="D3016">
        <v>358</v>
      </c>
      <c r="E3016" t="s">
        <v>8</v>
      </c>
      <c r="F3016" t="s">
        <v>9</v>
      </c>
      <c r="G3016" t="s">
        <v>16</v>
      </c>
      <c r="H3016">
        <v>0</v>
      </c>
    </row>
    <row r="3017" spans="1:8" x14ac:dyDescent="0.35">
      <c r="A3017">
        <v>15123</v>
      </c>
      <c r="B3017" t="s">
        <v>11</v>
      </c>
      <c r="C3017">
        <v>7</v>
      </c>
      <c r="D3017">
        <v>265</v>
      </c>
      <c r="E3017" t="s">
        <v>8</v>
      </c>
      <c r="F3017" t="s">
        <v>9</v>
      </c>
      <c r="G3017" t="s">
        <v>14</v>
      </c>
      <c r="H3017">
        <v>0</v>
      </c>
    </row>
    <row r="3018" spans="1:8" x14ac:dyDescent="0.35">
      <c r="A3018">
        <v>12953</v>
      </c>
      <c r="B3018" t="s">
        <v>7</v>
      </c>
      <c r="C3018">
        <v>5</v>
      </c>
      <c r="D3018">
        <v>69</v>
      </c>
      <c r="E3018" t="s">
        <v>8</v>
      </c>
      <c r="F3018" t="s">
        <v>9</v>
      </c>
      <c r="G3018" t="s">
        <v>10</v>
      </c>
      <c r="H3018">
        <v>0</v>
      </c>
    </row>
    <row r="3019" spans="1:8" x14ac:dyDescent="0.35">
      <c r="A3019">
        <v>13476</v>
      </c>
      <c r="B3019" t="s">
        <v>11</v>
      </c>
      <c r="C3019">
        <v>12</v>
      </c>
      <c r="D3019">
        <v>161</v>
      </c>
      <c r="E3019" t="s">
        <v>8</v>
      </c>
      <c r="F3019" t="s">
        <v>13</v>
      </c>
      <c r="G3019" t="s">
        <v>12</v>
      </c>
      <c r="H3019">
        <v>0</v>
      </c>
    </row>
    <row r="3020" spans="1:8" x14ac:dyDescent="0.35">
      <c r="A3020">
        <v>19167</v>
      </c>
      <c r="B3020" t="s">
        <v>11</v>
      </c>
      <c r="C3020">
        <v>5</v>
      </c>
      <c r="D3020">
        <v>176</v>
      </c>
      <c r="E3020" t="s">
        <v>8</v>
      </c>
      <c r="F3020" t="s">
        <v>9</v>
      </c>
      <c r="G3020" t="s">
        <v>16</v>
      </c>
      <c r="H3020">
        <v>0</v>
      </c>
    </row>
    <row r="3021" spans="1:8" x14ac:dyDescent="0.35">
      <c r="A3021">
        <v>17654</v>
      </c>
      <c r="B3021" t="s">
        <v>11</v>
      </c>
      <c r="C3021">
        <v>10</v>
      </c>
      <c r="D3021">
        <v>62</v>
      </c>
      <c r="E3021" t="s">
        <v>8</v>
      </c>
      <c r="F3021" t="s">
        <v>13</v>
      </c>
      <c r="G3021" t="s">
        <v>16</v>
      </c>
      <c r="H3021">
        <v>0</v>
      </c>
    </row>
    <row r="3022" spans="1:8" x14ac:dyDescent="0.35">
      <c r="A3022">
        <v>18614</v>
      </c>
      <c r="B3022" t="s">
        <v>11</v>
      </c>
      <c r="C3022">
        <v>1</v>
      </c>
      <c r="D3022">
        <v>80</v>
      </c>
      <c r="E3022" t="s">
        <v>8</v>
      </c>
      <c r="F3022" t="s">
        <v>13</v>
      </c>
      <c r="G3022" t="s">
        <v>16</v>
      </c>
      <c r="H3022">
        <v>0</v>
      </c>
    </row>
    <row r="3023" spans="1:8" x14ac:dyDescent="0.35">
      <c r="A3023">
        <v>11435</v>
      </c>
      <c r="B3023" t="s">
        <v>11</v>
      </c>
      <c r="C3023">
        <v>6</v>
      </c>
      <c r="D3023">
        <v>354</v>
      </c>
      <c r="E3023" t="s">
        <v>8</v>
      </c>
      <c r="F3023" t="s">
        <v>9</v>
      </c>
      <c r="G3023" t="s">
        <v>10</v>
      </c>
      <c r="H3023">
        <v>0</v>
      </c>
    </row>
    <row r="3024" spans="1:8" x14ac:dyDescent="0.35">
      <c r="A3024">
        <v>12913</v>
      </c>
      <c r="B3024" t="s">
        <v>11</v>
      </c>
      <c r="C3024">
        <v>8</v>
      </c>
      <c r="D3024">
        <v>165</v>
      </c>
      <c r="E3024" t="s">
        <v>8</v>
      </c>
      <c r="F3024" t="s">
        <v>9</v>
      </c>
      <c r="G3024" t="s">
        <v>12</v>
      </c>
      <c r="H3024">
        <v>0</v>
      </c>
    </row>
    <row r="3025" spans="1:8" x14ac:dyDescent="0.35">
      <c r="A3025">
        <v>10922</v>
      </c>
      <c r="B3025" t="s">
        <v>7</v>
      </c>
      <c r="C3025">
        <v>3</v>
      </c>
      <c r="D3025">
        <v>155</v>
      </c>
      <c r="E3025" t="s">
        <v>8</v>
      </c>
      <c r="F3025" t="s">
        <v>9</v>
      </c>
      <c r="G3025" t="s">
        <v>12</v>
      </c>
      <c r="H3025">
        <v>0</v>
      </c>
    </row>
    <row r="3026" spans="1:8" x14ac:dyDescent="0.35">
      <c r="A3026">
        <v>11205</v>
      </c>
      <c r="B3026" t="s">
        <v>7</v>
      </c>
      <c r="C3026">
        <v>1</v>
      </c>
      <c r="D3026">
        <v>62</v>
      </c>
      <c r="E3026" t="s">
        <v>8</v>
      </c>
      <c r="F3026" t="s">
        <v>9</v>
      </c>
      <c r="G3026" t="s">
        <v>10</v>
      </c>
      <c r="H3026">
        <v>0</v>
      </c>
    </row>
    <row r="3027" spans="1:8" x14ac:dyDescent="0.35">
      <c r="A3027">
        <v>13743</v>
      </c>
      <c r="B3027" t="s">
        <v>7</v>
      </c>
      <c r="C3027">
        <v>14</v>
      </c>
      <c r="D3027">
        <v>126</v>
      </c>
      <c r="E3027" t="s">
        <v>8</v>
      </c>
      <c r="F3027" t="s">
        <v>13</v>
      </c>
      <c r="G3027" t="s">
        <v>10</v>
      </c>
      <c r="H3027">
        <v>0</v>
      </c>
    </row>
    <row r="3028" spans="1:8" x14ac:dyDescent="0.35">
      <c r="A3028">
        <v>19956</v>
      </c>
      <c r="B3028" t="s">
        <v>7</v>
      </c>
      <c r="C3028">
        <v>9</v>
      </c>
      <c r="D3028">
        <v>65</v>
      </c>
      <c r="E3028" t="s">
        <v>8</v>
      </c>
      <c r="F3028" t="s">
        <v>13</v>
      </c>
      <c r="G3028" t="s">
        <v>12</v>
      </c>
      <c r="H3028">
        <v>0</v>
      </c>
    </row>
    <row r="3029" spans="1:8" x14ac:dyDescent="0.35">
      <c r="A3029">
        <v>12228</v>
      </c>
      <c r="B3029" t="s">
        <v>11</v>
      </c>
      <c r="C3029">
        <v>5</v>
      </c>
      <c r="D3029">
        <v>344</v>
      </c>
      <c r="E3029" t="s">
        <v>8</v>
      </c>
      <c r="F3029" t="s">
        <v>13</v>
      </c>
      <c r="G3029" t="s">
        <v>12</v>
      </c>
      <c r="H3029">
        <v>0</v>
      </c>
    </row>
    <row r="3030" spans="1:8" x14ac:dyDescent="0.35">
      <c r="A3030">
        <v>18003</v>
      </c>
      <c r="B3030" t="s">
        <v>7</v>
      </c>
      <c r="C3030">
        <v>8</v>
      </c>
      <c r="D3030">
        <v>46</v>
      </c>
      <c r="E3030" t="s">
        <v>8</v>
      </c>
      <c r="F3030" t="s">
        <v>13</v>
      </c>
      <c r="G3030" t="s">
        <v>10</v>
      </c>
      <c r="H3030">
        <v>0</v>
      </c>
    </row>
    <row r="3031" spans="1:8" x14ac:dyDescent="0.35">
      <c r="A3031">
        <v>18786</v>
      </c>
      <c r="B3031" t="s">
        <v>7</v>
      </c>
      <c r="C3031">
        <v>5</v>
      </c>
      <c r="D3031">
        <v>172</v>
      </c>
      <c r="E3031" t="s">
        <v>8</v>
      </c>
      <c r="F3031" t="s">
        <v>13</v>
      </c>
      <c r="G3031" t="s">
        <v>14</v>
      </c>
      <c r="H3031">
        <v>0</v>
      </c>
    </row>
    <row r="3032" spans="1:8" x14ac:dyDescent="0.35">
      <c r="A3032">
        <v>12298</v>
      </c>
      <c r="B3032" t="s">
        <v>11</v>
      </c>
      <c r="C3032">
        <v>11</v>
      </c>
      <c r="D3032">
        <v>107</v>
      </c>
      <c r="E3032" t="s">
        <v>8</v>
      </c>
      <c r="F3032" t="s">
        <v>13</v>
      </c>
      <c r="G3032" t="s">
        <v>14</v>
      </c>
      <c r="H3032">
        <v>0</v>
      </c>
    </row>
    <row r="3033" spans="1:8" x14ac:dyDescent="0.35">
      <c r="A3033">
        <v>10581</v>
      </c>
      <c r="B3033" t="s">
        <v>7</v>
      </c>
      <c r="C3033">
        <v>7</v>
      </c>
      <c r="D3033">
        <v>163</v>
      </c>
      <c r="E3033" t="s">
        <v>15</v>
      </c>
      <c r="F3033" t="s">
        <v>9</v>
      </c>
      <c r="G3033" t="s">
        <v>14</v>
      </c>
      <c r="H3033">
        <v>1</v>
      </c>
    </row>
    <row r="3034" spans="1:8" x14ac:dyDescent="0.35">
      <c r="A3034">
        <v>19143</v>
      </c>
      <c r="B3034" t="s">
        <v>11</v>
      </c>
      <c r="C3034">
        <v>1</v>
      </c>
      <c r="D3034">
        <v>205</v>
      </c>
      <c r="E3034" t="s">
        <v>8</v>
      </c>
      <c r="F3034" t="s">
        <v>13</v>
      </c>
      <c r="G3034" t="s">
        <v>10</v>
      </c>
      <c r="H3034">
        <v>0</v>
      </c>
    </row>
    <row r="3035" spans="1:8" x14ac:dyDescent="0.35">
      <c r="A3035">
        <v>13439</v>
      </c>
      <c r="B3035" t="s">
        <v>11</v>
      </c>
      <c r="C3035">
        <v>14</v>
      </c>
      <c r="D3035">
        <v>320</v>
      </c>
      <c r="E3035" t="s">
        <v>8</v>
      </c>
      <c r="F3035" t="s">
        <v>13</v>
      </c>
      <c r="G3035" t="s">
        <v>12</v>
      </c>
      <c r="H3035">
        <v>0</v>
      </c>
    </row>
    <row r="3036" spans="1:8" x14ac:dyDescent="0.35">
      <c r="A3036">
        <v>17746</v>
      </c>
      <c r="B3036" t="s">
        <v>11</v>
      </c>
      <c r="C3036">
        <v>6</v>
      </c>
      <c r="D3036">
        <v>316</v>
      </c>
      <c r="E3036" t="s">
        <v>8</v>
      </c>
      <c r="F3036" t="s">
        <v>9</v>
      </c>
      <c r="G3036" t="s">
        <v>10</v>
      </c>
      <c r="H3036">
        <v>0</v>
      </c>
    </row>
    <row r="3037" spans="1:8" x14ac:dyDescent="0.35">
      <c r="A3037">
        <v>18550</v>
      </c>
      <c r="B3037" t="s">
        <v>11</v>
      </c>
      <c r="C3037">
        <v>13</v>
      </c>
      <c r="D3037">
        <v>296</v>
      </c>
      <c r="E3037" t="s">
        <v>8</v>
      </c>
      <c r="F3037" t="s">
        <v>13</v>
      </c>
      <c r="G3037" t="s">
        <v>12</v>
      </c>
      <c r="H3037">
        <v>0</v>
      </c>
    </row>
    <row r="3038" spans="1:8" x14ac:dyDescent="0.35">
      <c r="A3038">
        <v>11755</v>
      </c>
      <c r="B3038" t="s">
        <v>7</v>
      </c>
      <c r="C3038">
        <v>12</v>
      </c>
      <c r="D3038">
        <v>338</v>
      </c>
      <c r="E3038" t="s">
        <v>8</v>
      </c>
      <c r="F3038" t="s">
        <v>9</v>
      </c>
      <c r="G3038" t="s">
        <v>10</v>
      </c>
      <c r="H3038">
        <v>0</v>
      </c>
    </row>
    <row r="3039" spans="1:8" x14ac:dyDescent="0.35">
      <c r="A3039">
        <v>11182</v>
      </c>
      <c r="B3039" t="s">
        <v>11</v>
      </c>
      <c r="C3039">
        <v>5</v>
      </c>
      <c r="D3039">
        <v>232</v>
      </c>
      <c r="E3039" t="s">
        <v>8</v>
      </c>
      <c r="F3039" t="s">
        <v>9</v>
      </c>
      <c r="G3039" t="s">
        <v>10</v>
      </c>
      <c r="H3039">
        <v>0</v>
      </c>
    </row>
    <row r="3040" spans="1:8" x14ac:dyDescent="0.35">
      <c r="A3040">
        <v>16857</v>
      </c>
      <c r="B3040" t="s">
        <v>11</v>
      </c>
      <c r="C3040">
        <v>8</v>
      </c>
      <c r="D3040">
        <v>435</v>
      </c>
      <c r="E3040" t="s">
        <v>8</v>
      </c>
      <c r="F3040" t="s">
        <v>13</v>
      </c>
      <c r="G3040" t="s">
        <v>10</v>
      </c>
      <c r="H3040">
        <v>0</v>
      </c>
    </row>
    <row r="3041" spans="1:8" x14ac:dyDescent="0.35">
      <c r="A3041">
        <v>13771</v>
      </c>
      <c r="B3041" t="s">
        <v>7</v>
      </c>
      <c r="C3041">
        <v>4</v>
      </c>
      <c r="D3041">
        <v>187</v>
      </c>
      <c r="E3041" t="s">
        <v>15</v>
      </c>
      <c r="F3041" t="s">
        <v>9</v>
      </c>
      <c r="G3041" t="s">
        <v>16</v>
      </c>
      <c r="H3041">
        <v>1</v>
      </c>
    </row>
    <row r="3042" spans="1:8" x14ac:dyDescent="0.35">
      <c r="A3042">
        <v>17906</v>
      </c>
      <c r="B3042" t="s">
        <v>11</v>
      </c>
      <c r="C3042">
        <v>1</v>
      </c>
      <c r="D3042">
        <v>326</v>
      </c>
      <c r="E3042" t="s">
        <v>8</v>
      </c>
      <c r="F3042" t="s">
        <v>13</v>
      </c>
      <c r="G3042" t="s">
        <v>10</v>
      </c>
      <c r="H3042">
        <v>0</v>
      </c>
    </row>
    <row r="3043" spans="1:8" x14ac:dyDescent="0.35">
      <c r="A3043">
        <v>19943</v>
      </c>
      <c r="B3043" t="s">
        <v>11</v>
      </c>
      <c r="C3043">
        <v>7</v>
      </c>
      <c r="D3043">
        <v>103</v>
      </c>
      <c r="E3043" t="s">
        <v>8</v>
      </c>
      <c r="F3043" t="s">
        <v>13</v>
      </c>
      <c r="G3043" t="s">
        <v>14</v>
      </c>
      <c r="H3043">
        <v>0</v>
      </c>
    </row>
    <row r="3044" spans="1:8" x14ac:dyDescent="0.35">
      <c r="A3044">
        <v>10618</v>
      </c>
      <c r="B3044" t="s">
        <v>11</v>
      </c>
      <c r="C3044">
        <v>13</v>
      </c>
      <c r="D3044">
        <v>189</v>
      </c>
      <c r="E3044" t="s">
        <v>8</v>
      </c>
      <c r="F3044" t="s">
        <v>13</v>
      </c>
      <c r="G3044" t="s">
        <v>16</v>
      </c>
      <c r="H3044">
        <v>0</v>
      </c>
    </row>
    <row r="3045" spans="1:8" x14ac:dyDescent="0.35">
      <c r="A3045">
        <v>18779</v>
      </c>
      <c r="B3045" t="s">
        <v>11</v>
      </c>
      <c r="C3045">
        <v>3</v>
      </c>
      <c r="D3045">
        <v>55</v>
      </c>
      <c r="E3045" t="s">
        <v>15</v>
      </c>
      <c r="F3045" t="s">
        <v>13</v>
      </c>
      <c r="G3045" t="s">
        <v>12</v>
      </c>
      <c r="H3045">
        <v>1</v>
      </c>
    </row>
    <row r="3046" spans="1:8" x14ac:dyDescent="0.35">
      <c r="A3046">
        <v>12471</v>
      </c>
      <c r="B3046" t="s">
        <v>11</v>
      </c>
      <c r="C3046">
        <v>14</v>
      </c>
      <c r="D3046">
        <v>227</v>
      </c>
      <c r="E3046" t="s">
        <v>8</v>
      </c>
      <c r="F3046" t="s">
        <v>9</v>
      </c>
      <c r="G3046" t="s">
        <v>12</v>
      </c>
      <c r="H3046">
        <v>0</v>
      </c>
    </row>
    <row r="3047" spans="1:8" x14ac:dyDescent="0.35">
      <c r="A3047">
        <v>15670</v>
      </c>
      <c r="B3047" t="s">
        <v>7</v>
      </c>
      <c r="C3047">
        <v>13</v>
      </c>
      <c r="D3047">
        <v>71</v>
      </c>
      <c r="E3047" t="s">
        <v>15</v>
      </c>
      <c r="F3047" t="s">
        <v>9</v>
      </c>
      <c r="G3047" t="s">
        <v>12</v>
      </c>
      <c r="H3047">
        <v>1</v>
      </c>
    </row>
    <row r="3048" spans="1:8" x14ac:dyDescent="0.35">
      <c r="A3048">
        <v>12745</v>
      </c>
      <c r="B3048" t="s">
        <v>7</v>
      </c>
      <c r="C3048">
        <v>7</v>
      </c>
      <c r="D3048">
        <v>202</v>
      </c>
      <c r="E3048" t="s">
        <v>15</v>
      </c>
      <c r="F3048" t="s">
        <v>13</v>
      </c>
      <c r="G3048" t="s">
        <v>14</v>
      </c>
      <c r="H3048">
        <v>1</v>
      </c>
    </row>
    <row r="3049" spans="1:8" x14ac:dyDescent="0.35">
      <c r="A3049">
        <v>19149</v>
      </c>
      <c r="B3049" t="s">
        <v>11</v>
      </c>
      <c r="C3049">
        <v>13</v>
      </c>
      <c r="D3049">
        <v>164</v>
      </c>
      <c r="E3049" t="s">
        <v>8</v>
      </c>
      <c r="F3049" t="s">
        <v>13</v>
      </c>
      <c r="G3049" t="s">
        <v>14</v>
      </c>
      <c r="H3049">
        <v>0</v>
      </c>
    </row>
    <row r="3050" spans="1:8" x14ac:dyDescent="0.35">
      <c r="A3050">
        <v>13806</v>
      </c>
      <c r="B3050" t="s">
        <v>7</v>
      </c>
      <c r="C3050">
        <v>14</v>
      </c>
      <c r="D3050">
        <v>316</v>
      </c>
      <c r="E3050" t="s">
        <v>8</v>
      </c>
      <c r="F3050" t="s">
        <v>13</v>
      </c>
      <c r="G3050" t="s">
        <v>14</v>
      </c>
      <c r="H3050">
        <v>0</v>
      </c>
    </row>
    <row r="3051" spans="1:8" x14ac:dyDescent="0.35">
      <c r="A3051">
        <v>12788</v>
      </c>
      <c r="B3051" t="s">
        <v>7</v>
      </c>
      <c r="C3051">
        <v>5</v>
      </c>
      <c r="D3051">
        <v>50</v>
      </c>
      <c r="E3051" t="s">
        <v>8</v>
      </c>
      <c r="F3051" t="s">
        <v>13</v>
      </c>
      <c r="G3051" t="s">
        <v>16</v>
      </c>
      <c r="H3051">
        <v>0</v>
      </c>
    </row>
    <row r="3052" spans="1:8" x14ac:dyDescent="0.35">
      <c r="A3052">
        <v>14864</v>
      </c>
      <c r="B3052" t="s">
        <v>11</v>
      </c>
      <c r="C3052">
        <v>4</v>
      </c>
      <c r="D3052">
        <v>320</v>
      </c>
      <c r="E3052" t="s">
        <v>15</v>
      </c>
      <c r="F3052" t="s">
        <v>13</v>
      </c>
      <c r="G3052" t="s">
        <v>16</v>
      </c>
      <c r="H3052">
        <v>1</v>
      </c>
    </row>
    <row r="3053" spans="1:8" x14ac:dyDescent="0.35">
      <c r="A3053">
        <v>10984</v>
      </c>
      <c r="B3053" t="s">
        <v>7</v>
      </c>
      <c r="C3053">
        <v>3</v>
      </c>
      <c r="D3053">
        <v>314</v>
      </c>
      <c r="E3053" t="s">
        <v>8</v>
      </c>
      <c r="F3053" t="s">
        <v>9</v>
      </c>
      <c r="G3053" t="s">
        <v>16</v>
      </c>
      <c r="H3053">
        <v>0</v>
      </c>
    </row>
    <row r="3054" spans="1:8" x14ac:dyDescent="0.35">
      <c r="A3054">
        <v>12022</v>
      </c>
      <c r="B3054" t="s">
        <v>11</v>
      </c>
      <c r="C3054">
        <v>10</v>
      </c>
      <c r="D3054">
        <v>194</v>
      </c>
      <c r="E3054" t="s">
        <v>8</v>
      </c>
      <c r="F3054" t="s">
        <v>13</v>
      </c>
      <c r="G3054" t="s">
        <v>12</v>
      </c>
      <c r="H3054">
        <v>0</v>
      </c>
    </row>
    <row r="3055" spans="1:8" x14ac:dyDescent="0.35">
      <c r="A3055">
        <v>14441</v>
      </c>
      <c r="B3055" t="s">
        <v>7</v>
      </c>
      <c r="C3055">
        <v>5</v>
      </c>
      <c r="D3055">
        <v>110</v>
      </c>
      <c r="E3055" t="s">
        <v>8</v>
      </c>
      <c r="F3055" t="s">
        <v>9</v>
      </c>
      <c r="G3055" t="s">
        <v>10</v>
      </c>
      <c r="H3055">
        <v>0</v>
      </c>
    </row>
    <row r="3056" spans="1:8" x14ac:dyDescent="0.35">
      <c r="A3056">
        <v>14517</v>
      </c>
      <c r="B3056" t="s">
        <v>7</v>
      </c>
      <c r="C3056">
        <v>1</v>
      </c>
      <c r="D3056">
        <v>211</v>
      </c>
      <c r="E3056" t="s">
        <v>15</v>
      </c>
      <c r="F3056" t="s">
        <v>13</v>
      </c>
      <c r="G3056" t="s">
        <v>14</v>
      </c>
      <c r="H3056">
        <v>1</v>
      </c>
    </row>
    <row r="3057" spans="1:8" x14ac:dyDescent="0.35">
      <c r="A3057">
        <v>12463</v>
      </c>
      <c r="B3057" t="s">
        <v>7</v>
      </c>
      <c r="C3057">
        <v>14</v>
      </c>
      <c r="D3057">
        <v>446</v>
      </c>
      <c r="E3057" t="s">
        <v>8</v>
      </c>
      <c r="F3057" t="s">
        <v>9</v>
      </c>
      <c r="G3057" t="s">
        <v>10</v>
      </c>
      <c r="H3057">
        <v>0</v>
      </c>
    </row>
    <row r="3058" spans="1:8" x14ac:dyDescent="0.35">
      <c r="A3058">
        <v>14795</v>
      </c>
      <c r="B3058" t="s">
        <v>11</v>
      </c>
      <c r="C3058">
        <v>8</v>
      </c>
      <c r="D3058">
        <v>427</v>
      </c>
      <c r="E3058" t="s">
        <v>8</v>
      </c>
      <c r="F3058" t="s">
        <v>9</v>
      </c>
      <c r="G3058" t="s">
        <v>12</v>
      </c>
      <c r="H3058">
        <v>0</v>
      </c>
    </row>
    <row r="3059" spans="1:8" x14ac:dyDescent="0.35">
      <c r="A3059">
        <v>16458</v>
      </c>
      <c r="B3059" t="s">
        <v>7</v>
      </c>
      <c r="C3059">
        <v>5</v>
      </c>
      <c r="D3059">
        <v>380</v>
      </c>
      <c r="E3059" t="s">
        <v>8</v>
      </c>
      <c r="F3059" t="s">
        <v>9</v>
      </c>
      <c r="G3059" t="s">
        <v>16</v>
      </c>
      <c r="H3059">
        <v>0</v>
      </c>
    </row>
    <row r="3060" spans="1:8" x14ac:dyDescent="0.35">
      <c r="A3060">
        <v>12580</v>
      </c>
      <c r="B3060" t="s">
        <v>11</v>
      </c>
      <c r="C3060">
        <v>10</v>
      </c>
      <c r="D3060">
        <v>348</v>
      </c>
      <c r="E3060" t="s">
        <v>8</v>
      </c>
      <c r="F3060" t="s">
        <v>9</v>
      </c>
      <c r="G3060" t="s">
        <v>12</v>
      </c>
      <c r="H3060">
        <v>0</v>
      </c>
    </row>
    <row r="3061" spans="1:8" x14ac:dyDescent="0.35">
      <c r="A3061">
        <v>14448</v>
      </c>
      <c r="B3061" t="s">
        <v>7</v>
      </c>
      <c r="C3061">
        <v>5</v>
      </c>
      <c r="D3061">
        <v>324</v>
      </c>
      <c r="E3061" t="s">
        <v>8</v>
      </c>
      <c r="F3061" t="s">
        <v>13</v>
      </c>
      <c r="G3061" t="s">
        <v>12</v>
      </c>
      <c r="H3061">
        <v>0</v>
      </c>
    </row>
    <row r="3062" spans="1:8" x14ac:dyDescent="0.35">
      <c r="A3062">
        <v>13687</v>
      </c>
      <c r="B3062" t="s">
        <v>7</v>
      </c>
      <c r="C3062">
        <v>5</v>
      </c>
      <c r="D3062">
        <v>112</v>
      </c>
      <c r="E3062" t="s">
        <v>8</v>
      </c>
      <c r="F3062" t="s">
        <v>13</v>
      </c>
      <c r="G3062" t="s">
        <v>12</v>
      </c>
      <c r="H3062">
        <v>0</v>
      </c>
    </row>
    <row r="3063" spans="1:8" x14ac:dyDescent="0.35">
      <c r="A3063">
        <v>10933</v>
      </c>
      <c r="B3063" t="s">
        <v>11</v>
      </c>
      <c r="C3063">
        <v>12</v>
      </c>
      <c r="D3063">
        <v>442</v>
      </c>
      <c r="E3063" t="s">
        <v>8</v>
      </c>
      <c r="F3063" t="s">
        <v>13</v>
      </c>
      <c r="G3063" t="s">
        <v>16</v>
      </c>
      <c r="H3063">
        <v>0</v>
      </c>
    </row>
    <row r="3064" spans="1:8" x14ac:dyDescent="0.35">
      <c r="A3064">
        <v>15594</v>
      </c>
      <c r="B3064" t="s">
        <v>7</v>
      </c>
      <c r="C3064">
        <v>13</v>
      </c>
      <c r="D3064">
        <v>75</v>
      </c>
      <c r="E3064" t="s">
        <v>8</v>
      </c>
      <c r="F3064" t="s">
        <v>13</v>
      </c>
      <c r="G3064" t="s">
        <v>14</v>
      </c>
      <c r="H3064">
        <v>0</v>
      </c>
    </row>
    <row r="3065" spans="1:8" x14ac:dyDescent="0.35">
      <c r="A3065">
        <v>19138</v>
      </c>
      <c r="B3065" t="s">
        <v>11</v>
      </c>
      <c r="C3065">
        <v>8</v>
      </c>
      <c r="D3065">
        <v>90</v>
      </c>
      <c r="E3065" t="s">
        <v>8</v>
      </c>
      <c r="F3065" t="s">
        <v>13</v>
      </c>
      <c r="G3065" t="s">
        <v>16</v>
      </c>
      <c r="H3065">
        <v>0</v>
      </c>
    </row>
    <row r="3066" spans="1:8" x14ac:dyDescent="0.35">
      <c r="A3066">
        <v>14957</v>
      </c>
      <c r="B3066" t="s">
        <v>7</v>
      </c>
      <c r="C3066">
        <v>12</v>
      </c>
      <c r="D3066">
        <v>273</v>
      </c>
      <c r="E3066" t="s">
        <v>8</v>
      </c>
      <c r="F3066" t="s">
        <v>13</v>
      </c>
      <c r="G3066" t="s">
        <v>14</v>
      </c>
      <c r="H3066">
        <v>0</v>
      </c>
    </row>
    <row r="3067" spans="1:8" x14ac:dyDescent="0.35">
      <c r="A3067">
        <v>17878</v>
      </c>
      <c r="B3067" t="s">
        <v>11</v>
      </c>
      <c r="C3067">
        <v>12</v>
      </c>
      <c r="D3067">
        <v>63</v>
      </c>
      <c r="E3067" t="s">
        <v>8</v>
      </c>
      <c r="F3067" t="s">
        <v>13</v>
      </c>
      <c r="G3067" t="s">
        <v>12</v>
      </c>
      <c r="H3067">
        <v>0</v>
      </c>
    </row>
    <row r="3068" spans="1:8" x14ac:dyDescent="0.35">
      <c r="A3068">
        <v>15818</v>
      </c>
      <c r="B3068" t="s">
        <v>11</v>
      </c>
      <c r="C3068">
        <v>2</v>
      </c>
      <c r="D3068">
        <v>365</v>
      </c>
      <c r="E3068" t="s">
        <v>8</v>
      </c>
      <c r="F3068" t="s">
        <v>9</v>
      </c>
      <c r="G3068" t="s">
        <v>12</v>
      </c>
      <c r="H3068">
        <v>0</v>
      </c>
    </row>
    <row r="3069" spans="1:8" x14ac:dyDescent="0.35">
      <c r="A3069">
        <v>13389</v>
      </c>
      <c r="B3069" t="s">
        <v>11</v>
      </c>
      <c r="C3069">
        <v>2</v>
      </c>
      <c r="D3069">
        <v>355</v>
      </c>
      <c r="E3069" t="s">
        <v>8</v>
      </c>
      <c r="F3069" t="s">
        <v>9</v>
      </c>
      <c r="G3069" t="s">
        <v>16</v>
      </c>
      <c r="H3069">
        <v>0</v>
      </c>
    </row>
    <row r="3070" spans="1:8" x14ac:dyDescent="0.35">
      <c r="A3070">
        <v>16953</v>
      </c>
      <c r="B3070" t="s">
        <v>11</v>
      </c>
      <c r="C3070">
        <v>9</v>
      </c>
      <c r="D3070">
        <v>166</v>
      </c>
      <c r="E3070" t="s">
        <v>8</v>
      </c>
      <c r="F3070" t="s">
        <v>13</v>
      </c>
      <c r="G3070" t="s">
        <v>12</v>
      </c>
      <c r="H3070">
        <v>0</v>
      </c>
    </row>
    <row r="3071" spans="1:8" x14ac:dyDescent="0.35">
      <c r="A3071">
        <v>19660</v>
      </c>
      <c r="B3071" t="s">
        <v>7</v>
      </c>
      <c r="C3071">
        <v>12</v>
      </c>
      <c r="D3071">
        <v>108</v>
      </c>
      <c r="E3071" t="s">
        <v>8</v>
      </c>
      <c r="F3071" t="s">
        <v>13</v>
      </c>
      <c r="G3071" t="s">
        <v>14</v>
      </c>
      <c r="H3071">
        <v>0</v>
      </c>
    </row>
    <row r="3072" spans="1:8" x14ac:dyDescent="0.35">
      <c r="A3072">
        <v>14320</v>
      </c>
      <c r="B3072" t="s">
        <v>7</v>
      </c>
      <c r="C3072">
        <v>11</v>
      </c>
      <c r="D3072">
        <v>126</v>
      </c>
      <c r="E3072" t="s">
        <v>8</v>
      </c>
      <c r="F3072" t="s">
        <v>13</v>
      </c>
      <c r="G3072" t="s">
        <v>14</v>
      </c>
      <c r="H3072">
        <v>0</v>
      </c>
    </row>
    <row r="3073" spans="1:8" x14ac:dyDescent="0.35">
      <c r="A3073">
        <v>17712</v>
      </c>
      <c r="B3073" t="s">
        <v>11</v>
      </c>
      <c r="C3073">
        <v>8</v>
      </c>
      <c r="D3073">
        <v>120</v>
      </c>
      <c r="E3073" t="s">
        <v>8</v>
      </c>
      <c r="F3073" t="s">
        <v>9</v>
      </c>
      <c r="G3073" t="s">
        <v>12</v>
      </c>
      <c r="H3073">
        <v>0</v>
      </c>
    </row>
    <row r="3074" spans="1:8" x14ac:dyDescent="0.35">
      <c r="A3074">
        <v>13036</v>
      </c>
      <c r="B3074" t="s">
        <v>7</v>
      </c>
      <c r="C3074">
        <v>11</v>
      </c>
      <c r="D3074">
        <v>210</v>
      </c>
      <c r="E3074" t="s">
        <v>8</v>
      </c>
      <c r="F3074" t="s">
        <v>13</v>
      </c>
      <c r="G3074" t="s">
        <v>14</v>
      </c>
      <c r="H3074">
        <v>0</v>
      </c>
    </row>
    <row r="3075" spans="1:8" x14ac:dyDescent="0.35">
      <c r="A3075">
        <v>12700</v>
      </c>
      <c r="B3075" t="s">
        <v>7</v>
      </c>
      <c r="C3075">
        <v>6</v>
      </c>
      <c r="D3075">
        <v>377</v>
      </c>
      <c r="E3075" t="s">
        <v>8</v>
      </c>
      <c r="F3075" t="s">
        <v>13</v>
      </c>
      <c r="G3075" t="s">
        <v>10</v>
      </c>
      <c r="H3075">
        <v>0</v>
      </c>
    </row>
    <row r="3076" spans="1:8" x14ac:dyDescent="0.35">
      <c r="A3076">
        <v>12074</v>
      </c>
      <c r="B3076" t="s">
        <v>7</v>
      </c>
      <c r="C3076">
        <v>5</v>
      </c>
      <c r="D3076">
        <v>90</v>
      </c>
      <c r="E3076" t="s">
        <v>8</v>
      </c>
      <c r="F3076" t="s">
        <v>13</v>
      </c>
      <c r="G3076" t="s">
        <v>16</v>
      </c>
      <c r="H3076">
        <v>0</v>
      </c>
    </row>
    <row r="3077" spans="1:8" x14ac:dyDescent="0.35">
      <c r="A3077">
        <v>15333</v>
      </c>
      <c r="B3077" t="s">
        <v>7</v>
      </c>
      <c r="C3077">
        <v>14</v>
      </c>
      <c r="D3077">
        <v>254</v>
      </c>
      <c r="E3077" t="s">
        <v>8</v>
      </c>
      <c r="F3077" t="s">
        <v>13</v>
      </c>
      <c r="G3077" t="s">
        <v>16</v>
      </c>
      <c r="H3077">
        <v>0</v>
      </c>
    </row>
    <row r="3078" spans="1:8" x14ac:dyDescent="0.35">
      <c r="A3078">
        <v>18609</v>
      </c>
      <c r="B3078" t="s">
        <v>7</v>
      </c>
      <c r="C3078">
        <v>8</v>
      </c>
      <c r="D3078">
        <v>162</v>
      </c>
      <c r="E3078" t="s">
        <v>15</v>
      </c>
      <c r="F3078" t="s">
        <v>9</v>
      </c>
      <c r="G3078" t="s">
        <v>10</v>
      </c>
      <c r="H3078">
        <v>1</v>
      </c>
    </row>
    <row r="3079" spans="1:8" x14ac:dyDescent="0.35">
      <c r="A3079">
        <v>15801</v>
      </c>
      <c r="B3079" t="s">
        <v>7</v>
      </c>
      <c r="C3079">
        <v>2</v>
      </c>
      <c r="D3079">
        <v>289</v>
      </c>
      <c r="E3079" t="s">
        <v>8</v>
      </c>
      <c r="F3079" t="s">
        <v>9</v>
      </c>
      <c r="G3079" t="s">
        <v>12</v>
      </c>
      <c r="H3079">
        <v>0</v>
      </c>
    </row>
    <row r="3080" spans="1:8" x14ac:dyDescent="0.35">
      <c r="A3080">
        <v>11821</v>
      </c>
      <c r="B3080" t="s">
        <v>11</v>
      </c>
      <c r="C3080">
        <v>13</v>
      </c>
      <c r="D3080">
        <v>429</v>
      </c>
      <c r="E3080" t="s">
        <v>8</v>
      </c>
      <c r="F3080" t="s">
        <v>13</v>
      </c>
      <c r="G3080" t="s">
        <v>10</v>
      </c>
      <c r="H3080">
        <v>0</v>
      </c>
    </row>
    <row r="3081" spans="1:8" x14ac:dyDescent="0.35">
      <c r="A3081">
        <v>14399</v>
      </c>
      <c r="B3081" t="s">
        <v>11</v>
      </c>
      <c r="C3081">
        <v>1</v>
      </c>
      <c r="D3081">
        <v>204</v>
      </c>
      <c r="E3081" t="s">
        <v>8</v>
      </c>
      <c r="F3081" t="s">
        <v>13</v>
      </c>
      <c r="G3081" t="s">
        <v>16</v>
      </c>
      <c r="H3081">
        <v>0</v>
      </c>
    </row>
    <row r="3082" spans="1:8" x14ac:dyDescent="0.35">
      <c r="A3082">
        <v>16009</v>
      </c>
      <c r="B3082" t="s">
        <v>11</v>
      </c>
      <c r="C3082">
        <v>3</v>
      </c>
      <c r="D3082">
        <v>171</v>
      </c>
      <c r="E3082" t="s">
        <v>8</v>
      </c>
      <c r="F3082" t="s">
        <v>9</v>
      </c>
      <c r="G3082" t="s">
        <v>14</v>
      </c>
      <c r="H3082">
        <v>0</v>
      </c>
    </row>
    <row r="3083" spans="1:8" x14ac:dyDescent="0.35">
      <c r="A3083">
        <v>12320</v>
      </c>
      <c r="B3083" t="s">
        <v>7</v>
      </c>
      <c r="C3083">
        <v>4</v>
      </c>
      <c r="D3083">
        <v>435</v>
      </c>
      <c r="E3083" t="s">
        <v>8</v>
      </c>
      <c r="F3083" t="s">
        <v>13</v>
      </c>
      <c r="G3083" t="s">
        <v>10</v>
      </c>
      <c r="H3083">
        <v>0</v>
      </c>
    </row>
    <row r="3084" spans="1:8" x14ac:dyDescent="0.35">
      <c r="A3084">
        <v>14123</v>
      </c>
      <c r="B3084" t="s">
        <v>11</v>
      </c>
      <c r="C3084">
        <v>3</v>
      </c>
      <c r="D3084">
        <v>350</v>
      </c>
      <c r="E3084" t="s">
        <v>8</v>
      </c>
      <c r="F3084" t="s">
        <v>13</v>
      </c>
      <c r="G3084" t="s">
        <v>12</v>
      </c>
      <c r="H3084">
        <v>0</v>
      </c>
    </row>
    <row r="3085" spans="1:8" x14ac:dyDescent="0.35">
      <c r="A3085">
        <v>11995</v>
      </c>
      <c r="B3085" t="s">
        <v>7</v>
      </c>
      <c r="C3085">
        <v>4</v>
      </c>
      <c r="D3085">
        <v>275</v>
      </c>
      <c r="E3085" t="s">
        <v>8</v>
      </c>
      <c r="F3085" t="s">
        <v>9</v>
      </c>
      <c r="G3085" t="s">
        <v>10</v>
      </c>
      <c r="H3085">
        <v>0</v>
      </c>
    </row>
    <row r="3086" spans="1:8" x14ac:dyDescent="0.35">
      <c r="A3086">
        <v>16321</v>
      </c>
      <c r="B3086" t="s">
        <v>11</v>
      </c>
      <c r="C3086">
        <v>14</v>
      </c>
      <c r="D3086">
        <v>72</v>
      </c>
      <c r="E3086" t="s">
        <v>8</v>
      </c>
      <c r="F3086" t="s">
        <v>13</v>
      </c>
      <c r="G3086" t="s">
        <v>10</v>
      </c>
      <c r="H3086">
        <v>0</v>
      </c>
    </row>
    <row r="3087" spans="1:8" x14ac:dyDescent="0.35">
      <c r="A3087">
        <v>10336</v>
      </c>
      <c r="B3087" t="s">
        <v>7</v>
      </c>
      <c r="C3087">
        <v>14</v>
      </c>
      <c r="D3087">
        <v>55</v>
      </c>
      <c r="E3087" t="s">
        <v>8</v>
      </c>
      <c r="F3087" t="s">
        <v>13</v>
      </c>
      <c r="G3087" t="s">
        <v>12</v>
      </c>
      <c r="H3087">
        <v>0</v>
      </c>
    </row>
    <row r="3088" spans="1:8" x14ac:dyDescent="0.35">
      <c r="A3088">
        <v>19120</v>
      </c>
      <c r="B3088" t="s">
        <v>11</v>
      </c>
      <c r="C3088">
        <v>7</v>
      </c>
      <c r="D3088">
        <v>252</v>
      </c>
      <c r="E3088" t="s">
        <v>8</v>
      </c>
      <c r="F3088" t="s">
        <v>9</v>
      </c>
      <c r="G3088" t="s">
        <v>12</v>
      </c>
      <c r="H3088">
        <v>0</v>
      </c>
    </row>
    <row r="3089" spans="1:8" x14ac:dyDescent="0.35">
      <c r="A3089">
        <v>17199</v>
      </c>
      <c r="B3089" t="s">
        <v>7</v>
      </c>
      <c r="C3089">
        <v>8</v>
      </c>
      <c r="D3089">
        <v>82</v>
      </c>
      <c r="E3089" t="s">
        <v>8</v>
      </c>
      <c r="F3089" t="s">
        <v>9</v>
      </c>
      <c r="G3089" t="s">
        <v>10</v>
      </c>
      <c r="H3089">
        <v>0</v>
      </c>
    </row>
    <row r="3090" spans="1:8" x14ac:dyDescent="0.35">
      <c r="A3090">
        <v>18621</v>
      </c>
      <c r="B3090" t="s">
        <v>7</v>
      </c>
      <c r="C3090">
        <v>9</v>
      </c>
      <c r="D3090">
        <v>350</v>
      </c>
      <c r="E3090" t="s">
        <v>8</v>
      </c>
      <c r="F3090" t="s">
        <v>9</v>
      </c>
      <c r="G3090" t="s">
        <v>12</v>
      </c>
      <c r="H3090">
        <v>0</v>
      </c>
    </row>
    <row r="3091" spans="1:8" x14ac:dyDescent="0.35">
      <c r="A3091">
        <v>12263</v>
      </c>
      <c r="B3091" t="s">
        <v>7</v>
      </c>
      <c r="C3091">
        <v>9</v>
      </c>
      <c r="D3091">
        <v>180</v>
      </c>
      <c r="E3091" t="s">
        <v>8</v>
      </c>
      <c r="F3091" t="s">
        <v>9</v>
      </c>
      <c r="G3091" t="s">
        <v>16</v>
      </c>
      <c r="H3091">
        <v>0</v>
      </c>
    </row>
    <row r="3092" spans="1:8" x14ac:dyDescent="0.35">
      <c r="A3092">
        <v>14574</v>
      </c>
      <c r="B3092" t="s">
        <v>11</v>
      </c>
      <c r="C3092">
        <v>2</v>
      </c>
      <c r="D3092">
        <v>354</v>
      </c>
      <c r="E3092" t="s">
        <v>8</v>
      </c>
      <c r="F3092" t="s">
        <v>13</v>
      </c>
      <c r="G3092" t="s">
        <v>10</v>
      </c>
      <c r="H3092">
        <v>0</v>
      </c>
    </row>
    <row r="3093" spans="1:8" x14ac:dyDescent="0.35">
      <c r="A3093">
        <v>19789</v>
      </c>
      <c r="B3093" t="s">
        <v>7</v>
      </c>
      <c r="C3093">
        <v>10</v>
      </c>
      <c r="D3093">
        <v>67</v>
      </c>
      <c r="E3093" t="s">
        <v>8</v>
      </c>
      <c r="F3093" t="s">
        <v>13</v>
      </c>
      <c r="G3093" t="s">
        <v>12</v>
      </c>
      <c r="H3093">
        <v>0</v>
      </c>
    </row>
    <row r="3094" spans="1:8" x14ac:dyDescent="0.35">
      <c r="A3094">
        <v>18768</v>
      </c>
      <c r="B3094" t="s">
        <v>11</v>
      </c>
      <c r="C3094">
        <v>5</v>
      </c>
      <c r="D3094">
        <v>216</v>
      </c>
      <c r="E3094" t="s">
        <v>8</v>
      </c>
      <c r="F3094" t="s">
        <v>9</v>
      </c>
      <c r="G3094" t="s">
        <v>12</v>
      </c>
      <c r="H3094">
        <v>0</v>
      </c>
    </row>
    <row r="3095" spans="1:8" x14ac:dyDescent="0.35">
      <c r="A3095">
        <v>10997</v>
      </c>
      <c r="B3095" t="s">
        <v>11</v>
      </c>
      <c r="C3095">
        <v>11</v>
      </c>
      <c r="D3095">
        <v>107</v>
      </c>
      <c r="E3095" t="s">
        <v>8</v>
      </c>
      <c r="F3095" t="s">
        <v>9</v>
      </c>
      <c r="G3095" t="s">
        <v>10</v>
      </c>
      <c r="H3095">
        <v>0</v>
      </c>
    </row>
    <row r="3096" spans="1:8" x14ac:dyDescent="0.35">
      <c r="A3096">
        <v>15821</v>
      </c>
      <c r="B3096" t="s">
        <v>11</v>
      </c>
      <c r="C3096">
        <v>1</v>
      </c>
      <c r="D3096">
        <v>334</v>
      </c>
      <c r="E3096" t="s">
        <v>8</v>
      </c>
      <c r="F3096" t="s">
        <v>9</v>
      </c>
      <c r="G3096" t="s">
        <v>16</v>
      </c>
      <c r="H3096">
        <v>0</v>
      </c>
    </row>
    <row r="3097" spans="1:8" x14ac:dyDescent="0.35">
      <c r="A3097">
        <v>17986</v>
      </c>
      <c r="B3097" t="s">
        <v>7</v>
      </c>
      <c r="C3097">
        <v>8</v>
      </c>
      <c r="D3097">
        <v>363</v>
      </c>
      <c r="E3097" t="s">
        <v>8</v>
      </c>
      <c r="F3097" t="s">
        <v>13</v>
      </c>
      <c r="G3097" t="s">
        <v>12</v>
      </c>
      <c r="H3097">
        <v>0</v>
      </c>
    </row>
    <row r="3098" spans="1:8" x14ac:dyDescent="0.35">
      <c r="A3098">
        <v>19466</v>
      </c>
      <c r="B3098" t="s">
        <v>11</v>
      </c>
      <c r="C3098">
        <v>2</v>
      </c>
      <c r="D3098">
        <v>81</v>
      </c>
      <c r="E3098" t="s">
        <v>8</v>
      </c>
      <c r="F3098" t="s">
        <v>13</v>
      </c>
      <c r="G3098" t="s">
        <v>12</v>
      </c>
      <c r="H3098">
        <v>0</v>
      </c>
    </row>
    <row r="3099" spans="1:8" x14ac:dyDescent="0.35">
      <c r="A3099">
        <v>19054</v>
      </c>
      <c r="B3099" t="s">
        <v>11</v>
      </c>
      <c r="C3099">
        <v>6</v>
      </c>
      <c r="D3099">
        <v>233</v>
      </c>
      <c r="E3099" t="s">
        <v>8</v>
      </c>
      <c r="F3099" t="s">
        <v>13</v>
      </c>
      <c r="G3099" t="s">
        <v>14</v>
      </c>
      <c r="H3099">
        <v>0</v>
      </c>
    </row>
    <row r="3100" spans="1:8" x14ac:dyDescent="0.35">
      <c r="A3100">
        <v>12764</v>
      </c>
      <c r="B3100" t="s">
        <v>11</v>
      </c>
      <c r="C3100">
        <v>2</v>
      </c>
      <c r="D3100">
        <v>314</v>
      </c>
      <c r="E3100" t="s">
        <v>8</v>
      </c>
      <c r="F3100" t="s">
        <v>13</v>
      </c>
      <c r="G3100" t="s">
        <v>14</v>
      </c>
      <c r="H3100">
        <v>0</v>
      </c>
    </row>
    <row r="3101" spans="1:8" x14ac:dyDescent="0.35">
      <c r="A3101">
        <v>13978</v>
      </c>
      <c r="B3101" t="s">
        <v>7</v>
      </c>
      <c r="C3101">
        <v>3</v>
      </c>
      <c r="D3101">
        <v>354</v>
      </c>
      <c r="E3101" t="s">
        <v>8</v>
      </c>
      <c r="F3101" t="s">
        <v>13</v>
      </c>
      <c r="G3101" t="s">
        <v>10</v>
      </c>
      <c r="H3101">
        <v>0</v>
      </c>
    </row>
    <row r="3102" spans="1:8" x14ac:dyDescent="0.35">
      <c r="A3102">
        <v>12219</v>
      </c>
      <c r="B3102" t="s">
        <v>11</v>
      </c>
      <c r="C3102">
        <v>7</v>
      </c>
      <c r="D3102">
        <v>253</v>
      </c>
      <c r="E3102" t="s">
        <v>8</v>
      </c>
      <c r="F3102" t="s">
        <v>9</v>
      </c>
      <c r="G3102" t="s">
        <v>10</v>
      </c>
      <c r="H3102">
        <v>0</v>
      </c>
    </row>
    <row r="3103" spans="1:8" x14ac:dyDescent="0.35">
      <c r="A3103">
        <v>13103</v>
      </c>
      <c r="B3103" t="s">
        <v>7</v>
      </c>
      <c r="C3103">
        <v>9</v>
      </c>
      <c r="D3103">
        <v>440</v>
      </c>
      <c r="E3103" t="s">
        <v>8</v>
      </c>
      <c r="F3103" t="s">
        <v>9</v>
      </c>
      <c r="G3103" t="s">
        <v>10</v>
      </c>
      <c r="H3103">
        <v>0</v>
      </c>
    </row>
    <row r="3104" spans="1:8" x14ac:dyDescent="0.35">
      <c r="A3104">
        <v>10538</v>
      </c>
      <c r="B3104" t="s">
        <v>11</v>
      </c>
      <c r="C3104">
        <v>10</v>
      </c>
      <c r="D3104">
        <v>294</v>
      </c>
      <c r="E3104" t="s">
        <v>8</v>
      </c>
      <c r="F3104" t="s">
        <v>9</v>
      </c>
      <c r="G3104" t="s">
        <v>16</v>
      </c>
      <c r="H3104">
        <v>0</v>
      </c>
    </row>
    <row r="3105" spans="1:8" x14ac:dyDescent="0.35">
      <c r="A3105">
        <v>16404</v>
      </c>
      <c r="B3105" t="s">
        <v>11</v>
      </c>
      <c r="C3105">
        <v>12</v>
      </c>
      <c r="D3105">
        <v>259</v>
      </c>
      <c r="E3105" t="s">
        <v>8</v>
      </c>
      <c r="F3105" t="s">
        <v>13</v>
      </c>
      <c r="G3105" t="s">
        <v>10</v>
      </c>
      <c r="H3105">
        <v>0</v>
      </c>
    </row>
    <row r="3106" spans="1:8" x14ac:dyDescent="0.35">
      <c r="A3106">
        <v>17802</v>
      </c>
      <c r="B3106" t="s">
        <v>7</v>
      </c>
      <c r="C3106">
        <v>12</v>
      </c>
      <c r="D3106">
        <v>271</v>
      </c>
      <c r="E3106" t="s">
        <v>8</v>
      </c>
      <c r="F3106" t="s">
        <v>9</v>
      </c>
      <c r="G3106" t="s">
        <v>10</v>
      </c>
      <c r="H3106">
        <v>0</v>
      </c>
    </row>
    <row r="3107" spans="1:8" x14ac:dyDescent="0.35">
      <c r="A3107">
        <v>10360</v>
      </c>
      <c r="B3107" t="s">
        <v>11</v>
      </c>
      <c r="C3107">
        <v>4</v>
      </c>
      <c r="D3107">
        <v>238</v>
      </c>
      <c r="E3107" t="s">
        <v>8</v>
      </c>
      <c r="F3107" t="s">
        <v>9</v>
      </c>
      <c r="G3107" t="s">
        <v>10</v>
      </c>
      <c r="H3107">
        <v>0</v>
      </c>
    </row>
    <row r="3108" spans="1:8" x14ac:dyDescent="0.35">
      <c r="A3108">
        <v>15399</v>
      </c>
      <c r="B3108" t="s">
        <v>7</v>
      </c>
      <c r="C3108">
        <v>13</v>
      </c>
      <c r="D3108">
        <v>441</v>
      </c>
      <c r="E3108" t="s">
        <v>8</v>
      </c>
      <c r="F3108" t="s">
        <v>9</v>
      </c>
      <c r="G3108" t="s">
        <v>14</v>
      </c>
      <c r="H3108">
        <v>0</v>
      </c>
    </row>
    <row r="3109" spans="1:8" x14ac:dyDescent="0.35">
      <c r="A3109">
        <v>10284</v>
      </c>
      <c r="B3109" t="s">
        <v>11</v>
      </c>
      <c r="C3109">
        <v>12</v>
      </c>
      <c r="D3109">
        <v>350</v>
      </c>
      <c r="E3109" t="s">
        <v>8</v>
      </c>
      <c r="F3109" t="s">
        <v>9</v>
      </c>
      <c r="G3109" t="s">
        <v>10</v>
      </c>
      <c r="H3109">
        <v>0</v>
      </c>
    </row>
    <row r="3110" spans="1:8" x14ac:dyDescent="0.35">
      <c r="A3110">
        <v>15593</v>
      </c>
      <c r="B3110" t="s">
        <v>11</v>
      </c>
      <c r="C3110">
        <v>13</v>
      </c>
      <c r="D3110">
        <v>76</v>
      </c>
      <c r="E3110" t="s">
        <v>8</v>
      </c>
      <c r="F3110" t="s">
        <v>13</v>
      </c>
      <c r="G3110" t="s">
        <v>16</v>
      </c>
      <c r="H3110">
        <v>0</v>
      </c>
    </row>
    <row r="3111" spans="1:8" x14ac:dyDescent="0.35">
      <c r="A3111">
        <v>10444</v>
      </c>
      <c r="B3111" t="s">
        <v>7</v>
      </c>
      <c r="C3111">
        <v>7</v>
      </c>
      <c r="D3111">
        <v>173</v>
      </c>
      <c r="E3111" t="s">
        <v>8</v>
      </c>
      <c r="F3111" t="s">
        <v>13</v>
      </c>
      <c r="G3111" t="s">
        <v>14</v>
      </c>
      <c r="H3111">
        <v>0</v>
      </c>
    </row>
    <row r="3112" spans="1:8" x14ac:dyDescent="0.35">
      <c r="A3112">
        <v>16415</v>
      </c>
      <c r="B3112" t="s">
        <v>11</v>
      </c>
      <c r="C3112">
        <v>1</v>
      </c>
      <c r="D3112">
        <v>425</v>
      </c>
      <c r="E3112" t="s">
        <v>8</v>
      </c>
      <c r="F3112" t="s">
        <v>13</v>
      </c>
      <c r="G3112" t="s">
        <v>10</v>
      </c>
      <c r="H3112">
        <v>0</v>
      </c>
    </row>
    <row r="3113" spans="1:8" x14ac:dyDescent="0.35">
      <c r="A3113">
        <v>12251</v>
      </c>
      <c r="B3113" t="s">
        <v>7</v>
      </c>
      <c r="C3113">
        <v>13</v>
      </c>
      <c r="D3113">
        <v>212</v>
      </c>
      <c r="E3113" t="s">
        <v>8</v>
      </c>
      <c r="F3113" t="s">
        <v>9</v>
      </c>
      <c r="G3113" t="s">
        <v>14</v>
      </c>
      <c r="H3113">
        <v>0</v>
      </c>
    </row>
    <row r="3114" spans="1:8" x14ac:dyDescent="0.35">
      <c r="A3114">
        <v>13962</v>
      </c>
      <c r="B3114" t="s">
        <v>7</v>
      </c>
      <c r="C3114">
        <v>8</v>
      </c>
      <c r="D3114">
        <v>171</v>
      </c>
      <c r="E3114" t="s">
        <v>8</v>
      </c>
      <c r="F3114" t="s">
        <v>13</v>
      </c>
      <c r="G3114" t="s">
        <v>14</v>
      </c>
      <c r="H3114">
        <v>0</v>
      </c>
    </row>
    <row r="3115" spans="1:8" x14ac:dyDescent="0.35">
      <c r="A3115">
        <v>12259</v>
      </c>
      <c r="B3115" t="s">
        <v>11</v>
      </c>
      <c r="C3115">
        <v>13</v>
      </c>
      <c r="D3115">
        <v>119</v>
      </c>
      <c r="E3115" t="s">
        <v>8</v>
      </c>
      <c r="F3115" t="s">
        <v>9</v>
      </c>
      <c r="G3115" t="s">
        <v>16</v>
      </c>
      <c r="H3115">
        <v>0</v>
      </c>
    </row>
    <row r="3116" spans="1:8" x14ac:dyDescent="0.35">
      <c r="A3116">
        <v>16414</v>
      </c>
      <c r="B3116" t="s">
        <v>11</v>
      </c>
      <c r="C3116">
        <v>11</v>
      </c>
      <c r="D3116">
        <v>41</v>
      </c>
      <c r="E3116" t="s">
        <v>8</v>
      </c>
      <c r="F3116" t="s">
        <v>9</v>
      </c>
      <c r="G3116" t="s">
        <v>10</v>
      </c>
      <c r="H3116">
        <v>0</v>
      </c>
    </row>
    <row r="3117" spans="1:8" x14ac:dyDescent="0.35">
      <c r="A3117">
        <v>16752</v>
      </c>
      <c r="B3117" t="s">
        <v>7</v>
      </c>
      <c r="C3117">
        <v>2</v>
      </c>
      <c r="D3117">
        <v>425</v>
      </c>
      <c r="E3117" t="s">
        <v>8</v>
      </c>
      <c r="F3117" t="s">
        <v>13</v>
      </c>
      <c r="G3117" t="s">
        <v>16</v>
      </c>
      <c r="H3117">
        <v>0</v>
      </c>
    </row>
    <row r="3118" spans="1:8" x14ac:dyDescent="0.35">
      <c r="A3118">
        <v>18921</v>
      </c>
      <c r="B3118" t="s">
        <v>7</v>
      </c>
      <c r="C3118">
        <v>13</v>
      </c>
      <c r="D3118">
        <v>269</v>
      </c>
      <c r="E3118" t="s">
        <v>8</v>
      </c>
      <c r="F3118" t="s">
        <v>13</v>
      </c>
      <c r="G3118" t="s">
        <v>12</v>
      </c>
      <c r="H3118">
        <v>0</v>
      </c>
    </row>
    <row r="3119" spans="1:8" x14ac:dyDescent="0.35">
      <c r="A3119">
        <v>12735</v>
      </c>
      <c r="B3119" t="s">
        <v>11</v>
      </c>
      <c r="C3119">
        <v>14</v>
      </c>
      <c r="D3119">
        <v>421</v>
      </c>
      <c r="E3119" t="s">
        <v>8</v>
      </c>
      <c r="F3119" t="s">
        <v>9</v>
      </c>
      <c r="G3119" t="s">
        <v>10</v>
      </c>
      <c r="H3119">
        <v>0</v>
      </c>
    </row>
    <row r="3120" spans="1:8" x14ac:dyDescent="0.35">
      <c r="A3120">
        <v>13916</v>
      </c>
      <c r="B3120" t="s">
        <v>11</v>
      </c>
      <c r="C3120">
        <v>9</v>
      </c>
      <c r="D3120">
        <v>336</v>
      </c>
      <c r="E3120" t="s">
        <v>8</v>
      </c>
      <c r="F3120" t="s">
        <v>13</v>
      </c>
      <c r="G3120" t="s">
        <v>10</v>
      </c>
      <c r="H3120">
        <v>0</v>
      </c>
    </row>
    <row r="3121" spans="1:8" x14ac:dyDescent="0.35">
      <c r="A3121">
        <v>13379</v>
      </c>
      <c r="B3121" t="s">
        <v>7</v>
      </c>
      <c r="C3121">
        <v>11</v>
      </c>
      <c r="D3121">
        <v>349</v>
      </c>
      <c r="E3121" t="s">
        <v>8</v>
      </c>
      <c r="F3121" t="s">
        <v>9</v>
      </c>
      <c r="G3121" t="s">
        <v>16</v>
      </c>
      <c r="H3121">
        <v>0</v>
      </c>
    </row>
    <row r="3122" spans="1:8" x14ac:dyDescent="0.35">
      <c r="A3122">
        <v>17526</v>
      </c>
      <c r="B3122" t="s">
        <v>11</v>
      </c>
      <c r="C3122">
        <v>3</v>
      </c>
      <c r="D3122">
        <v>98</v>
      </c>
      <c r="E3122" t="s">
        <v>8</v>
      </c>
      <c r="F3122" t="s">
        <v>13</v>
      </c>
      <c r="G3122" t="s">
        <v>10</v>
      </c>
      <c r="H3122">
        <v>0</v>
      </c>
    </row>
    <row r="3123" spans="1:8" x14ac:dyDescent="0.35">
      <c r="A3123">
        <v>16549</v>
      </c>
      <c r="B3123" t="s">
        <v>7</v>
      </c>
      <c r="C3123">
        <v>14</v>
      </c>
      <c r="D3123">
        <v>277</v>
      </c>
      <c r="E3123" t="s">
        <v>8</v>
      </c>
      <c r="F3123" t="s">
        <v>9</v>
      </c>
      <c r="G3123" t="s">
        <v>16</v>
      </c>
      <c r="H3123">
        <v>0</v>
      </c>
    </row>
    <row r="3124" spans="1:8" x14ac:dyDescent="0.35">
      <c r="A3124">
        <v>13984</v>
      </c>
      <c r="B3124" t="s">
        <v>7</v>
      </c>
      <c r="C3124">
        <v>11</v>
      </c>
      <c r="D3124">
        <v>122</v>
      </c>
      <c r="E3124" t="s">
        <v>8</v>
      </c>
      <c r="F3124" t="s">
        <v>13</v>
      </c>
      <c r="G3124" t="s">
        <v>16</v>
      </c>
      <c r="H3124">
        <v>0</v>
      </c>
    </row>
    <row r="3125" spans="1:8" x14ac:dyDescent="0.35">
      <c r="A3125">
        <v>10384</v>
      </c>
      <c r="B3125" t="s">
        <v>7</v>
      </c>
      <c r="C3125">
        <v>14</v>
      </c>
      <c r="D3125">
        <v>206</v>
      </c>
      <c r="E3125" t="s">
        <v>8</v>
      </c>
      <c r="F3125" t="s">
        <v>13</v>
      </c>
      <c r="G3125" t="s">
        <v>10</v>
      </c>
      <c r="H3125">
        <v>0</v>
      </c>
    </row>
    <row r="3126" spans="1:8" x14ac:dyDescent="0.35">
      <c r="A3126">
        <v>13049</v>
      </c>
      <c r="B3126" t="s">
        <v>11</v>
      </c>
      <c r="C3126">
        <v>4</v>
      </c>
      <c r="D3126">
        <v>432</v>
      </c>
      <c r="E3126" t="s">
        <v>8</v>
      </c>
      <c r="F3126" t="s">
        <v>13</v>
      </c>
      <c r="G3126" t="s">
        <v>10</v>
      </c>
      <c r="H3126">
        <v>0</v>
      </c>
    </row>
    <row r="3127" spans="1:8" x14ac:dyDescent="0.35">
      <c r="A3127">
        <v>18953</v>
      </c>
      <c r="B3127" t="s">
        <v>11</v>
      </c>
      <c r="C3127">
        <v>10</v>
      </c>
      <c r="D3127">
        <v>245</v>
      </c>
      <c r="E3127" t="s">
        <v>8</v>
      </c>
      <c r="F3127" t="s">
        <v>9</v>
      </c>
      <c r="G3127" t="s">
        <v>14</v>
      </c>
      <c r="H3127">
        <v>0</v>
      </c>
    </row>
    <row r="3128" spans="1:8" x14ac:dyDescent="0.35">
      <c r="A3128">
        <v>15204</v>
      </c>
      <c r="B3128" t="s">
        <v>11</v>
      </c>
      <c r="C3128">
        <v>14</v>
      </c>
      <c r="D3128">
        <v>280</v>
      </c>
      <c r="E3128" t="s">
        <v>8</v>
      </c>
      <c r="F3128" t="s">
        <v>9</v>
      </c>
      <c r="G3128" t="s">
        <v>16</v>
      </c>
      <c r="H3128">
        <v>0</v>
      </c>
    </row>
    <row r="3129" spans="1:8" x14ac:dyDescent="0.35">
      <c r="A3129">
        <v>13176</v>
      </c>
      <c r="B3129" t="s">
        <v>7</v>
      </c>
      <c r="C3129">
        <v>9</v>
      </c>
      <c r="D3129">
        <v>95</v>
      </c>
      <c r="E3129" t="s">
        <v>8</v>
      </c>
      <c r="F3129" t="s">
        <v>9</v>
      </c>
      <c r="G3129" t="s">
        <v>12</v>
      </c>
      <c r="H3129">
        <v>0</v>
      </c>
    </row>
    <row r="3130" spans="1:8" x14ac:dyDescent="0.35">
      <c r="A3130">
        <v>18328</v>
      </c>
      <c r="B3130" t="s">
        <v>11</v>
      </c>
      <c r="C3130">
        <v>6</v>
      </c>
      <c r="D3130">
        <v>288</v>
      </c>
      <c r="E3130" t="s">
        <v>8</v>
      </c>
      <c r="F3130" t="s">
        <v>13</v>
      </c>
      <c r="G3130" t="s">
        <v>10</v>
      </c>
      <c r="H3130">
        <v>0</v>
      </c>
    </row>
    <row r="3131" spans="1:8" x14ac:dyDescent="0.35">
      <c r="A3131">
        <v>15143</v>
      </c>
      <c r="B3131" t="s">
        <v>11</v>
      </c>
      <c r="C3131">
        <v>10</v>
      </c>
      <c r="D3131">
        <v>364</v>
      </c>
      <c r="E3131" t="s">
        <v>8</v>
      </c>
      <c r="F3131" t="s">
        <v>9</v>
      </c>
      <c r="G3131" t="s">
        <v>10</v>
      </c>
      <c r="H3131">
        <v>0</v>
      </c>
    </row>
    <row r="3132" spans="1:8" x14ac:dyDescent="0.35">
      <c r="A3132">
        <v>18785</v>
      </c>
      <c r="B3132" t="s">
        <v>11</v>
      </c>
      <c r="C3132">
        <v>6</v>
      </c>
      <c r="D3132">
        <v>437</v>
      </c>
      <c r="E3132" t="s">
        <v>15</v>
      </c>
      <c r="F3132" t="s">
        <v>13</v>
      </c>
      <c r="G3132" t="s">
        <v>16</v>
      </c>
      <c r="H3132">
        <v>1</v>
      </c>
    </row>
    <row r="3133" spans="1:8" x14ac:dyDescent="0.35">
      <c r="A3133">
        <v>16988</v>
      </c>
      <c r="B3133" t="s">
        <v>11</v>
      </c>
      <c r="C3133">
        <v>14</v>
      </c>
      <c r="D3133">
        <v>148</v>
      </c>
      <c r="E3133" t="s">
        <v>15</v>
      </c>
      <c r="F3133" t="s">
        <v>9</v>
      </c>
      <c r="G3133" t="s">
        <v>10</v>
      </c>
      <c r="H3133">
        <v>1</v>
      </c>
    </row>
    <row r="3134" spans="1:8" x14ac:dyDescent="0.35">
      <c r="A3134">
        <v>17388</v>
      </c>
      <c r="B3134" t="s">
        <v>7</v>
      </c>
      <c r="C3134">
        <v>9</v>
      </c>
      <c r="D3134">
        <v>287</v>
      </c>
      <c r="E3134" t="s">
        <v>8</v>
      </c>
      <c r="F3134" t="s">
        <v>13</v>
      </c>
      <c r="G3134" t="s">
        <v>16</v>
      </c>
      <c r="H3134">
        <v>0</v>
      </c>
    </row>
    <row r="3135" spans="1:8" x14ac:dyDescent="0.35">
      <c r="A3135">
        <v>17091</v>
      </c>
      <c r="B3135" t="s">
        <v>7</v>
      </c>
      <c r="C3135">
        <v>2</v>
      </c>
      <c r="D3135">
        <v>217</v>
      </c>
      <c r="E3135" t="s">
        <v>15</v>
      </c>
      <c r="F3135" t="s">
        <v>13</v>
      </c>
      <c r="G3135" t="s">
        <v>16</v>
      </c>
      <c r="H3135">
        <v>1</v>
      </c>
    </row>
    <row r="3136" spans="1:8" x14ac:dyDescent="0.35">
      <c r="A3136">
        <v>19897</v>
      </c>
      <c r="B3136" t="s">
        <v>11</v>
      </c>
      <c r="C3136">
        <v>5</v>
      </c>
      <c r="D3136">
        <v>145</v>
      </c>
      <c r="E3136" t="s">
        <v>8</v>
      </c>
      <c r="F3136" t="s">
        <v>13</v>
      </c>
      <c r="G3136" t="s">
        <v>14</v>
      </c>
      <c r="H3136">
        <v>0</v>
      </c>
    </row>
    <row r="3137" spans="1:8" x14ac:dyDescent="0.35">
      <c r="A3137">
        <v>17932</v>
      </c>
      <c r="B3137" t="s">
        <v>11</v>
      </c>
      <c r="C3137">
        <v>7</v>
      </c>
      <c r="D3137">
        <v>78</v>
      </c>
      <c r="E3137" t="s">
        <v>8</v>
      </c>
      <c r="F3137" t="s">
        <v>13</v>
      </c>
      <c r="G3137" t="s">
        <v>12</v>
      </c>
      <c r="H3137">
        <v>0</v>
      </c>
    </row>
    <row r="3138" spans="1:8" x14ac:dyDescent="0.35">
      <c r="A3138">
        <v>17208</v>
      </c>
      <c r="B3138" t="s">
        <v>11</v>
      </c>
      <c r="C3138">
        <v>1</v>
      </c>
      <c r="D3138">
        <v>106</v>
      </c>
      <c r="E3138" t="s">
        <v>8</v>
      </c>
      <c r="F3138" t="s">
        <v>9</v>
      </c>
      <c r="G3138" t="s">
        <v>12</v>
      </c>
      <c r="H3138">
        <v>0</v>
      </c>
    </row>
    <row r="3139" spans="1:8" x14ac:dyDescent="0.35">
      <c r="A3139">
        <v>12847</v>
      </c>
      <c r="B3139" t="s">
        <v>11</v>
      </c>
      <c r="C3139">
        <v>13</v>
      </c>
      <c r="D3139">
        <v>319</v>
      </c>
      <c r="E3139" t="s">
        <v>8</v>
      </c>
      <c r="F3139" t="s">
        <v>9</v>
      </c>
      <c r="G3139" t="s">
        <v>10</v>
      </c>
      <c r="H3139">
        <v>0</v>
      </c>
    </row>
    <row r="3140" spans="1:8" x14ac:dyDescent="0.35">
      <c r="A3140">
        <v>13275</v>
      </c>
      <c r="B3140" t="s">
        <v>11</v>
      </c>
      <c r="C3140">
        <v>12</v>
      </c>
      <c r="D3140">
        <v>308</v>
      </c>
      <c r="E3140" t="s">
        <v>8</v>
      </c>
      <c r="F3140" t="s">
        <v>13</v>
      </c>
      <c r="G3140" t="s">
        <v>10</v>
      </c>
      <c r="H3140">
        <v>0</v>
      </c>
    </row>
    <row r="3141" spans="1:8" x14ac:dyDescent="0.35">
      <c r="A3141">
        <v>14859</v>
      </c>
      <c r="B3141" t="s">
        <v>11</v>
      </c>
      <c r="C3141">
        <v>6</v>
      </c>
      <c r="D3141">
        <v>378</v>
      </c>
      <c r="E3141" t="s">
        <v>8</v>
      </c>
      <c r="F3141" t="s">
        <v>13</v>
      </c>
      <c r="G3141" t="s">
        <v>14</v>
      </c>
      <c r="H3141">
        <v>0</v>
      </c>
    </row>
    <row r="3142" spans="1:8" x14ac:dyDescent="0.35">
      <c r="A3142">
        <v>14988</v>
      </c>
      <c r="B3142" t="s">
        <v>7</v>
      </c>
      <c r="C3142">
        <v>10</v>
      </c>
      <c r="D3142">
        <v>199</v>
      </c>
      <c r="E3142" t="s">
        <v>8</v>
      </c>
      <c r="F3142" t="s">
        <v>13</v>
      </c>
      <c r="G3142" t="s">
        <v>16</v>
      </c>
      <c r="H3142">
        <v>0</v>
      </c>
    </row>
    <row r="3143" spans="1:8" x14ac:dyDescent="0.35">
      <c r="A3143">
        <v>19576</v>
      </c>
      <c r="B3143" t="s">
        <v>11</v>
      </c>
      <c r="C3143">
        <v>3</v>
      </c>
      <c r="D3143">
        <v>239</v>
      </c>
      <c r="E3143" t="s">
        <v>8</v>
      </c>
      <c r="F3143" t="s">
        <v>9</v>
      </c>
      <c r="G3143" t="s">
        <v>10</v>
      </c>
      <c r="H3143">
        <v>0</v>
      </c>
    </row>
    <row r="3144" spans="1:8" x14ac:dyDescent="0.35">
      <c r="A3144">
        <v>11114</v>
      </c>
      <c r="B3144" t="s">
        <v>7</v>
      </c>
      <c r="C3144">
        <v>8</v>
      </c>
      <c r="D3144">
        <v>166</v>
      </c>
      <c r="E3144" t="s">
        <v>15</v>
      </c>
      <c r="F3144" t="s">
        <v>13</v>
      </c>
      <c r="G3144" t="s">
        <v>16</v>
      </c>
      <c r="H3144">
        <v>1</v>
      </c>
    </row>
    <row r="3145" spans="1:8" x14ac:dyDescent="0.35">
      <c r="A3145">
        <v>13407</v>
      </c>
      <c r="B3145" t="s">
        <v>11</v>
      </c>
      <c r="C3145">
        <v>10</v>
      </c>
      <c r="D3145">
        <v>426</v>
      </c>
      <c r="E3145" t="s">
        <v>15</v>
      </c>
      <c r="F3145" t="s">
        <v>13</v>
      </c>
      <c r="G3145" t="s">
        <v>16</v>
      </c>
      <c r="H3145">
        <v>1</v>
      </c>
    </row>
    <row r="3146" spans="1:8" x14ac:dyDescent="0.35">
      <c r="A3146">
        <v>17100</v>
      </c>
      <c r="B3146" t="s">
        <v>11</v>
      </c>
      <c r="C3146">
        <v>7</v>
      </c>
      <c r="D3146">
        <v>349</v>
      </c>
      <c r="E3146" t="s">
        <v>8</v>
      </c>
      <c r="F3146" t="s">
        <v>9</v>
      </c>
      <c r="G3146" t="s">
        <v>16</v>
      </c>
      <c r="H3146">
        <v>0</v>
      </c>
    </row>
    <row r="3147" spans="1:8" x14ac:dyDescent="0.35">
      <c r="A3147">
        <v>15589</v>
      </c>
      <c r="B3147" t="s">
        <v>7</v>
      </c>
      <c r="C3147">
        <v>8</v>
      </c>
      <c r="D3147">
        <v>436</v>
      </c>
      <c r="E3147" t="s">
        <v>15</v>
      </c>
      <c r="F3147" t="s">
        <v>9</v>
      </c>
      <c r="G3147" t="s">
        <v>16</v>
      </c>
      <c r="H3147">
        <v>1</v>
      </c>
    </row>
    <row r="3148" spans="1:8" x14ac:dyDescent="0.35">
      <c r="A3148">
        <v>10221</v>
      </c>
      <c r="B3148" t="s">
        <v>11</v>
      </c>
      <c r="C3148">
        <v>11</v>
      </c>
      <c r="D3148">
        <v>243</v>
      </c>
      <c r="E3148" t="s">
        <v>8</v>
      </c>
      <c r="F3148" t="s">
        <v>9</v>
      </c>
      <c r="G3148" t="s">
        <v>12</v>
      </c>
      <c r="H3148">
        <v>0</v>
      </c>
    </row>
    <row r="3149" spans="1:8" x14ac:dyDescent="0.35">
      <c r="A3149">
        <v>10894</v>
      </c>
      <c r="B3149" t="s">
        <v>11</v>
      </c>
      <c r="C3149">
        <v>7</v>
      </c>
      <c r="D3149">
        <v>73</v>
      </c>
      <c r="E3149" t="s">
        <v>8</v>
      </c>
      <c r="F3149" t="s">
        <v>9</v>
      </c>
      <c r="G3149" t="s">
        <v>14</v>
      </c>
      <c r="H3149">
        <v>0</v>
      </c>
    </row>
    <row r="3150" spans="1:8" x14ac:dyDescent="0.35">
      <c r="A3150">
        <v>17300</v>
      </c>
      <c r="B3150" t="s">
        <v>11</v>
      </c>
      <c r="C3150">
        <v>4</v>
      </c>
      <c r="D3150">
        <v>136</v>
      </c>
      <c r="E3150" t="s">
        <v>8</v>
      </c>
      <c r="F3150" t="s">
        <v>9</v>
      </c>
      <c r="G3150" t="s">
        <v>12</v>
      </c>
      <c r="H3150">
        <v>0</v>
      </c>
    </row>
    <row r="3151" spans="1:8" x14ac:dyDescent="0.35">
      <c r="A3151">
        <v>16052</v>
      </c>
      <c r="B3151" t="s">
        <v>7</v>
      </c>
      <c r="C3151">
        <v>5</v>
      </c>
      <c r="D3151">
        <v>356</v>
      </c>
      <c r="E3151" t="s">
        <v>8</v>
      </c>
      <c r="F3151" t="s">
        <v>13</v>
      </c>
      <c r="G3151" t="s">
        <v>10</v>
      </c>
      <c r="H3151">
        <v>0</v>
      </c>
    </row>
    <row r="3152" spans="1:8" x14ac:dyDescent="0.35">
      <c r="A3152">
        <v>14103</v>
      </c>
      <c r="B3152" t="s">
        <v>7</v>
      </c>
      <c r="C3152">
        <v>6</v>
      </c>
      <c r="D3152">
        <v>278</v>
      </c>
      <c r="E3152" t="s">
        <v>15</v>
      </c>
      <c r="F3152" t="s">
        <v>13</v>
      </c>
      <c r="G3152" t="s">
        <v>12</v>
      </c>
      <c r="H3152">
        <v>1</v>
      </c>
    </row>
    <row r="3153" spans="1:8" x14ac:dyDescent="0.35">
      <c r="A3153">
        <v>10944</v>
      </c>
      <c r="B3153" t="s">
        <v>11</v>
      </c>
      <c r="C3153">
        <v>2</v>
      </c>
      <c r="D3153">
        <v>324</v>
      </c>
      <c r="E3153" t="s">
        <v>8</v>
      </c>
      <c r="F3153" t="s">
        <v>9</v>
      </c>
      <c r="G3153" t="s">
        <v>12</v>
      </c>
      <c r="H3153">
        <v>0</v>
      </c>
    </row>
    <row r="3154" spans="1:8" x14ac:dyDescent="0.35">
      <c r="A3154">
        <v>11019</v>
      </c>
      <c r="B3154" t="s">
        <v>7</v>
      </c>
      <c r="C3154">
        <v>12</v>
      </c>
      <c r="D3154">
        <v>360</v>
      </c>
      <c r="E3154" t="s">
        <v>8</v>
      </c>
      <c r="F3154" t="s">
        <v>9</v>
      </c>
      <c r="G3154" t="s">
        <v>16</v>
      </c>
      <c r="H3154">
        <v>0</v>
      </c>
    </row>
    <row r="3155" spans="1:8" x14ac:dyDescent="0.35">
      <c r="A3155">
        <v>14047</v>
      </c>
      <c r="B3155" t="s">
        <v>11</v>
      </c>
      <c r="C3155">
        <v>5</v>
      </c>
      <c r="D3155">
        <v>141</v>
      </c>
      <c r="E3155" t="s">
        <v>8</v>
      </c>
      <c r="F3155" t="s">
        <v>13</v>
      </c>
      <c r="G3155" t="s">
        <v>16</v>
      </c>
      <c r="H3155">
        <v>0</v>
      </c>
    </row>
    <row r="3156" spans="1:8" x14ac:dyDescent="0.35">
      <c r="A3156">
        <v>13869</v>
      </c>
      <c r="B3156" t="s">
        <v>11</v>
      </c>
      <c r="C3156">
        <v>10</v>
      </c>
      <c r="D3156">
        <v>97</v>
      </c>
      <c r="E3156" t="s">
        <v>8</v>
      </c>
      <c r="F3156" t="s">
        <v>9</v>
      </c>
      <c r="G3156" t="s">
        <v>14</v>
      </c>
      <c r="H3156">
        <v>0</v>
      </c>
    </row>
    <row r="3157" spans="1:8" x14ac:dyDescent="0.35">
      <c r="A3157">
        <v>17028</v>
      </c>
      <c r="B3157" t="s">
        <v>11</v>
      </c>
      <c r="C3157">
        <v>8</v>
      </c>
      <c r="D3157">
        <v>228</v>
      </c>
      <c r="E3157" t="s">
        <v>8</v>
      </c>
      <c r="F3157" t="s">
        <v>13</v>
      </c>
      <c r="G3157" t="s">
        <v>16</v>
      </c>
      <c r="H3157">
        <v>0</v>
      </c>
    </row>
    <row r="3158" spans="1:8" x14ac:dyDescent="0.35">
      <c r="A3158">
        <v>10022</v>
      </c>
      <c r="B3158" t="s">
        <v>7</v>
      </c>
      <c r="C3158">
        <v>12</v>
      </c>
      <c r="D3158">
        <v>330</v>
      </c>
      <c r="E3158" t="s">
        <v>8</v>
      </c>
      <c r="F3158" t="s">
        <v>13</v>
      </c>
      <c r="G3158" t="s">
        <v>10</v>
      </c>
      <c r="H3158">
        <v>0</v>
      </c>
    </row>
    <row r="3159" spans="1:8" x14ac:dyDescent="0.35">
      <c r="A3159">
        <v>18231</v>
      </c>
      <c r="B3159" t="s">
        <v>11</v>
      </c>
      <c r="C3159">
        <v>9</v>
      </c>
      <c r="D3159">
        <v>55</v>
      </c>
      <c r="E3159" t="s">
        <v>8</v>
      </c>
      <c r="F3159" t="s">
        <v>9</v>
      </c>
      <c r="G3159" t="s">
        <v>14</v>
      </c>
      <c r="H3159">
        <v>0</v>
      </c>
    </row>
    <row r="3160" spans="1:8" x14ac:dyDescent="0.35">
      <c r="A3160">
        <v>12426</v>
      </c>
      <c r="B3160" t="s">
        <v>11</v>
      </c>
      <c r="C3160">
        <v>3</v>
      </c>
      <c r="D3160">
        <v>111</v>
      </c>
      <c r="E3160" t="s">
        <v>8</v>
      </c>
      <c r="F3160" t="s">
        <v>9</v>
      </c>
      <c r="G3160" t="s">
        <v>16</v>
      </c>
      <c r="H3160">
        <v>0</v>
      </c>
    </row>
    <row r="3161" spans="1:8" x14ac:dyDescent="0.35">
      <c r="A3161">
        <v>18835</v>
      </c>
      <c r="B3161" t="s">
        <v>7</v>
      </c>
      <c r="C3161">
        <v>5</v>
      </c>
      <c r="D3161">
        <v>427</v>
      </c>
      <c r="E3161" t="s">
        <v>15</v>
      </c>
      <c r="F3161" t="s">
        <v>9</v>
      </c>
      <c r="G3161" t="s">
        <v>12</v>
      </c>
      <c r="H3161">
        <v>1</v>
      </c>
    </row>
    <row r="3162" spans="1:8" x14ac:dyDescent="0.35">
      <c r="A3162">
        <v>14459</v>
      </c>
      <c r="B3162" t="s">
        <v>7</v>
      </c>
      <c r="C3162">
        <v>3</v>
      </c>
      <c r="D3162">
        <v>117</v>
      </c>
      <c r="E3162" t="s">
        <v>15</v>
      </c>
      <c r="F3162" t="s">
        <v>13</v>
      </c>
      <c r="G3162" t="s">
        <v>12</v>
      </c>
      <c r="H3162">
        <v>1</v>
      </c>
    </row>
    <row r="3163" spans="1:8" x14ac:dyDescent="0.35">
      <c r="A3163">
        <v>14883</v>
      </c>
      <c r="B3163" t="s">
        <v>11</v>
      </c>
      <c r="C3163">
        <v>12</v>
      </c>
      <c r="D3163">
        <v>158</v>
      </c>
      <c r="E3163" t="s">
        <v>8</v>
      </c>
      <c r="F3163" t="s">
        <v>9</v>
      </c>
      <c r="G3163" t="s">
        <v>16</v>
      </c>
      <c r="H3163">
        <v>0</v>
      </c>
    </row>
    <row r="3164" spans="1:8" x14ac:dyDescent="0.35">
      <c r="A3164">
        <v>17375</v>
      </c>
      <c r="B3164" t="s">
        <v>7</v>
      </c>
      <c r="C3164">
        <v>4</v>
      </c>
      <c r="D3164">
        <v>403</v>
      </c>
      <c r="E3164" t="s">
        <v>8</v>
      </c>
      <c r="F3164" t="s">
        <v>13</v>
      </c>
      <c r="G3164" t="s">
        <v>14</v>
      </c>
      <c r="H3164">
        <v>0</v>
      </c>
    </row>
    <row r="3165" spans="1:8" x14ac:dyDescent="0.35">
      <c r="A3165">
        <v>17296</v>
      </c>
      <c r="B3165" t="s">
        <v>11</v>
      </c>
      <c r="C3165">
        <v>3</v>
      </c>
      <c r="D3165">
        <v>174</v>
      </c>
      <c r="E3165" t="s">
        <v>8</v>
      </c>
      <c r="F3165" t="s">
        <v>9</v>
      </c>
      <c r="G3165" t="s">
        <v>16</v>
      </c>
      <c r="H3165">
        <v>0</v>
      </c>
    </row>
    <row r="3166" spans="1:8" x14ac:dyDescent="0.35">
      <c r="A3166">
        <v>16631</v>
      </c>
      <c r="B3166" t="s">
        <v>7</v>
      </c>
      <c r="C3166">
        <v>5</v>
      </c>
      <c r="D3166">
        <v>205</v>
      </c>
      <c r="E3166" t="s">
        <v>8</v>
      </c>
      <c r="F3166" t="s">
        <v>9</v>
      </c>
      <c r="G3166" t="s">
        <v>12</v>
      </c>
      <c r="H3166">
        <v>0</v>
      </c>
    </row>
    <row r="3167" spans="1:8" x14ac:dyDescent="0.35">
      <c r="A3167">
        <v>17876</v>
      </c>
      <c r="B3167" t="s">
        <v>7</v>
      </c>
      <c r="C3167">
        <v>11</v>
      </c>
      <c r="D3167">
        <v>64</v>
      </c>
      <c r="E3167" t="s">
        <v>8</v>
      </c>
      <c r="F3167" t="s">
        <v>9</v>
      </c>
      <c r="G3167" t="s">
        <v>16</v>
      </c>
      <c r="H3167">
        <v>0</v>
      </c>
    </row>
    <row r="3168" spans="1:8" x14ac:dyDescent="0.35">
      <c r="A3168">
        <v>19064</v>
      </c>
      <c r="B3168" t="s">
        <v>7</v>
      </c>
      <c r="C3168">
        <v>13</v>
      </c>
      <c r="D3168">
        <v>291</v>
      </c>
      <c r="E3168" t="s">
        <v>8</v>
      </c>
      <c r="F3168" t="s">
        <v>13</v>
      </c>
      <c r="G3168" t="s">
        <v>16</v>
      </c>
      <c r="H3168">
        <v>0</v>
      </c>
    </row>
    <row r="3169" spans="1:8" x14ac:dyDescent="0.35">
      <c r="A3169">
        <v>13015</v>
      </c>
      <c r="B3169" t="s">
        <v>11</v>
      </c>
      <c r="C3169">
        <v>9</v>
      </c>
      <c r="D3169">
        <v>342</v>
      </c>
      <c r="E3169" t="s">
        <v>8</v>
      </c>
      <c r="F3169" t="s">
        <v>9</v>
      </c>
      <c r="G3169" t="s">
        <v>12</v>
      </c>
      <c r="H3169">
        <v>0</v>
      </c>
    </row>
    <row r="3170" spans="1:8" x14ac:dyDescent="0.35">
      <c r="A3170">
        <v>17079</v>
      </c>
      <c r="B3170" t="s">
        <v>7</v>
      </c>
      <c r="C3170">
        <v>13</v>
      </c>
      <c r="D3170">
        <v>260</v>
      </c>
      <c r="E3170" t="s">
        <v>8</v>
      </c>
      <c r="F3170" t="s">
        <v>13</v>
      </c>
      <c r="G3170" t="s">
        <v>16</v>
      </c>
      <c r="H3170">
        <v>0</v>
      </c>
    </row>
    <row r="3171" spans="1:8" x14ac:dyDescent="0.35">
      <c r="A3171">
        <v>11952</v>
      </c>
      <c r="B3171" t="s">
        <v>11</v>
      </c>
      <c r="C3171">
        <v>14</v>
      </c>
      <c r="D3171">
        <v>274</v>
      </c>
      <c r="E3171" t="s">
        <v>8</v>
      </c>
      <c r="F3171" t="s">
        <v>9</v>
      </c>
      <c r="G3171" t="s">
        <v>14</v>
      </c>
      <c r="H3171">
        <v>0</v>
      </c>
    </row>
    <row r="3172" spans="1:8" x14ac:dyDescent="0.35">
      <c r="A3172">
        <v>11546</v>
      </c>
      <c r="B3172" t="s">
        <v>7</v>
      </c>
      <c r="C3172">
        <v>6</v>
      </c>
      <c r="D3172">
        <v>306</v>
      </c>
      <c r="E3172" t="s">
        <v>8</v>
      </c>
      <c r="F3172" t="s">
        <v>9</v>
      </c>
      <c r="G3172" t="s">
        <v>16</v>
      </c>
      <c r="H3172">
        <v>0</v>
      </c>
    </row>
    <row r="3173" spans="1:8" x14ac:dyDescent="0.35">
      <c r="A3173">
        <v>18650</v>
      </c>
      <c r="B3173" t="s">
        <v>11</v>
      </c>
      <c r="C3173">
        <v>6</v>
      </c>
      <c r="D3173">
        <v>147</v>
      </c>
      <c r="E3173" t="s">
        <v>8</v>
      </c>
      <c r="F3173" t="s">
        <v>9</v>
      </c>
      <c r="G3173" t="s">
        <v>16</v>
      </c>
      <c r="H3173">
        <v>0</v>
      </c>
    </row>
    <row r="3174" spans="1:8" x14ac:dyDescent="0.35">
      <c r="A3174">
        <v>14402</v>
      </c>
      <c r="B3174" t="s">
        <v>7</v>
      </c>
      <c r="C3174">
        <v>10</v>
      </c>
      <c r="D3174">
        <v>326</v>
      </c>
      <c r="E3174" t="s">
        <v>8</v>
      </c>
      <c r="F3174" t="s">
        <v>13</v>
      </c>
      <c r="G3174" t="s">
        <v>12</v>
      </c>
      <c r="H3174">
        <v>0</v>
      </c>
    </row>
    <row r="3175" spans="1:8" x14ac:dyDescent="0.35">
      <c r="A3175">
        <v>16233</v>
      </c>
      <c r="B3175" t="s">
        <v>11</v>
      </c>
      <c r="C3175">
        <v>8</v>
      </c>
      <c r="D3175">
        <v>73</v>
      </c>
      <c r="E3175" t="s">
        <v>8</v>
      </c>
      <c r="F3175" t="s">
        <v>13</v>
      </c>
      <c r="G3175" t="s">
        <v>14</v>
      </c>
      <c r="H3175">
        <v>0</v>
      </c>
    </row>
    <row r="3176" spans="1:8" x14ac:dyDescent="0.35">
      <c r="A3176">
        <v>16858</v>
      </c>
      <c r="B3176" t="s">
        <v>11</v>
      </c>
      <c r="C3176">
        <v>13</v>
      </c>
      <c r="D3176">
        <v>145</v>
      </c>
      <c r="E3176" t="s">
        <v>8</v>
      </c>
      <c r="F3176" t="s">
        <v>9</v>
      </c>
      <c r="G3176" t="s">
        <v>12</v>
      </c>
      <c r="H3176">
        <v>0</v>
      </c>
    </row>
    <row r="3177" spans="1:8" x14ac:dyDescent="0.35">
      <c r="A3177">
        <v>14021</v>
      </c>
      <c r="B3177" t="s">
        <v>11</v>
      </c>
      <c r="C3177">
        <v>2</v>
      </c>
      <c r="D3177">
        <v>92</v>
      </c>
      <c r="E3177" t="s">
        <v>8</v>
      </c>
      <c r="F3177" t="s">
        <v>9</v>
      </c>
      <c r="G3177" t="s">
        <v>16</v>
      </c>
      <c r="H3177">
        <v>0</v>
      </c>
    </row>
    <row r="3178" spans="1:8" x14ac:dyDescent="0.35">
      <c r="A3178">
        <v>10252</v>
      </c>
      <c r="B3178" t="s">
        <v>7</v>
      </c>
      <c r="C3178">
        <v>7</v>
      </c>
      <c r="D3178">
        <v>327</v>
      </c>
      <c r="E3178" t="s">
        <v>8</v>
      </c>
      <c r="F3178" t="s">
        <v>9</v>
      </c>
      <c r="G3178" t="s">
        <v>12</v>
      </c>
      <c r="H3178">
        <v>0</v>
      </c>
    </row>
    <row r="3179" spans="1:8" x14ac:dyDescent="0.35">
      <c r="A3179">
        <v>18449</v>
      </c>
      <c r="B3179" t="s">
        <v>7</v>
      </c>
      <c r="C3179">
        <v>1</v>
      </c>
      <c r="D3179">
        <v>244</v>
      </c>
      <c r="E3179" t="s">
        <v>8</v>
      </c>
      <c r="F3179" t="s">
        <v>13</v>
      </c>
      <c r="G3179" t="s">
        <v>12</v>
      </c>
      <c r="H3179">
        <v>0</v>
      </c>
    </row>
    <row r="3180" spans="1:8" x14ac:dyDescent="0.35">
      <c r="A3180">
        <v>13356</v>
      </c>
      <c r="B3180" t="s">
        <v>7</v>
      </c>
      <c r="C3180">
        <v>4</v>
      </c>
      <c r="D3180">
        <v>381</v>
      </c>
      <c r="E3180" t="s">
        <v>8</v>
      </c>
      <c r="F3180" t="s">
        <v>13</v>
      </c>
      <c r="G3180" t="s">
        <v>14</v>
      </c>
      <c r="H3180">
        <v>0</v>
      </c>
    </row>
    <row r="3181" spans="1:8" x14ac:dyDescent="0.35">
      <c r="A3181">
        <v>11330</v>
      </c>
      <c r="B3181" t="s">
        <v>11</v>
      </c>
      <c r="C3181">
        <v>8</v>
      </c>
      <c r="D3181">
        <v>329</v>
      </c>
      <c r="E3181" t="s">
        <v>8</v>
      </c>
      <c r="F3181" t="s">
        <v>13</v>
      </c>
      <c r="G3181" t="s">
        <v>12</v>
      </c>
      <c r="H3181">
        <v>0</v>
      </c>
    </row>
    <row r="3182" spans="1:8" x14ac:dyDescent="0.35">
      <c r="A3182">
        <v>10218</v>
      </c>
      <c r="B3182" t="s">
        <v>7</v>
      </c>
      <c r="C3182">
        <v>12</v>
      </c>
      <c r="D3182">
        <v>363</v>
      </c>
      <c r="E3182" t="s">
        <v>8</v>
      </c>
      <c r="F3182" t="s">
        <v>13</v>
      </c>
      <c r="G3182" t="s">
        <v>12</v>
      </c>
      <c r="H3182">
        <v>0</v>
      </c>
    </row>
    <row r="3183" spans="1:8" x14ac:dyDescent="0.35">
      <c r="A3183">
        <v>15960</v>
      </c>
      <c r="B3183" t="s">
        <v>7</v>
      </c>
      <c r="C3183">
        <v>2</v>
      </c>
      <c r="D3183">
        <v>295</v>
      </c>
      <c r="E3183" t="s">
        <v>15</v>
      </c>
      <c r="F3183" t="s">
        <v>13</v>
      </c>
      <c r="G3183" t="s">
        <v>10</v>
      </c>
      <c r="H3183">
        <v>1</v>
      </c>
    </row>
    <row r="3184" spans="1:8" x14ac:dyDescent="0.35">
      <c r="A3184">
        <v>13214</v>
      </c>
      <c r="B3184" t="s">
        <v>7</v>
      </c>
      <c r="C3184">
        <v>8</v>
      </c>
      <c r="D3184">
        <v>258</v>
      </c>
      <c r="E3184" t="s">
        <v>15</v>
      </c>
      <c r="F3184" t="s">
        <v>9</v>
      </c>
      <c r="G3184" t="s">
        <v>14</v>
      </c>
      <c r="H3184">
        <v>1</v>
      </c>
    </row>
    <row r="3185" spans="1:8" x14ac:dyDescent="0.35">
      <c r="A3185">
        <v>17348</v>
      </c>
      <c r="B3185" t="s">
        <v>11</v>
      </c>
      <c r="C3185">
        <v>13</v>
      </c>
      <c r="D3185">
        <v>293</v>
      </c>
      <c r="E3185" t="s">
        <v>8</v>
      </c>
      <c r="F3185" t="s">
        <v>13</v>
      </c>
      <c r="G3185" t="s">
        <v>12</v>
      </c>
      <c r="H3185">
        <v>0</v>
      </c>
    </row>
    <row r="3186" spans="1:8" x14ac:dyDescent="0.35">
      <c r="A3186">
        <v>14825</v>
      </c>
      <c r="B3186" t="s">
        <v>7</v>
      </c>
      <c r="C3186">
        <v>11</v>
      </c>
      <c r="D3186">
        <v>137</v>
      </c>
      <c r="E3186" t="s">
        <v>8</v>
      </c>
      <c r="F3186" t="s">
        <v>13</v>
      </c>
      <c r="G3186" t="s">
        <v>16</v>
      </c>
      <c r="H3186">
        <v>0</v>
      </c>
    </row>
    <row r="3187" spans="1:8" x14ac:dyDescent="0.35">
      <c r="A3187">
        <v>17734</v>
      </c>
      <c r="B3187" t="s">
        <v>11</v>
      </c>
      <c r="C3187">
        <v>10</v>
      </c>
      <c r="D3187">
        <v>359</v>
      </c>
      <c r="E3187" t="s">
        <v>8</v>
      </c>
      <c r="F3187" t="s">
        <v>9</v>
      </c>
      <c r="G3187" t="s">
        <v>14</v>
      </c>
      <c r="H3187">
        <v>0</v>
      </c>
    </row>
    <row r="3188" spans="1:8" x14ac:dyDescent="0.35">
      <c r="A3188">
        <v>16522</v>
      </c>
      <c r="B3188" t="s">
        <v>11</v>
      </c>
      <c r="C3188">
        <v>10</v>
      </c>
      <c r="D3188">
        <v>125</v>
      </c>
      <c r="E3188" t="s">
        <v>8</v>
      </c>
      <c r="F3188" t="s">
        <v>9</v>
      </c>
      <c r="G3188" t="s">
        <v>10</v>
      </c>
      <c r="H3188">
        <v>0</v>
      </c>
    </row>
    <row r="3189" spans="1:8" x14ac:dyDescent="0.35">
      <c r="A3189">
        <v>18298</v>
      </c>
      <c r="B3189" t="s">
        <v>7</v>
      </c>
      <c r="C3189">
        <v>5</v>
      </c>
      <c r="D3189">
        <v>73</v>
      </c>
      <c r="E3189" t="s">
        <v>8</v>
      </c>
      <c r="F3189" t="s">
        <v>13</v>
      </c>
      <c r="G3189" t="s">
        <v>10</v>
      </c>
      <c r="H3189">
        <v>0</v>
      </c>
    </row>
    <row r="3190" spans="1:8" x14ac:dyDescent="0.35">
      <c r="A3190">
        <v>12991</v>
      </c>
      <c r="B3190" t="s">
        <v>7</v>
      </c>
      <c r="C3190">
        <v>10</v>
      </c>
      <c r="D3190">
        <v>52</v>
      </c>
      <c r="E3190" t="s">
        <v>8</v>
      </c>
      <c r="F3190" t="s">
        <v>13</v>
      </c>
      <c r="G3190" t="s">
        <v>12</v>
      </c>
      <c r="H3190">
        <v>0</v>
      </c>
    </row>
    <row r="3191" spans="1:8" x14ac:dyDescent="0.35">
      <c r="A3191">
        <v>15180</v>
      </c>
      <c r="B3191" t="s">
        <v>11</v>
      </c>
      <c r="C3191">
        <v>7</v>
      </c>
      <c r="D3191">
        <v>194</v>
      </c>
      <c r="E3191" t="s">
        <v>8</v>
      </c>
      <c r="F3191" t="s">
        <v>9</v>
      </c>
      <c r="G3191" t="s">
        <v>12</v>
      </c>
      <c r="H3191">
        <v>0</v>
      </c>
    </row>
    <row r="3192" spans="1:8" x14ac:dyDescent="0.35">
      <c r="A3192">
        <v>14513</v>
      </c>
      <c r="B3192" t="s">
        <v>7</v>
      </c>
      <c r="C3192">
        <v>5</v>
      </c>
      <c r="D3192">
        <v>404</v>
      </c>
      <c r="E3192" t="s">
        <v>8</v>
      </c>
      <c r="F3192" t="s">
        <v>13</v>
      </c>
      <c r="G3192" t="s">
        <v>10</v>
      </c>
      <c r="H3192">
        <v>0</v>
      </c>
    </row>
    <row r="3193" spans="1:8" x14ac:dyDescent="0.35">
      <c r="A3193">
        <v>11646</v>
      </c>
      <c r="B3193" t="s">
        <v>7</v>
      </c>
      <c r="C3193">
        <v>7</v>
      </c>
      <c r="D3193">
        <v>296</v>
      </c>
      <c r="E3193" t="s">
        <v>8</v>
      </c>
      <c r="F3193" t="s">
        <v>13</v>
      </c>
      <c r="G3193" t="s">
        <v>10</v>
      </c>
      <c r="H3193">
        <v>0</v>
      </c>
    </row>
    <row r="3194" spans="1:8" x14ac:dyDescent="0.35">
      <c r="A3194">
        <v>19665</v>
      </c>
      <c r="B3194" t="s">
        <v>11</v>
      </c>
      <c r="C3194">
        <v>2</v>
      </c>
      <c r="D3194">
        <v>437</v>
      </c>
      <c r="E3194" t="s">
        <v>8</v>
      </c>
      <c r="F3194" t="s">
        <v>13</v>
      </c>
      <c r="G3194" t="s">
        <v>12</v>
      </c>
      <c r="H3194">
        <v>0</v>
      </c>
    </row>
    <row r="3195" spans="1:8" x14ac:dyDescent="0.35">
      <c r="A3195">
        <v>15790</v>
      </c>
      <c r="B3195" t="s">
        <v>11</v>
      </c>
      <c r="C3195">
        <v>1</v>
      </c>
      <c r="D3195">
        <v>100</v>
      </c>
      <c r="E3195" t="s">
        <v>8</v>
      </c>
      <c r="F3195" t="s">
        <v>9</v>
      </c>
      <c r="G3195" t="s">
        <v>10</v>
      </c>
      <c r="H3195">
        <v>0</v>
      </c>
    </row>
    <row r="3196" spans="1:8" x14ac:dyDescent="0.35">
      <c r="A3196">
        <v>10806</v>
      </c>
      <c r="B3196" t="s">
        <v>11</v>
      </c>
      <c r="C3196">
        <v>7</v>
      </c>
      <c r="D3196">
        <v>212</v>
      </c>
      <c r="E3196" t="s">
        <v>8</v>
      </c>
      <c r="F3196" t="s">
        <v>9</v>
      </c>
      <c r="G3196" t="s">
        <v>12</v>
      </c>
      <c r="H3196">
        <v>0</v>
      </c>
    </row>
    <row r="3197" spans="1:8" x14ac:dyDescent="0.35">
      <c r="A3197">
        <v>17624</v>
      </c>
      <c r="B3197" t="s">
        <v>7</v>
      </c>
      <c r="C3197">
        <v>11</v>
      </c>
      <c r="D3197">
        <v>173</v>
      </c>
      <c r="E3197" t="s">
        <v>8</v>
      </c>
      <c r="F3197" t="s">
        <v>13</v>
      </c>
      <c r="G3197" t="s">
        <v>14</v>
      </c>
      <c r="H3197">
        <v>0</v>
      </c>
    </row>
    <row r="3198" spans="1:8" x14ac:dyDescent="0.35">
      <c r="A3198">
        <v>12930</v>
      </c>
      <c r="B3198" t="s">
        <v>11</v>
      </c>
      <c r="C3198">
        <v>2</v>
      </c>
      <c r="D3198">
        <v>173</v>
      </c>
      <c r="E3198" t="s">
        <v>8</v>
      </c>
      <c r="F3198" t="s">
        <v>9</v>
      </c>
      <c r="G3198" t="s">
        <v>10</v>
      </c>
      <c r="H3198">
        <v>0</v>
      </c>
    </row>
    <row r="3199" spans="1:8" x14ac:dyDescent="0.35">
      <c r="A3199">
        <v>13812</v>
      </c>
      <c r="B3199" t="s">
        <v>7</v>
      </c>
      <c r="C3199">
        <v>8</v>
      </c>
      <c r="D3199">
        <v>81</v>
      </c>
      <c r="E3199" t="s">
        <v>8</v>
      </c>
      <c r="F3199" t="s">
        <v>9</v>
      </c>
      <c r="G3199" t="s">
        <v>16</v>
      </c>
      <c r="H3199">
        <v>0</v>
      </c>
    </row>
    <row r="3200" spans="1:8" x14ac:dyDescent="0.35">
      <c r="A3200">
        <v>18568</v>
      </c>
      <c r="B3200" t="s">
        <v>11</v>
      </c>
      <c r="C3200">
        <v>13</v>
      </c>
      <c r="D3200">
        <v>258</v>
      </c>
      <c r="E3200" t="s">
        <v>8</v>
      </c>
      <c r="F3200" t="s">
        <v>13</v>
      </c>
      <c r="G3200" t="s">
        <v>10</v>
      </c>
      <c r="H3200">
        <v>0</v>
      </c>
    </row>
    <row r="3201" spans="1:8" x14ac:dyDescent="0.35">
      <c r="A3201">
        <v>18364</v>
      </c>
      <c r="B3201" t="s">
        <v>11</v>
      </c>
      <c r="C3201">
        <v>10</v>
      </c>
      <c r="D3201">
        <v>70</v>
      </c>
      <c r="E3201" t="s">
        <v>8</v>
      </c>
      <c r="F3201" t="s">
        <v>9</v>
      </c>
      <c r="G3201" t="s">
        <v>10</v>
      </c>
      <c r="H3201">
        <v>0</v>
      </c>
    </row>
    <row r="3202" spans="1:8" x14ac:dyDescent="0.35">
      <c r="A3202">
        <v>18943</v>
      </c>
      <c r="B3202" t="s">
        <v>7</v>
      </c>
      <c r="C3202">
        <v>5</v>
      </c>
      <c r="D3202">
        <v>126</v>
      </c>
      <c r="E3202" t="s">
        <v>8</v>
      </c>
      <c r="F3202" t="s">
        <v>13</v>
      </c>
      <c r="G3202" t="s">
        <v>10</v>
      </c>
      <c r="H3202">
        <v>0</v>
      </c>
    </row>
    <row r="3203" spans="1:8" x14ac:dyDescent="0.35">
      <c r="A3203">
        <v>10137</v>
      </c>
      <c r="B3203" t="s">
        <v>7</v>
      </c>
      <c r="C3203">
        <v>10</v>
      </c>
      <c r="D3203">
        <v>360</v>
      </c>
      <c r="E3203" t="s">
        <v>8</v>
      </c>
      <c r="F3203" t="s">
        <v>9</v>
      </c>
      <c r="G3203" t="s">
        <v>16</v>
      </c>
      <c r="H3203">
        <v>0</v>
      </c>
    </row>
    <row r="3204" spans="1:8" x14ac:dyDescent="0.35">
      <c r="A3204">
        <v>18101</v>
      </c>
      <c r="B3204" t="s">
        <v>11</v>
      </c>
      <c r="C3204">
        <v>4</v>
      </c>
      <c r="D3204">
        <v>88</v>
      </c>
      <c r="E3204" t="s">
        <v>8</v>
      </c>
      <c r="F3204" t="s">
        <v>9</v>
      </c>
      <c r="G3204" t="s">
        <v>10</v>
      </c>
      <c r="H3204">
        <v>0</v>
      </c>
    </row>
    <row r="3205" spans="1:8" x14ac:dyDescent="0.35">
      <c r="A3205">
        <v>15791</v>
      </c>
      <c r="B3205" t="s">
        <v>7</v>
      </c>
      <c r="C3205">
        <v>6</v>
      </c>
      <c r="D3205">
        <v>348</v>
      </c>
      <c r="E3205" t="s">
        <v>8</v>
      </c>
      <c r="F3205" t="s">
        <v>13</v>
      </c>
      <c r="G3205" t="s">
        <v>16</v>
      </c>
      <c r="H3205">
        <v>0</v>
      </c>
    </row>
    <row r="3206" spans="1:8" x14ac:dyDescent="0.35">
      <c r="A3206">
        <v>14029</v>
      </c>
      <c r="B3206" t="s">
        <v>7</v>
      </c>
      <c r="C3206">
        <v>12</v>
      </c>
      <c r="D3206">
        <v>445</v>
      </c>
      <c r="E3206" t="s">
        <v>8</v>
      </c>
      <c r="F3206" t="s">
        <v>13</v>
      </c>
      <c r="G3206" t="s">
        <v>16</v>
      </c>
      <c r="H3206">
        <v>0</v>
      </c>
    </row>
    <row r="3207" spans="1:8" x14ac:dyDescent="0.35">
      <c r="A3207">
        <v>18110</v>
      </c>
      <c r="B3207" t="s">
        <v>11</v>
      </c>
      <c r="C3207">
        <v>6</v>
      </c>
      <c r="D3207">
        <v>194</v>
      </c>
      <c r="E3207" t="s">
        <v>8</v>
      </c>
      <c r="F3207" t="s">
        <v>13</v>
      </c>
      <c r="G3207" t="s">
        <v>14</v>
      </c>
      <c r="H3207">
        <v>0</v>
      </c>
    </row>
    <row r="3208" spans="1:8" x14ac:dyDescent="0.35">
      <c r="A3208">
        <v>19622</v>
      </c>
      <c r="B3208" t="s">
        <v>11</v>
      </c>
      <c r="C3208">
        <v>1</v>
      </c>
      <c r="D3208">
        <v>99</v>
      </c>
      <c r="E3208" t="s">
        <v>8</v>
      </c>
      <c r="F3208" t="s">
        <v>13</v>
      </c>
      <c r="G3208" t="s">
        <v>14</v>
      </c>
      <c r="H3208">
        <v>0</v>
      </c>
    </row>
    <row r="3209" spans="1:8" x14ac:dyDescent="0.35">
      <c r="A3209">
        <v>17000</v>
      </c>
      <c r="B3209" t="s">
        <v>11</v>
      </c>
      <c r="C3209">
        <v>11</v>
      </c>
      <c r="D3209">
        <v>228</v>
      </c>
      <c r="E3209" t="s">
        <v>8</v>
      </c>
      <c r="F3209" t="s">
        <v>9</v>
      </c>
      <c r="G3209" t="s">
        <v>14</v>
      </c>
      <c r="H3209">
        <v>0</v>
      </c>
    </row>
    <row r="3210" spans="1:8" x14ac:dyDescent="0.35">
      <c r="A3210">
        <v>11415</v>
      </c>
      <c r="B3210" t="s">
        <v>7</v>
      </c>
      <c r="C3210">
        <v>5</v>
      </c>
      <c r="D3210">
        <v>389</v>
      </c>
      <c r="E3210" t="s">
        <v>8</v>
      </c>
      <c r="F3210" t="s">
        <v>13</v>
      </c>
      <c r="G3210" t="s">
        <v>12</v>
      </c>
      <c r="H3210">
        <v>0</v>
      </c>
    </row>
    <row r="3211" spans="1:8" x14ac:dyDescent="0.35">
      <c r="A3211">
        <v>15365</v>
      </c>
      <c r="B3211" t="s">
        <v>7</v>
      </c>
      <c r="C3211">
        <v>4</v>
      </c>
      <c r="D3211">
        <v>401</v>
      </c>
      <c r="E3211" t="s">
        <v>8</v>
      </c>
      <c r="F3211" t="s">
        <v>9</v>
      </c>
      <c r="G3211" t="s">
        <v>16</v>
      </c>
      <c r="H3211">
        <v>0</v>
      </c>
    </row>
    <row r="3212" spans="1:8" x14ac:dyDescent="0.35">
      <c r="A3212">
        <v>11288</v>
      </c>
      <c r="B3212" t="s">
        <v>11</v>
      </c>
      <c r="C3212">
        <v>11</v>
      </c>
      <c r="D3212">
        <v>157</v>
      </c>
      <c r="E3212" t="s">
        <v>8</v>
      </c>
      <c r="F3212" t="s">
        <v>9</v>
      </c>
      <c r="G3212" t="s">
        <v>16</v>
      </c>
      <c r="H3212">
        <v>0</v>
      </c>
    </row>
    <row r="3213" spans="1:8" x14ac:dyDescent="0.35">
      <c r="A3213">
        <v>16103</v>
      </c>
      <c r="B3213" t="s">
        <v>7</v>
      </c>
      <c r="C3213">
        <v>3</v>
      </c>
      <c r="D3213">
        <v>415</v>
      </c>
      <c r="E3213" t="s">
        <v>8</v>
      </c>
      <c r="F3213" t="s">
        <v>13</v>
      </c>
      <c r="G3213" t="s">
        <v>10</v>
      </c>
      <c r="H3213">
        <v>0</v>
      </c>
    </row>
    <row r="3214" spans="1:8" x14ac:dyDescent="0.35">
      <c r="A3214">
        <v>16086</v>
      </c>
      <c r="B3214" t="s">
        <v>11</v>
      </c>
      <c r="C3214">
        <v>6</v>
      </c>
      <c r="D3214">
        <v>137</v>
      </c>
      <c r="E3214" t="s">
        <v>8</v>
      </c>
      <c r="F3214" t="s">
        <v>9</v>
      </c>
      <c r="G3214" t="s">
        <v>16</v>
      </c>
      <c r="H3214">
        <v>0</v>
      </c>
    </row>
    <row r="3215" spans="1:8" x14ac:dyDescent="0.35">
      <c r="A3215">
        <v>15409</v>
      </c>
      <c r="B3215" t="s">
        <v>11</v>
      </c>
      <c r="C3215">
        <v>6</v>
      </c>
      <c r="D3215">
        <v>336</v>
      </c>
      <c r="E3215" t="s">
        <v>15</v>
      </c>
      <c r="F3215" t="s">
        <v>9</v>
      </c>
      <c r="G3215" t="s">
        <v>16</v>
      </c>
      <c r="H3215">
        <v>1</v>
      </c>
    </row>
    <row r="3216" spans="1:8" x14ac:dyDescent="0.35">
      <c r="A3216">
        <v>17617</v>
      </c>
      <c r="B3216" t="s">
        <v>11</v>
      </c>
      <c r="C3216">
        <v>14</v>
      </c>
      <c r="D3216">
        <v>373</v>
      </c>
      <c r="E3216" t="s">
        <v>8</v>
      </c>
      <c r="F3216" t="s">
        <v>13</v>
      </c>
      <c r="G3216" t="s">
        <v>14</v>
      </c>
      <c r="H3216">
        <v>0</v>
      </c>
    </row>
    <row r="3217" spans="1:8" x14ac:dyDescent="0.35">
      <c r="A3217">
        <v>14809</v>
      </c>
      <c r="B3217" t="s">
        <v>7</v>
      </c>
      <c r="C3217">
        <v>8</v>
      </c>
      <c r="D3217">
        <v>251</v>
      </c>
      <c r="E3217" t="s">
        <v>8</v>
      </c>
      <c r="F3217" t="s">
        <v>13</v>
      </c>
      <c r="G3217" t="s">
        <v>14</v>
      </c>
      <c r="H3217">
        <v>0</v>
      </c>
    </row>
    <row r="3218" spans="1:8" x14ac:dyDescent="0.35">
      <c r="A3218">
        <v>19161</v>
      </c>
      <c r="B3218" t="s">
        <v>11</v>
      </c>
      <c r="C3218">
        <v>3</v>
      </c>
      <c r="D3218">
        <v>180</v>
      </c>
      <c r="E3218" t="s">
        <v>8</v>
      </c>
      <c r="F3218" t="s">
        <v>13</v>
      </c>
      <c r="G3218" t="s">
        <v>14</v>
      </c>
      <c r="H3218">
        <v>0</v>
      </c>
    </row>
    <row r="3219" spans="1:8" x14ac:dyDescent="0.35">
      <c r="A3219">
        <v>18960</v>
      </c>
      <c r="B3219" t="s">
        <v>11</v>
      </c>
      <c r="C3219">
        <v>7</v>
      </c>
      <c r="D3219">
        <v>251</v>
      </c>
      <c r="E3219" t="s">
        <v>8</v>
      </c>
      <c r="F3219" t="s">
        <v>13</v>
      </c>
      <c r="G3219" t="s">
        <v>14</v>
      </c>
      <c r="H3219">
        <v>0</v>
      </c>
    </row>
    <row r="3220" spans="1:8" x14ac:dyDescent="0.35">
      <c r="A3220">
        <v>13397</v>
      </c>
      <c r="B3220" t="s">
        <v>7</v>
      </c>
      <c r="C3220">
        <v>2</v>
      </c>
      <c r="D3220">
        <v>82</v>
      </c>
      <c r="E3220" t="s">
        <v>8</v>
      </c>
      <c r="F3220" t="s">
        <v>9</v>
      </c>
      <c r="G3220" t="s">
        <v>12</v>
      </c>
      <c r="H3220">
        <v>0</v>
      </c>
    </row>
    <row r="3221" spans="1:8" x14ac:dyDescent="0.35">
      <c r="A3221">
        <v>14404</v>
      </c>
      <c r="B3221" t="s">
        <v>11</v>
      </c>
      <c r="C3221">
        <v>13</v>
      </c>
      <c r="D3221">
        <v>291</v>
      </c>
      <c r="E3221" t="s">
        <v>8</v>
      </c>
      <c r="F3221" t="s">
        <v>13</v>
      </c>
      <c r="G3221" t="s">
        <v>12</v>
      </c>
      <c r="H3221">
        <v>0</v>
      </c>
    </row>
    <row r="3222" spans="1:8" x14ac:dyDescent="0.35">
      <c r="A3222">
        <v>12268</v>
      </c>
      <c r="B3222" t="s">
        <v>7</v>
      </c>
      <c r="C3222">
        <v>14</v>
      </c>
      <c r="D3222">
        <v>262</v>
      </c>
      <c r="E3222" t="s">
        <v>8</v>
      </c>
      <c r="F3222" t="s">
        <v>13</v>
      </c>
      <c r="G3222" t="s">
        <v>14</v>
      </c>
      <c r="H3222">
        <v>0</v>
      </c>
    </row>
    <row r="3223" spans="1:8" x14ac:dyDescent="0.35">
      <c r="A3223">
        <v>10148</v>
      </c>
      <c r="B3223" t="s">
        <v>7</v>
      </c>
      <c r="C3223">
        <v>5</v>
      </c>
      <c r="D3223">
        <v>299</v>
      </c>
      <c r="E3223" t="s">
        <v>8</v>
      </c>
      <c r="F3223" t="s">
        <v>13</v>
      </c>
      <c r="G3223" t="s">
        <v>16</v>
      </c>
      <c r="H3223">
        <v>0</v>
      </c>
    </row>
    <row r="3224" spans="1:8" x14ac:dyDescent="0.35">
      <c r="A3224">
        <v>11357</v>
      </c>
      <c r="B3224" t="s">
        <v>11</v>
      </c>
      <c r="C3224">
        <v>11</v>
      </c>
      <c r="D3224">
        <v>91</v>
      </c>
      <c r="E3224" t="s">
        <v>8</v>
      </c>
      <c r="F3224" t="s">
        <v>9</v>
      </c>
      <c r="G3224" t="s">
        <v>14</v>
      </c>
      <c r="H3224">
        <v>0</v>
      </c>
    </row>
    <row r="3225" spans="1:8" x14ac:dyDescent="0.35">
      <c r="A3225">
        <v>17882</v>
      </c>
      <c r="B3225" t="s">
        <v>7</v>
      </c>
      <c r="C3225">
        <v>10</v>
      </c>
      <c r="D3225">
        <v>164</v>
      </c>
      <c r="E3225" t="s">
        <v>8</v>
      </c>
      <c r="F3225" t="s">
        <v>9</v>
      </c>
      <c r="G3225" t="s">
        <v>12</v>
      </c>
      <c r="H3225">
        <v>0</v>
      </c>
    </row>
    <row r="3226" spans="1:8" x14ac:dyDescent="0.35">
      <c r="A3226">
        <v>15111</v>
      </c>
      <c r="B3226" t="s">
        <v>7</v>
      </c>
      <c r="C3226">
        <v>3</v>
      </c>
      <c r="D3226">
        <v>228</v>
      </c>
      <c r="E3226" t="s">
        <v>8</v>
      </c>
      <c r="F3226" t="s">
        <v>9</v>
      </c>
      <c r="G3226" t="s">
        <v>16</v>
      </c>
      <c r="H3226">
        <v>0</v>
      </c>
    </row>
    <row r="3227" spans="1:8" x14ac:dyDescent="0.35">
      <c r="A3227">
        <v>18666</v>
      </c>
      <c r="B3227" t="s">
        <v>7</v>
      </c>
      <c r="C3227">
        <v>10</v>
      </c>
      <c r="D3227">
        <v>210</v>
      </c>
      <c r="E3227" t="s">
        <v>8</v>
      </c>
      <c r="F3227" t="s">
        <v>9</v>
      </c>
      <c r="G3227" t="s">
        <v>16</v>
      </c>
      <c r="H3227">
        <v>0</v>
      </c>
    </row>
    <row r="3228" spans="1:8" x14ac:dyDescent="0.35">
      <c r="A3228">
        <v>16016</v>
      </c>
      <c r="B3228" t="s">
        <v>7</v>
      </c>
      <c r="C3228">
        <v>10</v>
      </c>
      <c r="D3228">
        <v>313</v>
      </c>
      <c r="E3228" t="s">
        <v>8</v>
      </c>
      <c r="F3228" t="s">
        <v>9</v>
      </c>
      <c r="G3228" t="s">
        <v>12</v>
      </c>
      <c r="H3228">
        <v>0</v>
      </c>
    </row>
    <row r="3229" spans="1:8" x14ac:dyDescent="0.35">
      <c r="A3229">
        <v>10093</v>
      </c>
      <c r="B3229" t="s">
        <v>7</v>
      </c>
      <c r="C3229">
        <v>12</v>
      </c>
      <c r="D3229">
        <v>81</v>
      </c>
      <c r="E3229" t="s">
        <v>8</v>
      </c>
      <c r="F3229" t="s">
        <v>9</v>
      </c>
      <c r="G3229" t="s">
        <v>14</v>
      </c>
      <c r="H3229">
        <v>0</v>
      </c>
    </row>
    <row r="3230" spans="1:8" x14ac:dyDescent="0.35">
      <c r="A3230">
        <v>15498</v>
      </c>
      <c r="B3230" t="s">
        <v>7</v>
      </c>
      <c r="C3230">
        <v>9</v>
      </c>
      <c r="D3230">
        <v>247</v>
      </c>
      <c r="E3230" t="s">
        <v>8</v>
      </c>
      <c r="F3230" t="s">
        <v>13</v>
      </c>
      <c r="G3230" t="s">
        <v>12</v>
      </c>
      <c r="H3230">
        <v>0</v>
      </c>
    </row>
    <row r="3231" spans="1:8" x14ac:dyDescent="0.35">
      <c r="A3231">
        <v>15011</v>
      </c>
      <c r="B3231" t="s">
        <v>7</v>
      </c>
      <c r="C3231">
        <v>14</v>
      </c>
      <c r="D3231">
        <v>422</v>
      </c>
      <c r="E3231" t="s">
        <v>8</v>
      </c>
      <c r="F3231" t="s">
        <v>13</v>
      </c>
      <c r="G3231" t="s">
        <v>10</v>
      </c>
      <c r="H3231">
        <v>0</v>
      </c>
    </row>
    <row r="3232" spans="1:8" x14ac:dyDescent="0.35">
      <c r="A3232">
        <v>14250</v>
      </c>
      <c r="B3232" t="s">
        <v>11</v>
      </c>
      <c r="C3232">
        <v>3</v>
      </c>
      <c r="D3232">
        <v>231</v>
      </c>
      <c r="E3232" t="s">
        <v>8</v>
      </c>
      <c r="F3232" t="s">
        <v>13</v>
      </c>
      <c r="G3232" t="s">
        <v>16</v>
      </c>
      <c r="H3232">
        <v>0</v>
      </c>
    </row>
    <row r="3233" spans="1:8" x14ac:dyDescent="0.35">
      <c r="A3233">
        <v>18657</v>
      </c>
      <c r="B3233" t="s">
        <v>7</v>
      </c>
      <c r="C3233">
        <v>8</v>
      </c>
      <c r="D3233">
        <v>342</v>
      </c>
      <c r="E3233" t="s">
        <v>15</v>
      </c>
      <c r="F3233" t="s">
        <v>9</v>
      </c>
      <c r="G3233" t="s">
        <v>12</v>
      </c>
      <c r="H3233">
        <v>1</v>
      </c>
    </row>
    <row r="3234" spans="1:8" x14ac:dyDescent="0.35">
      <c r="A3234">
        <v>10414</v>
      </c>
      <c r="B3234" t="s">
        <v>7</v>
      </c>
      <c r="C3234">
        <v>11</v>
      </c>
      <c r="D3234">
        <v>281</v>
      </c>
      <c r="E3234" t="s">
        <v>15</v>
      </c>
      <c r="F3234" t="s">
        <v>9</v>
      </c>
      <c r="G3234" t="s">
        <v>12</v>
      </c>
      <c r="H3234">
        <v>1</v>
      </c>
    </row>
    <row r="3235" spans="1:8" x14ac:dyDescent="0.35">
      <c r="A3235">
        <v>17570</v>
      </c>
      <c r="B3235" t="s">
        <v>11</v>
      </c>
      <c r="C3235">
        <v>1</v>
      </c>
      <c r="D3235">
        <v>115</v>
      </c>
      <c r="E3235" t="s">
        <v>8</v>
      </c>
      <c r="F3235" t="s">
        <v>13</v>
      </c>
      <c r="G3235" t="s">
        <v>10</v>
      </c>
      <c r="H3235">
        <v>0</v>
      </c>
    </row>
    <row r="3236" spans="1:8" x14ac:dyDescent="0.35">
      <c r="A3236">
        <v>17740</v>
      </c>
      <c r="B3236" t="s">
        <v>11</v>
      </c>
      <c r="C3236">
        <v>13</v>
      </c>
      <c r="D3236">
        <v>266</v>
      </c>
      <c r="E3236" t="s">
        <v>8</v>
      </c>
      <c r="F3236" t="s">
        <v>13</v>
      </c>
      <c r="G3236" t="s">
        <v>16</v>
      </c>
      <c r="H3236">
        <v>0</v>
      </c>
    </row>
    <row r="3237" spans="1:8" x14ac:dyDescent="0.35">
      <c r="A3237">
        <v>19533</v>
      </c>
      <c r="B3237" t="s">
        <v>7</v>
      </c>
      <c r="C3237">
        <v>10</v>
      </c>
      <c r="D3237">
        <v>158</v>
      </c>
      <c r="E3237" t="s">
        <v>8</v>
      </c>
      <c r="F3237" t="s">
        <v>13</v>
      </c>
      <c r="G3237" t="s">
        <v>12</v>
      </c>
      <c r="H3237">
        <v>0</v>
      </c>
    </row>
    <row r="3238" spans="1:8" x14ac:dyDescent="0.35">
      <c r="A3238">
        <v>18313</v>
      </c>
      <c r="B3238" t="s">
        <v>11</v>
      </c>
      <c r="C3238">
        <v>12</v>
      </c>
      <c r="D3238">
        <v>69</v>
      </c>
      <c r="E3238" t="s">
        <v>15</v>
      </c>
      <c r="F3238" t="s">
        <v>9</v>
      </c>
      <c r="G3238" t="s">
        <v>12</v>
      </c>
      <c r="H3238">
        <v>1</v>
      </c>
    </row>
    <row r="3239" spans="1:8" x14ac:dyDescent="0.35">
      <c r="A3239">
        <v>11537</v>
      </c>
      <c r="B3239" t="s">
        <v>11</v>
      </c>
      <c r="C3239">
        <v>4</v>
      </c>
      <c r="D3239">
        <v>372</v>
      </c>
      <c r="E3239" t="s">
        <v>8</v>
      </c>
      <c r="F3239" t="s">
        <v>9</v>
      </c>
      <c r="G3239" t="s">
        <v>16</v>
      </c>
      <c r="H3239">
        <v>0</v>
      </c>
    </row>
    <row r="3240" spans="1:8" x14ac:dyDescent="0.35">
      <c r="A3240">
        <v>16153</v>
      </c>
      <c r="B3240" t="s">
        <v>11</v>
      </c>
      <c r="C3240">
        <v>13</v>
      </c>
      <c r="D3240">
        <v>324</v>
      </c>
      <c r="E3240" t="s">
        <v>15</v>
      </c>
      <c r="F3240" t="s">
        <v>13</v>
      </c>
      <c r="G3240" t="s">
        <v>10</v>
      </c>
      <c r="H3240">
        <v>1</v>
      </c>
    </row>
    <row r="3241" spans="1:8" x14ac:dyDescent="0.35">
      <c r="A3241">
        <v>19790</v>
      </c>
      <c r="B3241" t="s">
        <v>7</v>
      </c>
      <c r="C3241">
        <v>13</v>
      </c>
      <c r="D3241">
        <v>311</v>
      </c>
      <c r="E3241" t="s">
        <v>8</v>
      </c>
      <c r="F3241" t="s">
        <v>13</v>
      </c>
      <c r="G3241" t="s">
        <v>12</v>
      </c>
      <c r="H3241">
        <v>0</v>
      </c>
    </row>
    <row r="3242" spans="1:8" x14ac:dyDescent="0.35">
      <c r="A3242">
        <v>17291</v>
      </c>
      <c r="B3242" t="s">
        <v>7</v>
      </c>
      <c r="C3242">
        <v>1</v>
      </c>
      <c r="D3242">
        <v>128</v>
      </c>
      <c r="E3242" t="s">
        <v>8</v>
      </c>
      <c r="F3242" t="s">
        <v>13</v>
      </c>
      <c r="G3242" t="s">
        <v>10</v>
      </c>
      <c r="H3242">
        <v>0</v>
      </c>
    </row>
    <row r="3243" spans="1:8" x14ac:dyDescent="0.35">
      <c r="A3243">
        <v>17065</v>
      </c>
      <c r="B3243" t="s">
        <v>11</v>
      </c>
      <c r="C3243">
        <v>4</v>
      </c>
      <c r="D3243">
        <v>133</v>
      </c>
      <c r="E3243" t="s">
        <v>8</v>
      </c>
      <c r="F3243" t="s">
        <v>9</v>
      </c>
      <c r="G3243" t="s">
        <v>16</v>
      </c>
      <c r="H3243">
        <v>0</v>
      </c>
    </row>
    <row r="3244" spans="1:8" x14ac:dyDescent="0.35">
      <c r="A3244">
        <v>11399</v>
      </c>
      <c r="B3244" t="s">
        <v>11</v>
      </c>
      <c r="C3244">
        <v>7</v>
      </c>
      <c r="D3244">
        <v>54</v>
      </c>
      <c r="E3244" t="s">
        <v>8</v>
      </c>
      <c r="F3244" t="s">
        <v>9</v>
      </c>
      <c r="G3244" t="s">
        <v>12</v>
      </c>
      <c r="H3244">
        <v>0</v>
      </c>
    </row>
    <row r="3245" spans="1:8" x14ac:dyDescent="0.35">
      <c r="A3245">
        <v>10018</v>
      </c>
      <c r="B3245" t="s">
        <v>7</v>
      </c>
      <c r="C3245">
        <v>7</v>
      </c>
      <c r="D3245">
        <v>188</v>
      </c>
      <c r="E3245" t="s">
        <v>8</v>
      </c>
      <c r="F3245" t="s">
        <v>9</v>
      </c>
      <c r="G3245" t="s">
        <v>14</v>
      </c>
      <c r="H3245">
        <v>0</v>
      </c>
    </row>
    <row r="3246" spans="1:8" x14ac:dyDescent="0.35">
      <c r="A3246">
        <v>12493</v>
      </c>
      <c r="B3246" t="s">
        <v>7</v>
      </c>
      <c r="C3246">
        <v>2</v>
      </c>
      <c r="D3246">
        <v>158</v>
      </c>
      <c r="E3246" t="s">
        <v>8</v>
      </c>
      <c r="F3246" t="s">
        <v>13</v>
      </c>
      <c r="G3246" t="s">
        <v>10</v>
      </c>
      <c r="H3246">
        <v>0</v>
      </c>
    </row>
    <row r="3247" spans="1:8" x14ac:dyDescent="0.35">
      <c r="A3247">
        <v>17812</v>
      </c>
      <c r="B3247" t="s">
        <v>11</v>
      </c>
      <c r="C3247">
        <v>6</v>
      </c>
      <c r="D3247">
        <v>79</v>
      </c>
      <c r="E3247" t="s">
        <v>8</v>
      </c>
      <c r="F3247" t="s">
        <v>9</v>
      </c>
      <c r="G3247" t="s">
        <v>14</v>
      </c>
      <c r="H3247">
        <v>0</v>
      </c>
    </row>
    <row r="3248" spans="1:8" x14ac:dyDescent="0.35">
      <c r="A3248">
        <v>18927</v>
      </c>
      <c r="B3248" t="s">
        <v>11</v>
      </c>
      <c r="C3248">
        <v>14</v>
      </c>
      <c r="D3248">
        <v>386</v>
      </c>
      <c r="E3248" t="s">
        <v>8</v>
      </c>
      <c r="F3248" t="s">
        <v>13</v>
      </c>
      <c r="G3248" t="s">
        <v>10</v>
      </c>
      <c r="H3248">
        <v>0</v>
      </c>
    </row>
    <row r="3249" spans="1:8" x14ac:dyDescent="0.35">
      <c r="A3249">
        <v>10799</v>
      </c>
      <c r="B3249" t="s">
        <v>7</v>
      </c>
      <c r="C3249">
        <v>9</v>
      </c>
      <c r="D3249">
        <v>169</v>
      </c>
      <c r="E3249" t="s">
        <v>8</v>
      </c>
      <c r="F3249" t="s">
        <v>9</v>
      </c>
      <c r="G3249" t="s">
        <v>12</v>
      </c>
      <c r="H3249">
        <v>0</v>
      </c>
    </row>
    <row r="3250" spans="1:8" x14ac:dyDescent="0.35">
      <c r="A3250">
        <v>19817</v>
      </c>
      <c r="B3250" t="s">
        <v>7</v>
      </c>
      <c r="C3250">
        <v>13</v>
      </c>
      <c r="D3250">
        <v>344</v>
      </c>
      <c r="E3250" t="s">
        <v>8</v>
      </c>
      <c r="F3250" t="s">
        <v>9</v>
      </c>
      <c r="G3250" t="s">
        <v>12</v>
      </c>
      <c r="H3250">
        <v>0</v>
      </c>
    </row>
    <row r="3251" spans="1:8" x14ac:dyDescent="0.35">
      <c r="A3251">
        <v>12061</v>
      </c>
      <c r="B3251" t="s">
        <v>7</v>
      </c>
      <c r="C3251">
        <v>3</v>
      </c>
      <c r="D3251">
        <v>315</v>
      </c>
      <c r="E3251" t="s">
        <v>8</v>
      </c>
      <c r="F3251" t="s">
        <v>13</v>
      </c>
      <c r="G3251" t="s">
        <v>10</v>
      </c>
      <c r="H3251">
        <v>0</v>
      </c>
    </row>
    <row r="3252" spans="1:8" x14ac:dyDescent="0.35">
      <c r="A3252">
        <v>12331</v>
      </c>
      <c r="B3252" t="s">
        <v>11</v>
      </c>
      <c r="C3252">
        <v>13</v>
      </c>
      <c r="D3252">
        <v>159</v>
      </c>
      <c r="E3252" t="s">
        <v>8</v>
      </c>
      <c r="F3252" t="s">
        <v>9</v>
      </c>
      <c r="G3252" t="s">
        <v>12</v>
      </c>
      <c r="H3252">
        <v>0</v>
      </c>
    </row>
    <row r="3253" spans="1:8" x14ac:dyDescent="0.35">
      <c r="A3253">
        <v>16885</v>
      </c>
      <c r="B3253" t="s">
        <v>11</v>
      </c>
      <c r="C3253">
        <v>4</v>
      </c>
      <c r="D3253">
        <v>46</v>
      </c>
      <c r="E3253" t="s">
        <v>8</v>
      </c>
      <c r="F3253" t="s">
        <v>13</v>
      </c>
      <c r="G3253" t="s">
        <v>12</v>
      </c>
      <c r="H3253">
        <v>0</v>
      </c>
    </row>
    <row r="3254" spans="1:8" x14ac:dyDescent="0.35">
      <c r="A3254">
        <v>15266</v>
      </c>
      <c r="B3254" t="s">
        <v>7</v>
      </c>
      <c r="C3254">
        <v>9</v>
      </c>
      <c r="D3254">
        <v>381</v>
      </c>
      <c r="E3254" t="s">
        <v>8</v>
      </c>
      <c r="F3254" t="s">
        <v>13</v>
      </c>
      <c r="G3254" t="s">
        <v>16</v>
      </c>
      <c r="H3254">
        <v>0</v>
      </c>
    </row>
    <row r="3255" spans="1:8" x14ac:dyDescent="0.35">
      <c r="A3255">
        <v>14456</v>
      </c>
      <c r="B3255" t="s">
        <v>7</v>
      </c>
      <c r="C3255">
        <v>2</v>
      </c>
      <c r="D3255">
        <v>347</v>
      </c>
      <c r="E3255" t="s">
        <v>8</v>
      </c>
      <c r="F3255" t="s">
        <v>13</v>
      </c>
      <c r="G3255" t="s">
        <v>10</v>
      </c>
      <c r="H3255">
        <v>0</v>
      </c>
    </row>
    <row r="3256" spans="1:8" x14ac:dyDescent="0.35">
      <c r="A3256">
        <v>14277</v>
      </c>
      <c r="B3256" t="s">
        <v>7</v>
      </c>
      <c r="C3256">
        <v>2</v>
      </c>
      <c r="D3256">
        <v>206</v>
      </c>
      <c r="E3256" t="s">
        <v>8</v>
      </c>
      <c r="F3256" t="s">
        <v>13</v>
      </c>
      <c r="G3256" t="s">
        <v>14</v>
      </c>
      <c r="H3256">
        <v>0</v>
      </c>
    </row>
    <row r="3257" spans="1:8" x14ac:dyDescent="0.35">
      <c r="A3257">
        <v>15787</v>
      </c>
      <c r="B3257" t="s">
        <v>11</v>
      </c>
      <c r="C3257">
        <v>4</v>
      </c>
      <c r="D3257">
        <v>365</v>
      </c>
      <c r="E3257" t="s">
        <v>8</v>
      </c>
      <c r="F3257" t="s">
        <v>9</v>
      </c>
      <c r="G3257" t="s">
        <v>14</v>
      </c>
      <c r="H3257">
        <v>0</v>
      </c>
    </row>
    <row r="3258" spans="1:8" x14ac:dyDescent="0.35">
      <c r="A3258">
        <v>11251</v>
      </c>
      <c r="B3258" t="s">
        <v>7</v>
      </c>
      <c r="C3258">
        <v>11</v>
      </c>
      <c r="D3258">
        <v>246</v>
      </c>
      <c r="E3258" t="s">
        <v>8</v>
      </c>
      <c r="F3258" t="s">
        <v>13</v>
      </c>
      <c r="G3258" t="s">
        <v>12</v>
      </c>
      <c r="H3258">
        <v>0</v>
      </c>
    </row>
    <row r="3259" spans="1:8" x14ac:dyDescent="0.35">
      <c r="A3259">
        <v>15590</v>
      </c>
      <c r="B3259" t="s">
        <v>11</v>
      </c>
      <c r="C3259">
        <v>2</v>
      </c>
      <c r="D3259">
        <v>186</v>
      </c>
      <c r="E3259" t="s">
        <v>8</v>
      </c>
      <c r="F3259" t="s">
        <v>13</v>
      </c>
      <c r="G3259" t="s">
        <v>10</v>
      </c>
      <c r="H3259">
        <v>0</v>
      </c>
    </row>
    <row r="3260" spans="1:8" x14ac:dyDescent="0.35">
      <c r="A3260">
        <v>13415</v>
      </c>
      <c r="B3260" t="s">
        <v>7</v>
      </c>
      <c r="C3260">
        <v>8</v>
      </c>
      <c r="D3260">
        <v>93</v>
      </c>
      <c r="E3260" t="s">
        <v>8</v>
      </c>
      <c r="F3260" t="s">
        <v>13</v>
      </c>
      <c r="G3260" t="s">
        <v>12</v>
      </c>
      <c r="H3260">
        <v>0</v>
      </c>
    </row>
    <row r="3261" spans="1:8" x14ac:dyDescent="0.35">
      <c r="A3261">
        <v>17696</v>
      </c>
      <c r="B3261" t="s">
        <v>11</v>
      </c>
      <c r="C3261">
        <v>14</v>
      </c>
      <c r="D3261">
        <v>313</v>
      </c>
      <c r="E3261" t="s">
        <v>8</v>
      </c>
      <c r="F3261" t="s">
        <v>13</v>
      </c>
      <c r="G3261" t="s">
        <v>14</v>
      </c>
      <c r="H3261">
        <v>0</v>
      </c>
    </row>
    <row r="3262" spans="1:8" x14ac:dyDescent="0.35">
      <c r="A3262">
        <v>15744</v>
      </c>
      <c r="B3262" t="s">
        <v>11</v>
      </c>
      <c r="C3262">
        <v>10</v>
      </c>
      <c r="D3262">
        <v>268</v>
      </c>
      <c r="E3262" t="s">
        <v>8</v>
      </c>
      <c r="F3262" t="s">
        <v>13</v>
      </c>
      <c r="G3262" t="s">
        <v>14</v>
      </c>
      <c r="H3262">
        <v>0</v>
      </c>
    </row>
    <row r="3263" spans="1:8" x14ac:dyDescent="0.35">
      <c r="A3263">
        <v>16380</v>
      </c>
      <c r="B3263" t="s">
        <v>11</v>
      </c>
      <c r="C3263">
        <v>4</v>
      </c>
      <c r="D3263">
        <v>293</v>
      </c>
      <c r="E3263" t="s">
        <v>8</v>
      </c>
      <c r="F3263" t="s">
        <v>13</v>
      </c>
      <c r="G3263" t="s">
        <v>12</v>
      </c>
      <c r="H3263">
        <v>0</v>
      </c>
    </row>
    <row r="3264" spans="1:8" x14ac:dyDescent="0.35">
      <c r="A3264">
        <v>17321</v>
      </c>
      <c r="B3264" t="s">
        <v>11</v>
      </c>
      <c r="C3264">
        <v>12</v>
      </c>
      <c r="D3264">
        <v>43</v>
      </c>
      <c r="E3264" t="s">
        <v>8</v>
      </c>
      <c r="F3264" t="s">
        <v>9</v>
      </c>
      <c r="G3264" t="s">
        <v>10</v>
      </c>
      <c r="H3264">
        <v>0</v>
      </c>
    </row>
    <row r="3265" spans="1:8" x14ac:dyDescent="0.35">
      <c r="A3265">
        <v>15172</v>
      </c>
      <c r="B3265" t="s">
        <v>7</v>
      </c>
      <c r="C3265">
        <v>7</v>
      </c>
      <c r="D3265">
        <v>235</v>
      </c>
      <c r="E3265" t="s">
        <v>8</v>
      </c>
      <c r="F3265" t="s">
        <v>9</v>
      </c>
      <c r="G3265" t="s">
        <v>10</v>
      </c>
      <c r="H3265">
        <v>0</v>
      </c>
    </row>
    <row r="3266" spans="1:8" x14ac:dyDescent="0.35">
      <c r="A3266">
        <v>14094</v>
      </c>
      <c r="B3266" t="s">
        <v>11</v>
      </c>
      <c r="C3266">
        <v>6</v>
      </c>
      <c r="D3266">
        <v>448</v>
      </c>
      <c r="E3266" t="s">
        <v>8</v>
      </c>
      <c r="F3266" t="s">
        <v>9</v>
      </c>
      <c r="G3266" t="s">
        <v>16</v>
      </c>
      <c r="H3266">
        <v>0</v>
      </c>
    </row>
    <row r="3267" spans="1:8" x14ac:dyDescent="0.35">
      <c r="A3267">
        <v>16320</v>
      </c>
      <c r="B3267" t="s">
        <v>7</v>
      </c>
      <c r="C3267">
        <v>9</v>
      </c>
      <c r="D3267">
        <v>323</v>
      </c>
      <c r="E3267" t="s">
        <v>8</v>
      </c>
      <c r="F3267" t="s">
        <v>9</v>
      </c>
      <c r="G3267" t="s">
        <v>16</v>
      </c>
      <c r="H3267">
        <v>0</v>
      </c>
    </row>
    <row r="3268" spans="1:8" x14ac:dyDescent="0.35">
      <c r="A3268">
        <v>19111</v>
      </c>
      <c r="B3268" t="s">
        <v>11</v>
      </c>
      <c r="C3268">
        <v>14</v>
      </c>
      <c r="D3268">
        <v>56</v>
      </c>
      <c r="E3268" t="s">
        <v>8</v>
      </c>
      <c r="F3268" t="s">
        <v>13</v>
      </c>
      <c r="G3268" t="s">
        <v>12</v>
      </c>
      <c r="H3268">
        <v>0</v>
      </c>
    </row>
    <row r="3269" spans="1:8" x14ac:dyDescent="0.35">
      <c r="A3269">
        <v>19448</v>
      </c>
      <c r="B3269" t="s">
        <v>11</v>
      </c>
      <c r="C3269">
        <v>12</v>
      </c>
      <c r="D3269">
        <v>161</v>
      </c>
      <c r="E3269" t="s">
        <v>8</v>
      </c>
      <c r="F3269" t="s">
        <v>9</v>
      </c>
      <c r="G3269" t="s">
        <v>10</v>
      </c>
      <c r="H3269">
        <v>0</v>
      </c>
    </row>
    <row r="3270" spans="1:8" x14ac:dyDescent="0.35">
      <c r="A3270">
        <v>12366</v>
      </c>
      <c r="B3270" t="s">
        <v>7</v>
      </c>
      <c r="C3270">
        <v>9</v>
      </c>
      <c r="D3270">
        <v>69</v>
      </c>
      <c r="E3270" t="s">
        <v>8</v>
      </c>
      <c r="F3270" t="s">
        <v>13</v>
      </c>
      <c r="G3270" t="s">
        <v>16</v>
      </c>
      <c r="H3270">
        <v>0</v>
      </c>
    </row>
    <row r="3271" spans="1:8" x14ac:dyDescent="0.35">
      <c r="A3271">
        <v>17778</v>
      </c>
      <c r="B3271" t="s">
        <v>7</v>
      </c>
      <c r="C3271">
        <v>7</v>
      </c>
      <c r="D3271">
        <v>119</v>
      </c>
      <c r="E3271" t="s">
        <v>8</v>
      </c>
      <c r="F3271" t="s">
        <v>13</v>
      </c>
      <c r="G3271" t="s">
        <v>16</v>
      </c>
      <c r="H3271">
        <v>0</v>
      </c>
    </row>
    <row r="3272" spans="1:8" x14ac:dyDescent="0.35">
      <c r="A3272">
        <v>13458</v>
      </c>
      <c r="B3272" t="s">
        <v>11</v>
      </c>
      <c r="C3272">
        <v>6</v>
      </c>
      <c r="D3272">
        <v>327</v>
      </c>
      <c r="E3272" t="s">
        <v>8</v>
      </c>
      <c r="F3272" t="s">
        <v>9</v>
      </c>
      <c r="G3272" t="s">
        <v>12</v>
      </c>
      <c r="H3272">
        <v>0</v>
      </c>
    </row>
    <row r="3273" spans="1:8" x14ac:dyDescent="0.35">
      <c r="A3273">
        <v>15678</v>
      </c>
      <c r="B3273" t="s">
        <v>11</v>
      </c>
      <c r="C3273">
        <v>10</v>
      </c>
      <c r="D3273">
        <v>116</v>
      </c>
      <c r="E3273" t="s">
        <v>15</v>
      </c>
      <c r="F3273" t="s">
        <v>13</v>
      </c>
      <c r="G3273" t="s">
        <v>10</v>
      </c>
      <c r="H3273">
        <v>1</v>
      </c>
    </row>
    <row r="3274" spans="1:8" x14ac:dyDescent="0.35">
      <c r="A3274">
        <v>13135</v>
      </c>
      <c r="B3274" t="s">
        <v>7</v>
      </c>
      <c r="C3274">
        <v>3</v>
      </c>
      <c r="D3274">
        <v>202</v>
      </c>
      <c r="E3274" t="s">
        <v>8</v>
      </c>
      <c r="F3274" t="s">
        <v>9</v>
      </c>
      <c r="G3274" t="s">
        <v>16</v>
      </c>
      <c r="H3274">
        <v>0</v>
      </c>
    </row>
    <row r="3275" spans="1:8" x14ac:dyDescent="0.35">
      <c r="A3275">
        <v>14967</v>
      </c>
      <c r="B3275" t="s">
        <v>11</v>
      </c>
      <c r="C3275">
        <v>11</v>
      </c>
      <c r="D3275">
        <v>324</v>
      </c>
      <c r="E3275" t="s">
        <v>8</v>
      </c>
      <c r="F3275" t="s">
        <v>9</v>
      </c>
      <c r="G3275" t="s">
        <v>12</v>
      </c>
      <c r="H3275">
        <v>0</v>
      </c>
    </row>
    <row r="3276" spans="1:8" x14ac:dyDescent="0.35">
      <c r="A3276">
        <v>15125</v>
      </c>
      <c r="B3276" t="s">
        <v>11</v>
      </c>
      <c r="C3276">
        <v>13</v>
      </c>
      <c r="D3276">
        <v>394</v>
      </c>
      <c r="E3276" t="s">
        <v>8</v>
      </c>
      <c r="F3276" t="s">
        <v>9</v>
      </c>
      <c r="G3276" t="s">
        <v>10</v>
      </c>
      <c r="H3276">
        <v>0</v>
      </c>
    </row>
    <row r="3277" spans="1:8" x14ac:dyDescent="0.35">
      <c r="A3277">
        <v>19153</v>
      </c>
      <c r="B3277" t="s">
        <v>11</v>
      </c>
      <c r="C3277">
        <v>1</v>
      </c>
      <c r="D3277">
        <v>121</v>
      </c>
      <c r="E3277" t="s">
        <v>8</v>
      </c>
      <c r="F3277" t="s">
        <v>9</v>
      </c>
      <c r="G3277" t="s">
        <v>14</v>
      </c>
      <c r="H3277">
        <v>0</v>
      </c>
    </row>
    <row r="3278" spans="1:8" x14ac:dyDescent="0.35">
      <c r="A3278">
        <v>17909</v>
      </c>
      <c r="B3278" t="s">
        <v>7</v>
      </c>
      <c r="C3278">
        <v>2</v>
      </c>
      <c r="D3278">
        <v>254</v>
      </c>
      <c r="E3278" t="s">
        <v>8</v>
      </c>
      <c r="F3278" t="s">
        <v>13</v>
      </c>
      <c r="G3278" t="s">
        <v>14</v>
      </c>
      <c r="H3278">
        <v>0</v>
      </c>
    </row>
    <row r="3279" spans="1:8" x14ac:dyDescent="0.35">
      <c r="A3279">
        <v>10337</v>
      </c>
      <c r="B3279" t="s">
        <v>11</v>
      </c>
      <c r="C3279">
        <v>11</v>
      </c>
      <c r="D3279">
        <v>88</v>
      </c>
      <c r="E3279" t="s">
        <v>8</v>
      </c>
      <c r="F3279" t="s">
        <v>9</v>
      </c>
      <c r="G3279" t="s">
        <v>10</v>
      </c>
      <c r="H3279">
        <v>0</v>
      </c>
    </row>
    <row r="3280" spans="1:8" x14ac:dyDescent="0.35">
      <c r="A3280">
        <v>12093</v>
      </c>
      <c r="B3280" t="s">
        <v>11</v>
      </c>
      <c r="C3280">
        <v>8</v>
      </c>
      <c r="D3280">
        <v>79</v>
      </c>
      <c r="E3280" t="s">
        <v>8</v>
      </c>
      <c r="F3280" t="s">
        <v>9</v>
      </c>
      <c r="G3280" t="s">
        <v>12</v>
      </c>
      <c r="H3280">
        <v>0</v>
      </c>
    </row>
    <row r="3281" spans="1:8" x14ac:dyDescent="0.35">
      <c r="A3281">
        <v>15168</v>
      </c>
      <c r="B3281" t="s">
        <v>11</v>
      </c>
      <c r="C3281">
        <v>6</v>
      </c>
      <c r="D3281">
        <v>171</v>
      </c>
      <c r="E3281" t="s">
        <v>8</v>
      </c>
      <c r="F3281" t="s">
        <v>13</v>
      </c>
      <c r="G3281" t="s">
        <v>12</v>
      </c>
      <c r="H3281">
        <v>0</v>
      </c>
    </row>
    <row r="3282" spans="1:8" x14ac:dyDescent="0.35">
      <c r="A3282">
        <v>13122</v>
      </c>
      <c r="B3282" t="s">
        <v>7</v>
      </c>
      <c r="C3282">
        <v>6</v>
      </c>
      <c r="D3282">
        <v>365</v>
      </c>
      <c r="E3282" t="s">
        <v>8</v>
      </c>
      <c r="F3282" t="s">
        <v>13</v>
      </c>
      <c r="G3282" t="s">
        <v>10</v>
      </c>
      <c r="H3282">
        <v>0</v>
      </c>
    </row>
    <row r="3283" spans="1:8" x14ac:dyDescent="0.35">
      <c r="A3283">
        <v>17090</v>
      </c>
      <c r="B3283" t="s">
        <v>11</v>
      </c>
      <c r="C3283">
        <v>10</v>
      </c>
      <c r="D3283">
        <v>136</v>
      </c>
      <c r="E3283" t="s">
        <v>8</v>
      </c>
      <c r="F3283" t="s">
        <v>13</v>
      </c>
      <c r="G3283" t="s">
        <v>12</v>
      </c>
      <c r="H3283">
        <v>0</v>
      </c>
    </row>
    <row r="3284" spans="1:8" x14ac:dyDescent="0.35">
      <c r="A3284">
        <v>13239</v>
      </c>
      <c r="B3284" t="s">
        <v>11</v>
      </c>
      <c r="C3284">
        <v>2</v>
      </c>
      <c r="D3284">
        <v>155</v>
      </c>
      <c r="E3284" t="s">
        <v>8</v>
      </c>
      <c r="F3284" t="s">
        <v>9</v>
      </c>
      <c r="G3284" t="s">
        <v>12</v>
      </c>
      <c r="H3284">
        <v>0</v>
      </c>
    </row>
    <row r="3285" spans="1:8" x14ac:dyDescent="0.35">
      <c r="A3285">
        <v>18995</v>
      </c>
      <c r="B3285" t="s">
        <v>7</v>
      </c>
      <c r="C3285">
        <v>8</v>
      </c>
      <c r="D3285">
        <v>384</v>
      </c>
      <c r="E3285" t="s">
        <v>8</v>
      </c>
      <c r="F3285" t="s">
        <v>9</v>
      </c>
      <c r="G3285" t="s">
        <v>12</v>
      </c>
      <c r="H3285">
        <v>0</v>
      </c>
    </row>
    <row r="3286" spans="1:8" x14ac:dyDescent="0.35">
      <c r="A3286">
        <v>13243</v>
      </c>
      <c r="B3286" t="s">
        <v>11</v>
      </c>
      <c r="C3286">
        <v>8</v>
      </c>
      <c r="D3286">
        <v>123</v>
      </c>
      <c r="E3286" t="s">
        <v>8</v>
      </c>
      <c r="F3286" t="s">
        <v>13</v>
      </c>
      <c r="G3286" t="s">
        <v>12</v>
      </c>
      <c r="H3286">
        <v>0</v>
      </c>
    </row>
    <row r="3287" spans="1:8" x14ac:dyDescent="0.35">
      <c r="A3287">
        <v>14632</v>
      </c>
      <c r="B3287" t="s">
        <v>7</v>
      </c>
      <c r="C3287">
        <v>2</v>
      </c>
      <c r="D3287">
        <v>163</v>
      </c>
      <c r="E3287" t="s">
        <v>15</v>
      </c>
      <c r="F3287" t="s">
        <v>13</v>
      </c>
      <c r="G3287" t="s">
        <v>16</v>
      </c>
      <c r="H3287">
        <v>1</v>
      </c>
    </row>
    <row r="3288" spans="1:8" x14ac:dyDescent="0.35">
      <c r="A3288">
        <v>16629</v>
      </c>
      <c r="B3288" t="s">
        <v>7</v>
      </c>
      <c r="C3288">
        <v>7</v>
      </c>
      <c r="D3288">
        <v>42</v>
      </c>
      <c r="E3288" t="s">
        <v>8</v>
      </c>
      <c r="F3288" t="s">
        <v>13</v>
      </c>
      <c r="G3288" t="s">
        <v>12</v>
      </c>
      <c r="H3288">
        <v>0</v>
      </c>
    </row>
    <row r="3289" spans="1:8" x14ac:dyDescent="0.35">
      <c r="A3289">
        <v>18926</v>
      </c>
      <c r="B3289" t="s">
        <v>11</v>
      </c>
      <c r="C3289">
        <v>2</v>
      </c>
      <c r="D3289">
        <v>158</v>
      </c>
      <c r="E3289" t="s">
        <v>8</v>
      </c>
      <c r="F3289" t="s">
        <v>9</v>
      </c>
      <c r="G3289" t="s">
        <v>10</v>
      </c>
      <c r="H3289">
        <v>0</v>
      </c>
    </row>
    <row r="3290" spans="1:8" x14ac:dyDescent="0.35">
      <c r="A3290">
        <v>13107</v>
      </c>
      <c r="B3290" t="s">
        <v>11</v>
      </c>
      <c r="C3290">
        <v>11</v>
      </c>
      <c r="D3290">
        <v>187</v>
      </c>
      <c r="E3290" t="s">
        <v>8</v>
      </c>
      <c r="F3290" t="s">
        <v>9</v>
      </c>
      <c r="G3290" t="s">
        <v>16</v>
      </c>
      <c r="H3290">
        <v>0</v>
      </c>
    </row>
    <row r="3291" spans="1:8" x14ac:dyDescent="0.35">
      <c r="A3291">
        <v>19553</v>
      </c>
      <c r="B3291" t="s">
        <v>11</v>
      </c>
      <c r="C3291">
        <v>13</v>
      </c>
      <c r="D3291">
        <v>239</v>
      </c>
      <c r="E3291" t="s">
        <v>8</v>
      </c>
      <c r="F3291" t="s">
        <v>13</v>
      </c>
      <c r="G3291" t="s">
        <v>14</v>
      </c>
      <c r="H3291">
        <v>0</v>
      </c>
    </row>
    <row r="3292" spans="1:8" x14ac:dyDescent="0.35">
      <c r="A3292">
        <v>17234</v>
      </c>
      <c r="B3292" t="s">
        <v>7</v>
      </c>
      <c r="C3292">
        <v>12</v>
      </c>
      <c r="D3292">
        <v>296</v>
      </c>
      <c r="E3292" t="s">
        <v>8</v>
      </c>
      <c r="F3292" t="s">
        <v>13</v>
      </c>
      <c r="G3292" t="s">
        <v>16</v>
      </c>
      <c r="H3292">
        <v>0</v>
      </c>
    </row>
    <row r="3293" spans="1:8" x14ac:dyDescent="0.35">
      <c r="A3293">
        <v>17879</v>
      </c>
      <c r="B3293" t="s">
        <v>11</v>
      </c>
      <c r="C3293">
        <v>4</v>
      </c>
      <c r="D3293">
        <v>145</v>
      </c>
      <c r="E3293" t="s">
        <v>8</v>
      </c>
      <c r="F3293" t="s">
        <v>13</v>
      </c>
      <c r="G3293" t="s">
        <v>16</v>
      </c>
      <c r="H3293">
        <v>0</v>
      </c>
    </row>
    <row r="3294" spans="1:8" x14ac:dyDescent="0.35">
      <c r="A3294">
        <v>12081</v>
      </c>
      <c r="B3294" t="s">
        <v>7</v>
      </c>
      <c r="C3294">
        <v>10</v>
      </c>
      <c r="D3294">
        <v>117</v>
      </c>
      <c r="E3294" t="s">
        <v>8</v>
      </c>
      <c r="F3294" t="s">
        <v>9</v>
      </c>
      <c r="G3294" t="s">
        <v>10</v>
      </c>
      <c r="H3294">
        <v>0</v>
      </c>
    </row>
    <row r="3295" spans="1:8" x14ac:dyDescent="0.35">
      <c r="A3295">
        <v>10120</v>
      </c>
      <c r="B3295" t="s">
        <v>7</v>
      </c>
      <c r="C3295">
        <v>7</v>
      </c>
      <c r="D3295">
        <v>341</v>
      </c>
      <c r="E3295" t="s">
        <v>8</v>
      </c>
      <c r="F3295" t="s">
        <v>9</v>
      </c>
      <c r="G3295" t="s">
        <v>16</v>
      </c>
      <c r="H3295">
        <v>0</v>
      </c>
    </row>
    <row r="3296" spans="1:8" x14ac:dyDescent="0.35">
      <c r="A3296">
        <v>10542</v>
      </c>
      <c r="B3296" t="s">
        <v>7</v>
      </c>
      <c r="C3296">
        <v>4</v>
      </c>
      <c r="D3296">
        <v>147</v>
      </c>
      <c r="E3296" t="s">
        <v>15</v>
      </c>
      <c r="F3296" t="s">
        <v>9</v>
      </c>
      <c r="G3296" t="s">
        <v>16</v>
      </c>
      <c r="H3296">
        <v>1</v>
      </c>
    </row>
    <row r="3297" spans="1:8" x14ac:dyDescent="0.35">
      <c r="A3297">
        <v>15521</v>
      </c>
      <c r="B3297" t="s">
        <v>11</v>
      </c>
      <c r="C3297">
        <v>13</v>
      </c>
      <c r="D3297">
        <v>166</v>
      </c>
      <c r="E3297" t="s">
        <v>8</v>
      </c>
      <c r="F3297" t="s">
        <v>9</v>
      </c>
      <c r="G3297" t="s">
        <v>16</v>
      </c>
      <c r="H3297">
        <v>0</v>
      </c>
    </row>
    <row r="3298" spans="1:8" x14ac:dyDescent="0.35">
      <c r="A3298">
        <v>19491</v>
      </c>
      <c r="B3298" t="s">
        <v>11</v>
      </c>
      <c r="C3298">
        <v>7</v>
      </c>
      <c r="D3298">
        <v>344</v>
      </c>
      <c r="E3298" t="s">
        <v>8</v>
      </c>
      <c r="F3298" t="s">
        <v>13</v>
      </c>
      <c r="G3298" t="s">
        <v>10</v>
      </c>
      <c r="H3298">
        <v>0</v>
      </c>
    </row>
    <row r="3299" spans="1:8" x14ac:dyDescent="0.35">
      <c r="A3299">
        <v>13653</v>
      </c>
      <c r="B3299" t="s">
        <v>11</v>
      </c>
      <c r="C3299">
        <v>11</v>
      </c>
      <c r="D3299">
        <v>76</v>
      </c>
      <c r="E3299" t="s">
        <v>8</v>
      </c>
      <c r="F3299" t="s">
        <v>9</v>
      </c>
      <c r="G3299" t="s">
        <v>16</v>
      </c>
      <c r="H3299">
        <v>0</v>
      </c>
    </row>
    <row r="3300" spans="1:8" x14ac:dyDescent="0.35">
      <c r="A3300">
        <v>19677</v>
      </c>
      <c r="B3300" t="s">
        <v>11</v>
      </c>
      <c r="C3300">
        <v>14</v>
      </c>
      <c r="D3300">
        <v>301</v>
      </c>
      <c r="E3300" t="s">
        <v>8</v>
      </c>
      <c r="F3300" t="s">
        <v>9</v>
      </c>
      <c r="G3300" t="s">
        <v>12</v>
      </c>
      <c r="H3300">
        <v>0</v>
      </c>
    </row>
    <row r="3301" spans="1:8" x14ac:dyDescent="0.35">
      <c r="A3301">
        <v>10064</v>
      </c>
      <c r="B3301" t="s">
        <v>11</v>
      </c>
      <c r="C3301">
        <v>8</v>
      </c>
      <c r="D3301">
        <v>228</v>
      </c>
      <c r="E3301" t="s">
        <v>8</v>
      </c>
      <c r="F3301" t="s">
        <v>9</v>
      </c>
      <c r="G3301" t="s">
        <v>16</v>
      </c>
      <c r="H3301">
        <v>0</v>
      </c>
    </row>
    <row r="3302" spans="1:8" x14ac:dyDescent="0.35">
      <c r="A3302">
        <v>16928</v>
      </c>
      <c r="B3302" t="s">
        <v>11</v>
      </c>
      <c r="C3302">
        <v>2</v>
      </c>
      <c r="D3302">
        <v>55</v>
      </c>
      <c r="E3302" t="s">
        <v>8</v>
      </c>
      <c r="F3302" t="s">
        <v>13</v>
      </c>
      <c r="G3302" t="s">
        <v>10</v>
      </c>
      <c r="H3302">
        <v>0</v>
      </c>
    </row>
    <row r="3303" spans="1:8" x14ac:dyDescent="0.35">
      <c r="A3303">
        <v>10989</v>
      </c>
      <c r="B3303" t="s">
        <v>7</v>
      </c>
      <c r="C3303">
        <v>11</v>
      </c>
      <c r="D3303">
        <v>208</v>
      </c>
      <c r="E3303" t="s">
        <v>8</v>
      </c>
      <c r="F3303" t="s">
        <v>13</v>
      </c>
      <c r="G3303" t="s">
        <v>14</v>
      </c>
      <c r="H3303">
        <v>0</v>
      </c>
    </row>
    <row r="3304" spans="1:8" x14ac:dyDescent="0.35">
      <c r="A3304">
        <v>18366</v>
      </c>
      <c r="B3304" t="s">
        <v>7</v>
      </c>
      <c r="C3304">
        <v>5</v>
      </c>
      <c r="D3304">
        <v>244</v>
      </c>
      <c r="E3304" t="s">
        <v>8</v>
      </c>
      <c r="F3304" t="s">
        <v>13</v>
      </c>
      <c r="G3304" t="s">
        <v>12</v>
      </c>
      <c r="H3304">
        <v>0</v>
      </c>
    </row>
    <row r="3305" spans="1:8" x14ac:dyDescent="0.35">
      <c r="A3305">
        <v>13669</v>
      </c>
      <c r="B3305" t="s">
        <v>11</v>
      </c>
      <c r="C3305">
        <v>5</v>
      </c>
      <c r="D3305">
        <v>68</v>
      </c>
      <c r="E3305" t="s">
        <v>8</v>
      </c>
      <c r="F3305" t="s">
        <v>13</v>
      </c>
      <c r="G3305" t="s">
        <v>12</v>
      </c>
      <c r="H3305">
        <v>0</v>
      </c>
    </row>
    <row r="3306" spans="1:8" x14ac:dyDescent="0.35">
      <c r="A3306">
        <v>10248</v>
      </c>
      <c r="B3306" t="s">
        <v>11</v>
      </c>
      <c r="C3306">
        <v>7</v>
      </c>
      <c r="D3306">
        <v>119</v>
      </c>
      <c r="E3306" t="s">
        <v>8</v>
      </c>
      <c r="F3306" t="s">
        <v>13</v>
      </c>
      <c r="G3306" t="s">
        <v>12</v>
      </c>
      <c r="H3306">
        <v>0</v>
      </c>
    </row>
    <row r="3307" spans="1:8" x14ac:dyDescent="0.35">
      <c r="A3307">
        <v>10961</v>
      </c>
      <c r="B3307" t="s">
        <v>7</v>
      </c>
      <c r="C3307">
        <v>7</v>
      </c>
      <c r="D3307">
        <v>375</v>
      </c>
      <c r="E3307" t="s">
        <v>8</v>
      </c>
      <c r="F3307" t="s">
        <v>13</v>
      </c>
      <c r="G3307" t="s">
        <v>16</v>
      </c>
      <c r="H3307">
        <v>0</v>
      </c>
    </row>
    <row r="3308" spans="1:8" x14ac:dyDescent="0.35">
      <c r="A3308">
        <v>13540</v>
      </c>
      <c r="B3308" t="s">
        <v>11</v>
      </c>
      <c r="C3308">
        <v>5</v>
      </c>
      <c r="D3308">
        <v>298</v>
      </c>
      <c r="E3308" t="s">
        <v>8</v>
      </c>
      <c r="F3308" t="s">
        <v>9</v>
      </c>
      <c r="G3308" t="s">
        <v>12</v>
      </c>
      <c r="H3308">
        <v>0</v>
      </c>
    </row>
    <row r="3309" spans="1:8" x14ac:dyDescent="0.35">
      <c r="A3309">
        <v>19250</v>
      </c>
      <c r="B3309" t="s">
        <v>11</v>
      </c>
      <c r="C3309">
        <v>5</v>
      </c>
      <c r="D3309">
        <v>193</v>
      </c>
      <c r="E3309" t="s">
        <v>8</v>
      </c>
      <c r="F3309" t="s">
        <v>13</v>
      </c>
      <c r="G3309" t="s">
        <v>12</v>
      </c>
      <c r="H3309">
        <v>0</v>
      </c>
    </row>
    <row r="3310" spans="1:8" x14ac:dyDescent="0.35">
      <c r="A3310">
        <v>14798</v>
      </c>
      <c r="B3310" t="s">
        <v>11</v>
      </c>
      <c r="C3310">
        <v>8</v>
      </c>
      <c r="D3310">
        <v>381</v>
      </c>
      <c r="E3310" t="s">
        <v>8</v>
      </c>
      <c r="F3310" t="s">
        <v>13</v>
      </c>
      <c r="G3310" t="s">
        <v>12</v>
      </c>
      <c r="H3310">
        <v>0</v>
      </c>
    </row>
    <row r="3311" spans="1:8" x14ac:dyDescent="0.35">
      <c r="A3311">
        <v>10443</v>
      </c>
      <c r="B3311" t="s">
        <v>11</v>
      </c>
      <c r="C3311">
        <v>2</v>
      </c>
      <c r="D3311">
        <v>227</v>
      </c>
      <c r="E3311" t="s">
        <v>8</v>
      </c>
      <c r="F3311" t="s">
        <v>13</v>
      </c>
      <c r="G3311" t="s">
        <v>14</v>
      </c>
      <c r="H3311">
        <v>0</v>
      </c>
    </row>
    <row r="3312" spans="1:8" x14ac:dyDescent="0.35">
      <c r="A3312">
        <v>12210</v>
      </c>
      <c r="B3312" t="s">
        <v>7</v>
      </c>
      <c r="C3312">
        <v>12</v>
      </c>
      <c r="D3312">
        <v>241</v>
      </c>
      <c r="E3312" t="s">
        <v>8</v>
      </c>
      <c r="F3312" t="s">
        <v>13</v>
      </c>
      <c r="G3312" t="s">
        <v>14</v>
      </c>
      <c r="H3312">
        <v>0</v>
      </c>
    </row>
    <row r="3313" spans="1:8" x14ac:dyDescent="0.35">
      <c r="A3313">
        <v>19324</v>
      </c>
      <c r="B3313" t="s">
        <v>7</v>
      </c>
      <c r="C3313">
        <v>5</v>
      </c>
      <c r="D3313">
        <v>383</v>
      </c>
      <c r="E3313" t="s">
        <v>8</v>
      </c>
      <c r="F3313" t="s">
        <v>9</v>
      </c>
      <c r="G3313" t="s">
        <v>14</v>
      </c>
      <c r="H3313">
        <v>0</v>
      </c>
    </row>
    <row r="3314" spans="1:8" x14ac:dyDescent="0.35">
      <c r="A3314">
        <v>14351</v>
      </c>
      <c r="B3314" t="s">
        <v>7</v>
      </c>
      <c r="C3314">
        <v>9</v>
      </c>
      <c r="D3314">
        <v>74</v>
      </c>
      <c r="E3314" t="s">
        <v>8</v>
      </c>
      <c r="F3314" t="s">
        <v>9</v>
      </c>
      <c r="G3314" t="s">
        <v>16</v>
      </c>
      <c r="H3314">
        <v>0</v>
      </c>
    </row>
    <row r="3315" spans="1:8" x14ac:dyDescent="0.35">
      <c r="A3315">
        <v>12090</v>
      </c>
      <c r="B3315" t="s">
        <v>7</v>
      </c>
      <c r="C3315">
        <v>13</v>
      </c>
      <c r="D3315">
        <v>75</v>
      </c>
      <c r="E3315" t="s">
        <v>8</v>
      </c>
      <c r="F3315" t="s">
        <v>13</v>
      </c>
      <c r="G3315" t="s">
        <v>10</v>
      </c>
      <c r="H3315">
        <v>0</v>
      </c>
    </row>
    <row r="3316" spans="1:8" x14ac:dyDescent="0.35">
      <c r="A3316">
        <v>17361</v>
      </c>
      <c r="B3316" t="s">
        <v>7</v>
      </c>
      <c r="C3316">
        <v>6</v>
      </c>
      <c r="D3316">
        <v>426</v>
      </c>
      <c r="E3316" t="s">
        <v>8</v>
      </c>
      <c r="F3316" t="s">
        <v>13</v>
      </c>
      <c r="G3316" t="s">
        <v>16</v>
      </c>
      <c r="H3316">
        <v>0</v>
      </c>
    </row>
    <row r="3317" spans="1:8" x14ac:dyDescent="0.35">
      <c r="A3317">
        <v>13534</v>
      </c>
      <c r="B3317" t="s">
        <v>11</v>
      </c>
      <c r="C3317">
        <v>12</v>
      </c>
      <c r="D3317">
        <v>401</v>
      </c>
      <c r="E3317" t="s">
        <v>8</v>
      </c>
      <c r="F3317" t="s">
        <v>13</v>
      </c>
      <c r="G3317" t="s">
        <v>14</v>
      </c>
      <c r="H3317">
        <v>0</v>
      </c>
    </row>
    <row r="3318" spans="1:8" x14ac:dyDescent="0.35">
      <c r="A3318">
        <v>17965</v>
      </c>
      <c r="B3318" t="s">
        <v>7</v>
      </c>
      <c r="C3318">
        <v>14</v>
      </c>
      <c r="D3318">
        <v>236</v>
      </c>
      <c r="E3318" t="s">
        <v>15</v>
      </c>
      <c r="F3318" t="s">
        <v>9</v>
      </c>
      <c r="G3318" t="s">
        <v>16</v>
      </c>
      <c r="H3318">
        <v>1</v>
      </c>
    </row>
    <row r="3319" spans="1:8" x14ac:dyDescent="0.35">
      <c r="A3319">
        <v>16298</v>
      </c>
      <c r="B3319" t="s">
        <v>11</v>
      </c>
      <c r="C3319">
        <v>10</v>
      </c>
      <c r="D3319">
        <v>356</v>
      </c>
      <c r="E3319" t="s">
        <v>8</v>
      </c>
      <c r="F3319" t="s">
        <v>9</v>
      </c>
      <c r="G3319" t="s">
        <v>12</v>
      </c>
      <c r="H3319">
        <v>0</v>
      </c>
    </row>
    <row r="3320" spans="1:8" x14ac:dyDescent="0.35">
      <c r="A3320">
        <v>10541</v>
      </c>
      <c r="B3320" t="s">
        <v>11</v>
      </c>
      <c r="C3320">
        <v>3</v>
      </c>
      <c r="D3320">
        <v>328</v>
      </c>
      <c r="E3320" t="s">
        <v>8</v>
      </c>
      <c r="F3320" t="s">
        <v>9</v>
      </c>
      <c r="G3320" t="s">
        <v>16</v>
      </c>
      <c r="H3320">
        <v>0</v>
      </c>
    </row>
    <row r="3321" spans="1:8" x14ac:dyDescent="0.35">
      <c r="A3321">
        <v>15122</v>
      </c>
      <c r="B3321" t="s">
        <v>7</v>
      </c>
      <c r="C3321">
        <v>5</v>
      </c>
      <c r="D3321">
        <v>228</v>
      </c>
      <c r="E3321" t="s">
        <v>15</v>
      </c>
      <c r="F3321" t="s">
        <v>9</v>
      </c>
      <c r="G3321" t="s">
        <v>10</v>
      </c>
      <c r="H3321">
        <v>1</v>
      </c>
    </row>
    <row r="3322" spans="1:8" x14ac:dyDescent="0.35">
      <c r="A3322">
        <v>18168</v>
      </c>
      <c r="B3322" t="s">
        <v>7</v>
      </c>
      <c r="C3322">
        <v>9</v>
      </c>
      <c r="D3322">
        <v>295</v>
      </c>
      <c r="E3322" t="s">
        <v>8</v>
      </c>
      <c r="F3322" t="s">
        <v>9</v>
      </c>
      <c r="G3322" t="s">
        <v>14</v>
      </c>
      <c r="H3322">
        <v>0</v>
      </c>
    </row>
    <row r="3323" spans="1:8" x14ac:dyDescent="0.35">
      <c r="A3323">
        <v>15338</v>
      </c>
      <c r="B3323" t="s">
        <v>7</v>
      </c>
      <c r="C3323">
        <v>7</v>
      </c>
      <c r="D3323">
        <v>348</v>
      </c>
      <c r="E3323" t="s">
        <v>8</v>
      </c>
      <c r="F3323" t="s">
        <v>9</v>
      </c>
      <c r="G3323" t="s">
        <v>10</v>
      </c>
      <c r="H3323">
        <v>0</v>
      </c>
    </row>
    <row r="3324" spans="1:8" x14ac:dyDescent="0.35">
      <c r="A3324">
        <v>10811</v>
      </c>
      <c r="B3324" t="s">
        <v>11</v>
      </c>
      <c r="C3324">
        <v>14</v>
      </c>
      <c r="D3324">
        <v>221</v>
      </c>
      <c r="E3324" t="s">
        <v>8</v>
      </c>
      <c r="F3324" t="s">
        <v>9</v>
      </c>
      <c r="G3324" t="s">
        <v>14</v>
      </c>
      <c r="H3324">
        <v>0</v>
      </c>
    </row>
    <row r="3325" spans="1:8" x14ac:dyDescent="0.35">
      <c r="A3325">
        <v>13695</v>
      </c>
      <c r="B3325" t="s">
        <v>7</v>
      </c>
      <c r="C3325">
        <v>2</v>
      </c>
      <c r="D3325">
        <v>130</v>
      </c>
      <c r="E3325" t="s">
        <v>8</v>
      </c>
      <c r="F3325" t="s">
        <v>13</v>
      </c>
      <c r="G3325" t="s">
        <v>10</v>
      </c>
      <c r="H3325">
        <v>0</v>
      </c>
    </row>
    <row r="3326" spans="1:8" x14ac:dyDescent="0.35">
      <c r="A3326">
        <v>14451</v>
      </c>
      <c r="B3326" t="s">
        <v>7</v>
      </c>
      <c r="C3326">
        <v>2</v>
      </c>
      <c r="D3326">
        <v>328</v>
      </c>
      <c r="E3326" t="s">
        <v>8</v>
      </c>
      <c r="F3326" t="s">
        <v>13</v>
      </c>
      <c r="G3326" t="s">
        <v>12</v>
      </c>
      <c r="H3326">
        <v>0</v>
      </c>
    </row>
    <row r="3327" spans="1:8" x14ac:dyDescent="0.35">
      <c r="A3327">
        <v>13002</v>
      </c>
      <c r="B3327" t="s">
        <v>7</v>
      </c>
      <c r="C3327">
        <v>7</v>
      </c>
      <c r="D3327">
        <v>253</v>
      </c>
      <c r="E3327" t="s">
        <v>8</v>
      </c>
      <c r="F3327" t="s">
        <v>13</v>
      </c>
      <c r="G3327" t="s">
        <v>10</v>
      </c>
      <c r="H3327">
        <v>0</v>
      </c>
    </row>
    <row r="3328" spans="1:8" x14ac:dyDescent="0.35">
      <c r="A3328">
        <v>16912</v>
      </c>
      <c r="B3328" t="s">
        <v>7</v>
      </c>
      <c r="C3328">
        <v>13</v>
      </c>
      <c r="D3328">
        <v>289</v>
      </c>
      <c r="E3328" t="s">
        <v>8</v>
      </c>
      <c r="F3328" t="s">
        <v>9</v>
      </c>
      <c r="G3328" t="s">
        <v>14</v>
      </c>
      <c r="H3328">
        <v>0</v>
      </c>
    </row>
    <row r="3329" spans="1:8" x14ac:dyDescent="0.35">
      <c r="A3329">
        <v>12070</v>
      </c>
      <c r="B3329" t="s">
        <v>7</v>
      </c>
      <c r="C3329">
        <v>9</v>
      </c>
      <c r="D3329">
        <v>153</v>
      </c>
      <c r="E3329" t="s">
        <v>8</v>
      </c>
      <c r="F3329" t="s">
        <v>13</v>
      </c>
      <c r="G3329" t="s">
        <v>16</v>
      </c>
      <c r="H3329">
        <v>0</v>
      </c>
    </row>
    <row r="3330" spans="1:8" x14ac:dyDescent="0.35">
      <c r="A3330">
        <v>12721</v>
      </c>
      <c r="B3330" t="s">
        <v>7</v>
      </c>
      <c r="C3330">
        <v>4</v>
      </c>
      <c r="D3330">
        <v>107</v>
      </c>
      <c r="E3330" t="s">
        <v>8</v>
      </c>
      <c r="F3330" t="s">
        <v>9</v>
      </c>
      <c r="G3330" t="s">
        <v>12</v>
      </c>
      <c r="H3330">
        <v>0</v>
      </c>
    </row>
    <row r="3331" spans="1:8" x14ac:dyDescent="0.35">
      <c r="A3331">
        <v>13432</v>
      </c>
      <c r="B3331" t="s">
        <v>11</v>
      </c>
      <c r="C3331">
        <v>2</v>
      </c>
      <c r="D3331">
        <v>55</v>
      </c>
      <c r="E3331" t="s">
        <v>15</v>
      </c>
      <c r="F3331" t="s">
        <v>9</v>
      </c>
      <c r="G3331" t="s">
        <v>16</v>
      </c>
      <c r="H3331">
        <v>1</v>
      </c>
    </row>
    <row r="3332" spans="1:8" x14ac:dyDescent="0.35">
      <c r="A3332">
        <v>15257</v>
      </c>
      <c r="B3332" t="s">
        <v>7</v>
      </c>
      <c r="C3332">
        <v>2</v>
      </c>
      <c r="D3332">
        <v>352</v>
      </c>
      <c r="E3332" t="s">
        <v>8</v>
      </c>
      <c r="F3332" t="s">
        <v>9</v>
      </c>
      <c r="G3332" t="s">
        <v>10</v>
      </c>
      <c r="H3332">
        <v>0</v>
      </c>
    </row>
    <row r="3333" spans="1:8" x14ac:dyDescent="0.35">
      <c r="A3333">
        <v>18536</v>
      </c>
      <c r="B3333" t="s">
        <v>11</v>
      </c>
      <c r="C3333">
        <v>2</v>
      </c>
      <c r="D3333">
        <v>429</v>
      </c>
      <c r="E3333" t="s">
        <v>8</v>
      </c>
      <c r="F3333" t="s">
        <v>9</v>
      </c>
      <c r="G3333" t="s">
        <v>10</v>
      </c>
      <c r="H3333">
        <v>0</v>
      </c>
    </row>
    <row r="3334" spans="1:8" x14ac:dyDescent="0.35">
      <c r="A3334">
        <v>14069</v>
      </c>
      <c r="B3334" t="s">
        <v>11</v>
      </c>
      <c r="C3334">
        <v>13</v>
      </c>
      <c r="D3334">
        <v>98</v>
      </c>
      <c r="E3334" t="s">
        <v>8</v>
      </c>
      <c r="F3334" t="s">
        <v>13</v>
      </c>
      <c r="G3334" t="s">
        <v>10</v>
      </c>
      <c r="H3334">
        <v>0</v>
      </c>
    </row>
    <row r="3335" spans="1:8" x14ac:dyDescent="0.35">
      <c r="A3335">
        <v>12707</v>
      </c>
      <c r="B3335" t="s">
        <v>7</v>
      </c>
      <c r="C3335">
        <v>14</v>
      </c>
      <c r="D3335">
        <v>167</v>
      </c>
      <c r="E3335" t="s">
        <v>8</v>
      </c>
      <c r="F3335" t="s">
        <v>13</v>
      </c>
      <c r="G3335" t="s">
        <v>12</v>
      </c>
      <c r="H3335">
        <v>0</v>
      </c>
    </row>
    <row r="3336" spans="1:8" x14ac:dyDescent="0.35">
      <c r="A3336">
        <v>17844</v>
      </c>
      <c r="B3336" t="s">
        <v>11</v>
      </c>
      <c r="C3336">
        <v>4</v>
      </c>
      <c r="D3336">
        <v>234</v>
      </c>
      <c r="E3336" t="s">
        <v>8</v>
      </c>
      <c r="F3336" t="s">
        <v>9</v>
      </c>
      <c r="G3336" t="s">
        <v>14</v>
      </c>
      <c r="H3336">
        <v>0</v>
      </c>
    </row>
    <row r="3337" spans="1:8" x14ac:dyDescent="0.35">
      <c r="A3337">
        <v>12282</v>
      </c>
      <c r="B3337" t="s">
        <v>7</v>
      </c>
      <c r="C3337">
        <v>7</v>
      </c>
      <c r="D3337">
        <v>413</v>
      </c>
      <c r="E3337" t="s">
        <v>8</v>
      </c>
      <c r="F3337" t="s">
        <v>13</v>
      </c>
      <c r="G3337" t="s">
        <v>16</v>
      </c>
      <c r="H3337">
        <v>0</v>
      </c>
    </row>
    <row r="3338" spans="1:8" x14ac:dyDescent="0.35">
      <c r="A3338">
        <v>17314</v>
      </c>
      <c r="B3338" t="s">
        <v>7</v>
      </c>
      <c r="C3338">
        <v>6</v>
      </c>
      <c r="D3338">
        <v>416</v>
      </c>
      <c r="E3338" t="s">
        <v>8</v>
      </c>
      <c r="F3338" t="s">
        <v>13</v>
      </c>
      <c r="G3338" t="s">
        <v>10</v>
      </c>
      <c r="H3338">
        <v>0</v>
      </c>
    </row>
    <row r="3339" spans="1:8" x14ac:dyDescent="0.35">
      <c r="A3339">
        <v>13835</v>
      </c>
      <c r="B3339" t="s">
        <v>7</v>
      </c>
      <c r="C3339">
        <v>4</v>
      </c>
      <c r="D3339">
        <v>420</v>
      </c>
      <c r="E3339" t="s">
        <v>8</v>
      </c>
      <c r="F3339" t="s">
        <v>9</v>
      </c>
      <c r="G3339" t="s">
        <v>12</v>
      </c>
      <c r="H3339">
        <v>0</v>
      </c>
    </row>
    <row r="3340" spans="1:8" x14ac:dyDescent="0.35">
      <c r="A3340">
        <v>12240</v>
      </c>
      <c r="B3340" t="s">
        <v>11</v>
      </c>
      <c r="C3340">
        <v>7</v>
      </c>
      <c r="D3340">
        <v>183</v>
      </c>
      <c r="E3340" t="s">
        <v>8</v>
      </c>
      <c r="F3340" t="s">
        <v>9</v>
      </c>
      <c r="G3340" t="s">
        <v>16</v>
      </c>
      <c r="H3340">
        <v>0</v>
      </c>
    </row>
    <row r="3341" spans="1:8" x14ac:dyDescent="0.35">
      <c r="A3341">
        <v>19927</v>
      </c>
      <c r="B3341" t="s">
        <v>11</v>
      </c>
      <c r="C3341">
        <v>12</v>
      </c>
      <c r="D3341">
        <v>243</v>
      </c>
      <c r="E3341" t="s">
        <v>8</v>
      </c>
      <c r="F3341" t="s">
        <v>13</v>
      </c>
      <c r="G3341" t="s">
        <v>16</v>
      </c>
      <c r="H3341">
        <v>0</v>
      </c>
    </row>
    <row r="3342" spans="1:8" x14ac:dyDescent="0.35">
      <c r="A3342">
        <v>10598</v>
      </c>
      <c r="B3342" t="s">
        <v>7</v>
      </c>
      <c r="C3342">
        <v>9</v>
      </c>
      <c r="D3342">
        <v>356</v>
      </c>
      <c r="E3342" t="s">
        <v>15</v>
      </c>
      <c r="F3342" t="s">
        <v>13</v>
      </c>
      <c r="G3342" t="s">
        <v>10</v>
      </c>
      <c r="H3342">
        <v>1</v>
      </c>
    </row>
    <row r="3343" spans="1:8" x14ac:dyDescent="0.35">
      <c r="A3343">
        <v>19243</v>
      </c>
      <c r="B3343" t="s">
        <v>7</v>
      </c>
      <c r="C3343">
        <v>11</v>
      </c>
      <c r="D3343">
        <v>297</v>
      </c>
      <c r="E3343" t="s">
        <v>8</v>
      </c>
      <c r="F3343" t="s">
        <v>9</v>
      </c>
      <c r="G3343" t="s">
        <v>16</v>
      </c>
      <c r="H3343">
        <v>0</v>
      </c>
    </row>
    <row r="3344" spans="1:8" x14ac:dyDescent="0.35">
      <c r="A3344">
        <v>11089</v>
      </c>
      <c r="B3344" t="s">
        <v>7</v>
      </c>
      <c r="C3344">
        <v>14</v>
      </c>
      <c r="D3344">
        <v>299</v>
      </c>
      <c r="E3344" t="s">
        <v>8</v>
      </c>
      <c r="F3344" t="s">
        <v>13</v>
      </c>
      <c r="G3344" t="s">
        <v>10</v>
      </c>
      <c r="H3344">
        <v>0</v>
      </c>
    </row>
    <row r="3345" spans="1:8" x14ac:dyDescent="0.35">
      <c r="A3345">
        <v>10235</v>
      </c>
      <c r="B3345" t="s">
        <v>7</v>
      </c>
      <c r="C3345">
        <v>4</v>
      </c>
      <c r="D3345">
        <v>151</v>
      </c>
      <c r="E3345" t="s">
        <v>8</v>
      </c>
      <c r="F3345" t="s">
        <v>9</v>
      </c>
      <c r="G3345" t="s">
        <v>14</v>
      </c>
      <c r="H3345">
        <v>0</v>
      </c>
    </row>
    <row r="3346" spans="1:8" x14ac:dyDescent="0.35">
      <c r="A3346">
        <v>16456</v>
      </c>
      <c r="B3346" t="s">
        <v>11</v>
      </c>
      <c r="C3346">
        <v>9</v>
      </c>
      <c r="D3346">
        <v>246</v>
      </c>
      <c r="E3346" t="s">
        <v>8</v>
      </c>
      <c r="F3346" t="s">
        <v>13</v>
      </c>
      <c r="G3346" t="s">
        <v>10</v>
      </c>
      <c r="H3346">
        <v>0</v>
      </c>
    </row>
    <row r="3347" spans="1:8" x14ac:dyDescent="0.35">
      <c r="A3347">
        <v>15222</v>
      </c>
      <c r="B3347" t="s">
        <v>11</v>
      </c>
      <c r="C3347">
        <v>5</v>
      </c>
      <c r="D3347">
        <v>53</v>
      </c>
      <c r="E3347" t="s">
        <v>15</v>
      </c>
      <c r="F3347" t="s">
        <v>9</v>
      </c>
      <c r="G3347" t="s">
        <v>12</v>
      </c>
      <c r="H3347">
        <v>1</v>
      </c>
    </row>
    <row r="3348" spans="1:8" x14ac:dyDescent="0.35">
      <c r="A3348">
        <v>19065</v>
      </c>
      <c r="B3348" t="s">
        <v>7</v>
      </c>
      <c r="C3348">
        <v>12</v>
      </c>
      <c r="D3348">
        <v>284</v>
      </c>
      <c r="E3348" t="s">
        <v>8</v>
      </c>
      <c r="F3348" t="s">
        <v>9</v>
      </c>
      <c r="G3348" t="s">
        <v>14</v>
      </c>
      <c r="H3348">
        <v>0</v>
      </c>
    </row>
    <row r="3349" spans="1:8" x14ac:dyDescent="0.35">
      <c r="A3349">
        <v>13212</v>
      </c>
      <c r="B3349" t="s">
        <v>11</v>
      </c>
      <c r="C3349">
        <v>3</v>
      </c>
      <c r="D3349">
        <v>120</v>
      </c>
      <c r="E3349" t="s">
        <v>8</v>
      </c>
      <c r="F3349" t="s">
        <v>9</v>
      </c>
      <c r="G3349" t="s">
        <v>14</v>
      </c>
      <c r="H3349">
        <v>0</v>
      </c>
    </row>
    <row r="3350" spans="1:8" x14ac:dyDescent="0.35">
      <c r="A3350">
        <v>11262</v>
      </c>
      <c r="B3350" t="s">
        <v>7</v>
      </c>
      <c r="C3350">
        <v>8</v>
      </c>
      <c r="D3350">
        <v>335</v>
      </c>
      <c r="E3350" t="s">
        <v>8</v>
      </c>
      <c r="F3350" t="s">
        <v>13</v>
      </c>
      <c r="G3350" t="s">
        <v>10</v>
      </c>
      <c r="H3350">
        <v>0</v>
      </c>
    </row>
    <row r="3351" spans="1:8" x14ac:dyDescent="0.35">
      <c r="A3351">
        <v>18348</v>
      </c>
      <c r="B3351" t="s">
        <v>11</v>
      </c>
      <c r="C3351">
        <v>9</v>
      </c>
      <c r="D3351">
        <v>180</v>
      </c>
      <c r="E3351" t="s">
        <v>8</v>
      </c>
      <c r="F3351" t="s">
        <v>9</v>
      </c>
      <c r="G3351" t="s">
        <v>12</v>
      </c>
      <c r="H3351">
        <v>0</v>
      </c>
    </row>
    <row r="3352" spans="1:8" x14ac:dyDescent="0.35">
      <c r="A3352">
        <v>10887</v>
      </c>
      <c r="B3352" t="s">
        <v>7</v>
      </c>
      <c r="C3352">
        <v>8</v>
      </c>
      <c r="D3352">
        <v>393</v>
      </c>
      <c r="E3352" t="s">
        <v>15</v>
      </c>
      <c r="F3352" t="s">
        <v>13</v>
      </c>
      <c r="G3352" t="s">
        <v>14</v>
      </c>
      <c r="H3352">
        <v>1</v>
      </c>
    </row>
    <row r="3353" spans="1:8" x14ac:dyDescent="0.35">
      <c r="A3353">
        <v>12504</v>
      </c>
      <c r="B3353" t="s">
        <v>11</v>
      </c>
      <c r="C3353">
        <v>12</v>
      </c>
      <c r="D3353">
        <v>290</v>
      </c>
      <c r="E3353" t="s">
        <v>8</v>
      </c>
      <c r="F3353" t="s">
        <v>9</v>
      </c>
      <c r="G3353" t="s">
        <v>10</v>
      </c>
      <c r="H3353">
        <v>0</v>
      </c>
    </row>
    <row r="3354" spans="1:8" x14ac:dyDescent="0.35">
      <c r="A3354">
        <v>15391</v>
      </c>
      <c r="B3354" t="s">
        <v>11</v>
      </c>
      <c r="C3354">
        <v>12</v>
      </c>
      <c r="D3354">
        <v>382</v>
      </c>
      <c r="E3354" t="s">
        <v>8</v>
      </c>
      <c r="F3354" t="s">
        <v>13</v>
      </c>
      <c r="G3354" t="s">
        <v>10</v>
      </c>
      <c r="H3354">
        <v>0</v>
      </c>
    </row>
    <row r="3355" spans="1:8" x14ac:dyDescent="0.35">
      <c r="A3355">
        <v>14526</v>
      </c>
      <c r="B3355" t="s">
        <v>7</v>
      </c>
      <c r="C3355">
        <v>4</v>
      </c>
      <c r="D3355">
        <v>331</v>
      </c>
      <c r="E3355" t="s">
        <v>15</v>
      </c>
      <c r="F3355" t="s">
        <v>13</v>
      </c>
      <c r="G3355" t="s">
        <v>16</v>
      </c>
      <c r="H3355">
        <v>1</v>
      </c>
    </row>
    <row r="3356" spans="1:8" x14ac:dyDescent="0.35">
      <c r="A3356">
        <v>12984</v>
      </c>
      <c r="B3356" t="s">
        <v>7</v>
      </c>
      <c r="C3356">
        <v>12</v>
      </c>
      <c r="D3356">
        <v>354</v>
      </c>
      <c r="E3356" t="s">
        <v>8</v>
      </c>
      <c r="F3356" t="s">
        <v>9</v>
      </c>
      <c r="G3356" t="s">
        <v>10</v>
      </c>
      <c r="H3356">
        <v>0</v>
      </c>
    </row>
    <row r="3357" spans="1:8" x14ac:dyDescent="0.35">
      <c r="A3357">
        <v>14842</v>
      </c>
      <c r="B3357" t="s">
        <v>7</v>
      </c>
      <c r="C3357">
        <v>13</v>
      </c>
      <c r="D3357">
        <v>423</v>
      </c>
      <c r="E3357" t="s">
        <v>8</v>
      </c>
      <c r="F3357" t="s">
        <v>9</v>
      </c>
      <c r="G3357" t="s">
        <v>14</v>
      </c>
      <c r="H3357">
        <v>0</v>
      </c>
    </row>
    <row r="3358" spans="1:8" x14ac:dyDescent="0.35">
      <c r="A3358">
        <v>11989</v>
      </c>
      <c r="B3358" t="s">
        <v>11</v>
      </c>
      <c r="C3358">
        <v>1</v>
      </c>
      <c r="D3358">
        <v>144</v>
      </c>
      <c r="E3358" t="s">
        <v>8</v>
      </c>
      <c r="F3358" t="s">
        <v>9</v>
      </c>
      <c r="G3358" t="s">
        <v>16</v>
      </c>
      <c r="H3358">
        <v>0</v>
      </c>
    </row>
    <row r="3359" spans="1:8" x14ac:dyDescent="0.35">
      <c r="A3359">
        <v>11644</v>
      </c>
      <c r="B3359" t="s">
        <v>7</v>
      </c>
      <c r="C3359">
        <v>11</v>
      </c>
      <c r="D3359">
        <v>197</v>
      </c>
      <c r="E3359" t="s">
        <v>8</v>
      </c>
      <c r="F3359" t="s">
        <v>9</v>
      </c>
      <c r="G3359" t="s">
        <v>16</v>
      </c>
      <c r="H3359">
        <v>0</v>
      </c>
    </row>
    <row r="3360" spans="1:8" x14ac:dyDescent="0.35">
      <c r="A3360">
        <v>17198</v>
      </c>
      <c r="B3360" t="s">
        <v>11</v>
      </c>
      <c r="C3360">
        <v>8</v>
      </c>
      <c r="D3360">
        <v>234</v>
      </c>
      <c r="E3360" t="s">
        <v>8</v>
      </c>
      <c r="F3360" t="s">
        <v>13</v>
      </c>
      <c r="G3360" t="s">
        <v>12</v>
      </c>
      <c r="H3360">
        <v>0</v>
      </c>
    </row>
    <row r="3361" spans="1:8" x14ac:dyDescent="0.35">
      <c r="A3361">
        <v>18598</v>
      </c>
      <c r="B3361" t="s">
        <v>7</v>
      </c>
      <c r="C3361">
        <v>5</v>
      </c>
      <c r="D3361">
        <v>375</v>
      </c>
      <c r="E3361" t="s">
        <v>8</v>
      </c>
      <c r="F3361" t="s">
        <v>9</v>
      </c>
      <c r="G3361" t="s">
        <v>16</v>
      </c>
      <c r="H3361">
        <v>0</v>
      </c>
    </row>
    <row r="3362" spans="1:8" x14ac:dyDescent="0.35">
      <c r="A3362">
        <v>18906</v>
      </c>
      <c r="B3362" t="s">
        <v>11</v>
      </c>
      <c r="C3362">
        <v>11</v>
      </c>
      <c r="D3362">
        <v>279</v>
      </c>
      <c r="E3362" t="s">
        <v>8</v>
      </c>
      <c r="F3362" t="s">
        <v>13</v>
      </c>
      <c r="G3362" t="s">
        <v>10</v>
      </c>
      <c r="H3362">
        <v>0</v>
      </c>
    </row>
    <row r="3363" spans="1:8" x14ac:dyDescent="0.35">
      <c r="A3363">
        <v>14065</v>
      </c>
      <c r="B3363" t="s">
        <v>7</v>
      </c>
      <c r="C3363">
        <v>7</v>
      </c>
      <c r="D3363">
        <v>346</v>
      </c>
      <c r="E3363" t="s">
        <v>15</v>
      </c>
      <c r="F3363" t="s">
        <v>13</v>
      </c>
      <c r="G3363" t="s">
        <v>12</v>
      </c>
      <c r="H3363">
        <v>1</v>
      </c>
    </row>
    <row r="3364" spans="1:8" x14ac:dyDescent="0.35">
      <c r="A3364">
        <v>16333</v>
      </c>
      <c r="B3364" t="s">
        <v>7</v>
      </c>
      <c r="C3364">
        <v>9</v>
      </c>
      <c r="D3364">
        <v>100</v>
      </c>
      <c r="E3364" t="s">
        <v>8</v>
      </c>
      <c r="F3364" t="s">
        <v>9</v>
      </c>
      <c r="G3364" t="s">
        <v>12</v>
      </c>
      <c r="H3364">
        <v>0</v>
      </c>
    </row>
    <row r="3365" spans="1:8" x14ac:dyDescent="0.35">
      <c r="A3365">
        <v>18897</v>
      </c>
      <c r="B3365" t="s">
        <v>11</v>
      </c>
      <c r="C3365">
        <v>13</v>
      </c>
      <c r="D3365">
        <v>95</v>
      </c>
      <c r="E3365" t="s">
        <v>8</v>
      </c>
      <c r="F3365" t="s">
        <v>13</v>
      </c>
      <c r="G3365" t="s">
        <v>12</v>
      </c>
      <c r="H3365">
        <v>0</v>
      </c>
    </row>
    <row r="3366" spans="1:8" x14ac:dyDescent="0.35">
      <c r="A3366">
        <v>12167</v>
      </c>
      <c r="B3366" t="s">
        <v>7</v>
      </c>
      <c r="C3366">
        <v>6</v>
      </c>
      <c r="D3366">
        <v>103</v>
      </c>
      <c r="E3366" t="s">
        <v>8</v>
      </c>
      <c r="F3366" t="s">
        <v>13</v>
      </c>
      <c r="G3366" t="s">
        <v>14</v>
      </c>
      <c r="H3366">
        <v>0</v>
      </c>
    </row>
    <row r="3367" spans="1:8" x14ac:dyDescent="0.35">
      <c r="A3367">
        <v>14989</v>
      </c>
      <c r="B3367" t="s">
        <v>7</v>
      </c>
      <c r="C3367">
        <v>6</v>
      </c>
      <c r="D3367">
        <v>67</v>
      </c>
      <c r="E3367" t="s">
        <v>8</v>
      </c>
      <c r="F3367" t="s">
        <v>13</v>
      </c>
      <c r="G3367" t="s">
        <v>16</v>
      </c>
      <c r="H3367">
        <v>0</v>
      </c>
    </row>
    <row r="3368" spans="1:8" x14ac:dyDescent="0.35">
      <c r="A3368">
        <v>18169</v>
      </c>
      <c r="B3368" t="s">
        <v>11</v>
      </c>
      <c r="C3368">
        <v>14</v>
      </c>
      <c r="D3368">
        <v>47</v>
      </c>
      <c r="E3368" t="s">
        <v>8</v>
      </c>
      <c r="F3368" t="s">
        <v>9</v>
      </c>
      <c r="G3368" t="s">
        <v>16</v>
      </c>
      <c r="H3368">
        <v>0</v>
      </c>
    </row>
    <row r="3369" spans="1:8" x14ac:dyDescent="0.35">
      <c r="A3369">
        <v>19534</v>
      </c>
      <c r="B3369" t="s">
        <v>11</v>
      </c>
      <c r="C3369">
        <v>6</v>
      </c>
      <c r="D3369">
        <v>282</v>
      </c>
      <c r="E3369" t="s">
        <v>8</v>
      </c>
      <c r="F3369" t="s">
        <v>13</v>
      </c>
      <c r="G3369" t="s">
        <v>12</v>
      </c>
      <c r="H3369">
        <v>0</v>
      </c>
    </row>
    <row r="3370" spans="1:8" x14ac:dyDescent="0.35">
      <c r="A3370">
        <v>13194</v>
      </c>
      <c r="B3370" t="s">
        <v>7</v>
      </c>
      <c r="C3370">
        <v>12</v>
      </c>
      <c r="D3370">
        <v>97</v>
      </c>
      <c r="E3370" t="s">
        <v>8</v>
      </c>
      <c r="F3370" t="s">
        <v>9</v>
      </c>
      <c r="G3370" t="s">
        <v>12</v>
      </c>
      <c r="H3370">
        <v>0</v>
      </c>
    </row>
    <row r="3371" spans="1:8" x14ac:dyDescent="0.35">
      <c r="A3371">
        <v>19515</v>
      </c>
      <c r="B3371" t="s">
        <v>7</v>
      </c>
      <c r="C3371">
        <v>13</v>
      </c>
      <c r="D3371">
        <v>381</v>
      </c>
      <c r="E3371" t="s">
        <v>8</v>
      </c>
      <c r="F3371" t="s">
        <v>9</v>
      </c>
      <c r="G3371" t="s">
        <v>16</v>
      </c>
      <c r="H3371">
        <v>0</v>
      </c>
    </row>
    <row r="3372" spans="1:8" x14ac:dyDescent="0.35">
      <c r="A3372">
        <v>13315</v>
      </c>
      <c r="B3372" t="s">
        <v>7</v>
      </c>
      <c r="C3372">
        <v>3</v>
      </c>
      <c r="D3372">
        <v>227</v>
      </c>
      <c r="E3372" t="s">
        <v>15</v>
      </c>
      <c r="F3372" t="s">
        <v>13</v>
      </c>
      <c r="G3372" t="s">
        <v>12</v>
      </c>
      <c r="H3372">
        <v>1</v>
      </c>
    </row>
    <row r="3373" spans="1:8" x14ac:dyDescent="0.35">
      <c r="A3373">
        <v>19431</v>
      </c>
      <c r="B3373" t="s">
        <v>11</v>
      </c>
      <c r="C3373">
        <v>7</v>
      </c>
      <c r="D3373">
        <v>266</v>
      </c>
      <c r="E3373" t="s">
        <v>8</v>
      </c>
      <c r="F3373" t="s">
        <v>13</v>
      </c>
      <c r="G3373" t="s">
        <v>10</v>
      </c>
      <c r="H3373">
        <v>0</v>
      </c>
    </row>
    <row r="3374" spans="1:8" x14ac:dyDescent="0.35">
      <c r="A3374">
        <v>11222</v>
      </c>
      <c r="B3374" t="s">
        <v>7</v>
      </c>
      <c r="C3374">
        <v>14</v>
      </c>
      <c r="D3374">
        <v>431</v>
      </c>
      <c r="E3374" t="s">
        <v>8</v>
      </c>
      <c r="F3374" t="s">
        <v>9</v>
      </c>
      <c r="G3374" t="s">
        <v>10</v>
      </c>
      <c r="H3374">
        <v>0</v>
      </c>
    </row>
    <row r="3375" spans="1:8" x14ac:dyDescent="0.35">
      <c r="A3375">
        <v>19236</v>
      </c>
      <c r="B3375" t="s">
        <v>11</v>
      </c>
      <c r="C3375">
        <v>10</v>
      </c>
      <c r="D3375">
        <v>92</v>
      </c>
      <c r="E3375" t="s">
        <v>8</v>
      </c>
      <c r="F3375" t="s">
        <v>13</v>
      </c>
      <c r="G3375" t="s">
        <v>14</v>
      </c>
      <c r="H3375">
        <v>0</v>
      </c>
    </row>
    <row r="3376" spans="1:8" x14ac:dyDescent="0.35">
      <c r="A3376">
        <v>14772</v>
      </c>
      <c r="B3376" t="s">
        <v>7</v>
      </c>
      <c r="C3376">
        <v>4</v>
      </c>
      <c r="D3376">
        <v>310</v>
      </c>
      <c r="E3376" t="s">
        <v>8</v>
      </c>
      <c r="F3376" t="s">
        <v>9</v>
      </c>
      <c r="G3376" t="s">
        <v>14</v>
      </c>
      <c r="H3376">
        <v>0</v>
      </c>
    </row>
    <row r="3377" spans="1:8" x14ac:dyDescent="0.35">
      <c r="A3377">
        <v>13821</v>
      </c>
      <c r="B3377" t="s">
        <v>7</v>
      </c>
      <c r="C3377">
        <v>11</v>
      </c>
      <c r="D3377">
        <v>302</v>
      </c>
      <c r="E3377" t="s">
        <v>8</v>
      </c>
      <c r="F3377" t="s">
        <v>13</v>
      </c>
      <c r="G3377" t="s">
        <v>10</v>
      </c>
      <c r="H3377">
        <v>0</v>
      </c>
    </row>
    <row r="3378" spans="1:8" x14ac:dyDescent="0.35">
      <c r="A3378">
        <v>13311</v>
      </c>
      <c r="B3378" t="s">
        <v>11</v>
      </c>
      <c r="C3378">
        <v>9</v>
      </c>
      <c r="D3378">
        <v>336</v>
      </c>
      <c r="E3378" t="s">
        <v>8</v>
      </c>
      <c r="F3378" t="s">
        <v>9</v>
      </c>
      <c r="G3378" t="s">
        <v>10</v>
      </c>
      <c r="H3378">
        <v>0</v>
      </c>
    </row>
    <row r="3379" spans="1:8" x14ac:dyDescent="0.35">
      <c r="A3379">
        <v>19284</v>
      </c>
      <c r="B3379" t="s">
        <v>11</v>
      </c>
      <c r="C3379">
        <v>13</v>
      </c>
      <c r="D3379">
        <v>347</v>
      </c>
      <c r="E3379" t="s">
        <v>8</v>
      </c>
      <c r="F3379" t="s">
        <v>9</v>
      </c>
      <c r="G3379" t="s">
        <v>10</v>
      </c>
      <c r="H3379">
        <v>0</v>
      </c>
    </row>
    <row r="3380" spans="1:8" x14ac:dyDescent="0.35">
      <c r="A3380">
        <v>18160</v>
      </c>
      <c r="B3380" t="s">
        <v>11</v>
      </c>
      <c r="C3380">
        <v>4</v>
      </c>
      <c r="D3380">
        <v>230</v>
      </c>
      <c r="E3380" t="s">
        <v>8</v>
      </c>
      <c r="F3380" t="s">
        <v>13</v>
      </c>
      <c r="G3380" t="s">
        <v>16</v>
      </c>
      <c r="H3380">
        <v>0</v>
      </c>
    </row>
    <row r="3381" spans="1:8" x14ac:dyDescent="0.35">
      <c r="A3381">
        <v>10589</v>
      </c>
      <c r="B3381" t="s">
        <v>7</v>
      </c>
      <c r="C3381">
        <v>13</v>
      </c>
      <c r="D3381">
        <v>419</v>
      </c>
      <c r="E3381" t="s">
        <v>8</v>
      </c>
      <c r="F3381" t="s">
        <v>9</v>
      </c>
      <c r="G3381" t="s">
        <v>16</v>
      </c>
      <c r="H3381">
        <v>0</v>
      </c>
    </row>
    <row r="3382" spans="1:8" x14ac:dyDescent="0.35">
      <c r="A3382">
        <v>19802</v>
      </c>
      <c r="B3382" t="s">
        <v>11</v>
      </c>
      <c r="C3382">
        <v>7</v>
      </c>
      <c r="D3382">
        <v>307</v>
      </c>
      <c r="E3382" t="s">
        <v>8</v>
      </c>
      <c r="F3382" t="s">
        <v>9</v>
      </c>
      <c r="G3382" t="s">
        <v>14</v>
      </c>
      <c r="H3382">
        <v>0</v>
      </c>
    </row>
    <row r="3383" spans="1:8" x14ac:dyDescent="0.35">
      <c r="A3383">
        <v>14434</v>
      </c>
      <c r="B3383" t="s">
        <v>7</v>
      </c>
      <c r="C3383">
        <v>13</v>
      </c>
      <c r="D3383">
        <v>103</v>
      </c>
      <c r="E3383" t="s">
        <v>15</v>
      </c>
      <c r="F3383" t="s">
        <v>9</v>
      </c>
      <c r="G3383" t="s">
        <v>12</v>
      </c>
      <c r="H3383">
        <v>1</v>
      </c>
    </row>
    <row r="3384" spans="1:8" x14ac:dyDescent="0.35">
      <c r="A3384">
        <v>14822</v>
      </c>
      <c r="B3384" t="s">
        <v>7</v>
      </c>
      <c r="C3384">
        <v>10</v>
      </c>
      <c r="D3384">
        <v>94</v>
      </c>
      <c r="E3384" t="s">
        <v>8</v>
      </c>
      <c r="F3384" t="s">
        <v>9</v>
      </c>
      <c r="G3384" t="s">
        <v>14</v>
      </c>
      <c r="H3384">
        <v>0</v>
      </c>
    </row>
    <row r="3385" spans="1:8" x14ac:dyDescent="0.35">
      <c r="A3385">
        <v>14300</v>
      </c>
      <c r="B3385" t="s">
        <v>11</v>
      </c>
      <c r="C3385">
        <v>3</v>
      </c>
      <c r="D3385">
        <v>165</v>
      </c>
      <c r="E3385" t="s">
        <v>8</v>
      </c>
      <c r="F3385" t="s">
        <v>9</v>
      </c>
      <c r="G3385" t="s">
        <v>14</v>
      </c>
      <c r="H3385">
        <v>0</v>
      </c>
    </row>
    <row r="3386" spans="1:8" x14ac:dyDescent="0.35">
      <c r="A3386">
        <v>18156</v>
      </c>
      <c r="B3386" t="s">
        <v>11</v>
      </c>
      <c r="C3386">
        <v>7</v>
      </c>
      <c r="D3386">
        <v>339</v>
      </c>
      <c r="E3386" t="s">
        <v>8</v>
      </c>
      <c r="F3386" t="s">
        <v>13</v>
      </c>
      <c r="G3386" t="s">
        <v>12</v>
      </c>
      <c r="H3386">
        <v>0</v>
      </c>
    </row>
    <row r="3387" spans="1:8" x14ac:dyDescent="0.35">
      <c r="A3387">
        <v>16929</v>
      </c>
      <c r="B3387" t="s">
        <v>11</v>
      </c>
      <c r="C3387">
        <v>1</v>
      </c>
      <c r="D3387">
        <v>381</v>
      </c>
      <c r="E3387" t="s">
        <v>8</v>
      </c>
      <c r="F3387" t="s">
        <v>13</v>
      </c>
      <c r="G3387" t="s">
        <v>10</v>
      </c>
      <c r="H3387">
        <v>0</v>
      </c>
    </row>
    <row r="3388" spans="1:8" x14ac:dyDescent="0.35">
      <c r="A3388">
        <v>15213</v>
      </c>
      <c r="B3388" t="s">
        <v>11</v>
      </c>
      <c r="C3388">
        <v>13</v>
      </c>
      <c r="D3388">
        <v>277</v>
      </c>
      <c r="E3388" t="s">
        <v>8</v>
      </c>
      <c r="F3388" t="s">
        <v>13</v>
      </c>
      <c r="G3388" t="s">
        <v>10</v>
      </c>
      <c r="H3388">
        <v>0</v>
      </c>
    </row>
    <row r="3389" spans="1:8" x14ac:dyDescent="0.35">
      <c r="A3389">
        <v>16556</v>
      </c>
      <c r="B3389" t="s">
        <v>7</v>
      </c>
      <c r="C3389">
        <v>3</v>
      </c>
      <c r="D3389">
        <v>382</v>
      </c>
      <c r="E3389" t="s">
        <v>8</v>
      </c>
      <c r="F3389" t="s">
        <v>13</v>
      </c>
      <c r="G3389" t="s">
        <v>12</v>
      </c>
      <c r="H3389">
        <v>0</v>
      </c>
    </row>
    <row r="3390" spans="1:8" x14ac:dyDescent="0.35">
      <c r="A3390">
        <v>14583</v>
      </c>
      <c r="B3390" t="s">
        <v>7</v>
      </c>
      <c r="C3390">
        <v>9</v>
      </c>
      <c r="D3390">
        <v>395</v>
      </c>
      <c r="E3390" t="s">
        <v>8</v>
      </c>
      <c r="F3390" t="s">
        <v>13</v>
      </c>
      <c r="G3390" t="s">
        <v>10</v>
      </c>
      <c r="H3390">
        <v>0</v>
      </c>
    </row>
    <row r="3391" spans="1:8" x14ac:dyDescent="0.35">
      <c r="A3391">
        <v>17251</v>
      </c>
      <c r="B3391" t="s">
        <v>11</v>
      </c>
      <c r="C3391">
        <v>14</v>
      </c>
      <c r="D3391">
        <v>448</v>
      </c>
      <c r="E3391" t="s">
        <v>15</v>
      </c>
      <c r="F3391" t="s">
        <v>9</v>
      </c>
      <c r="G3391" t="s">
        <v>10</v>
      </c>
      <c r="H3391">
        <v>1</v>
      </c>
    </row>
    <row r="3392" spans="1:8" x14ac:dyDescent="0.35">
      <c r="A3392">
        <v>19503</v>
      </c>
      <c r="B3392" t="s">
        <v>11</v>
      </c>
      <c r="C3392">
        <v>6</v>
      </c>
      <c r="D3392">
        <v>247</v>
      </c>
      <c r="E3392" t="s">
        <v>8</v>
      </c>
      <c r="F3392" t="s">
        <v>9</v>
      </c>
      <c r="G3392" t="s">
        <v>14</v>
      </c>
      <c r="H3392">
        <v>0</v>
      </c>
    </row>
    <row r="3393" spans="1:8" x14ac:dyDescent="0.35">
      <c r="A3393">
        <v>16756</v>
      </c>
      <c r="B3393" t="s">
        <v>7</v>
      </c>
      <c r="C3393">
        <v>1</v>
      </c>
      <c r="D3393">
        <v>280</v>
      </c>
      <c r="E3393" t="s">
        <v>8</v>
      </c>
      <c r="F3393" t="s">
        <v>9</v>
      </c>
      <c r="G3393" t="s">
        <v>14</v>
      </c>
      <c r="H3393">
        <v>0</v>
      </c>
    </row>
    <row r="3394" spans="1:8" x14ac:dyDescent="0.35">
      <c r="A3394">
        <v>12800</v>
      </c>
      <c r="B3394" t="s">
        <v>7</v>
      </c>
      <c r="C3394">
        <v>14</v>
      </c>
      <c r="D3394">
        <v>109</v>
      </c>
      <c r="E3394" t="s">
        <v>8</v>
      </c>
      <c r="F3394" t="s">
        <v>13</v>
      </c>
      <c r="G3394" t="s">
        <v>16</v>
      </c>
      <c r="H3394">
        <v>0</v>
      </c>
    </row>
    <row r="3395" spans="1:8" x14ac:dyDescent="0.35">
      <c r="A3395">
        <v>15869</v>
      </c>
      <c r="B3395" t="s">
        <v>11</v>
      </c>
      <c r="C3395">
        <v>4</v>
      </c>
      <c r="D3395">
        <v>441</v>
      </c>
      <c r="E3395" t="s">
        <v>8</v>
      </c>
      <c r="F3395" t="s">
        <v>9</v>
      </c>
      <c r="G3395" t="s">
        <v>10</v>
      </c>
      <c r="H3395">
        <v>0</v>
      </c>
    </row>
    <row r="3396" spans="1:8" x14ac:dyDescent="0.35">
      <c r="A3396">
        <v>10010</v>
      </c>
      <c r="B3396" t="s">
        <v>7</v>
      </c>
      <c r="C3396">
        <v>1</v>
      </c>
      <c r="D3396">
        <v>430</v>
      </c>
      <c r="E3396" t="s">
        <v>8</v>
      </c>
      <c r="F3396" t="s">
        <v>9</v>
      </c>
      <c r="G3396" t="s">
        <v>14</v>
      </c>
      <c r="H3396">
        <v>0</v>
      </c>
    </row>
    <row r="3397" spans="1:8" x14ac:dyDescent="0.35">
      <c r="A3397">
        <v>11912</v>
      </c>
      <c r="B3397" t="s">
        <v>11</v>
      </c>
      <c r="C3397">
        <v>2</v>
      </c>
      <c r="D3397">
        <v>94</v>
      </c>
      <c r="E3397" t="s">
        <v>8</v>
      </c>
      <c r="F3397" t="s">
        <v>9</v>
      </c>
      <c r="G3397" t="s">
        <v>14</v>
      </c>
      <c r="H3397">
        <v>0</v>
      </c>
    </row>
    <row r="3398" spans="1:8" x14ac:dyDescent="0.35">
      <c r="A3398">
        <v>19300</v>
      </c>
      <c r="B3398" t="s">
        <v>11</v>
      </c>
      <c r="C3398">
        <v>8</v>
      </c>
      <c r="D3398">
        <v>361</v>
      </c>
      <c r="E3398" t="s">
        <v>8</v>
      </c>
      <c r="F3398" t="s">
        <v>13</v>
      </c>
      <c r="G3398" t="s">
        <v>14</v>
      </c>
      <c r="H3398">
        <v>0</v>
      </c>
    </row>
    <row r="3399" spans="1:8" x14ac:dyDescent="0.35">
      <c r="A3399">
        <v>13800</v>
      </c>
      <c r="B3399" t="s">
        <v>11</v>
      </c>
      <c r="C3399">
        <v>8</v>
      </c>
      <c r="D3399">
        <v>285</v>
      </c>
      <c r="E3399" t="s">
        <v>8</v>
      </c>
      <c r="F3399" t="s">
        <v>13</v>
      </c>
      <c r="G3399" t="s">
        <v>14</v>
      </c>
      <c r="H3399">
        <v>0</v>
      </c>
    </row>
    <row r="3400" spans="1:8" x14ac:dyDescent="0.35">
      <c r="A3400">
        <v>18585</v>
      </c>
      <c r="B3400" t="s">
        <v>11</v>
      </c>
      <c r="C3400">
        <v>12</v>
      </c>
      <c r="D3400">
        <v>109</v>
      </c>
      <c r="E3400" t="s">
        <v>8</v>
      </c>
      <c r="F3400" t="s">
        <v>9</v>
      </c>
      <c r="G3400" t="s">
        <v>10</v>
      </c>
      <c r="H3400">
        <v>0</v>
      </c>
    </row>
    <row r="3401" spans="1:8" x14ac:dyDescent="0.35">
      <c r="A3401">
        <v>15376</v>
      </c>
      <c r="B3401" t="s">
        <v>7</v>
      </c>
      <c r="C3401">
        <v>6</v>
      </c>
      <c r="D3401">
        <v>176</v>
      </c>
      <c r="E3401" t="s">
        <v>8</v>
      </c>
      <c r="F3401" t="s">
        <v>9</v>
      </c>
      <c r="G3401" t="s">
        <v>12</v>
      </c>
      <c r="H3401">
        <v>0</v>
      </c>
    </row>
    <row r="3402" spans="1:8" x14ac:dyDescent="0.35">
      <c r="A3402">
        <v>11946</v>
      </c>
      <c r="B3402" t="s">
        <v>7</v>
      </c>
      <c r="C3402">
        <v>10</v>
      </c>
      <c r="D3402">
        <v>245</v>
      </c>
      <c r="E3402" t="s">
        <v>8</v>
      </c>
      <c r="F3402" t="s">
        <v>9</v>
      </c>
      <c r="G3402" t="s">
        <v>12</v>
      </c>
      <c r="H3402">
        <v>0</v>
      </c>
    </row>
    <row r="3403" spans="1:8" x14ac:dyDescent="0.35">
      <c r="A3403">
        <v>12575</v>
      </c>
      <c r="B3403" t="s">
        <v>7</v>
      </c>
      <c r="C3403">
        <v>2</v>
      </c>
      <c r="D3403">
        <v>126</v>
      </c>
      <c r="E3403" t="s">
        <v>8</v>
      </c>
      <c r="F3403" t="s">
        <v>13</v>
      </c>
      <c r="G3403" t="s">
        <v>14</v>
      </c>
      <c r="H3403">
        <v>0</v>
      </c>
    </row>
    <row r="3404" spans="1:8" x14ac:dyDescent="0.35">
      <c r="A3404">
        <v>16093</v>
      </c>
      <c r="B3404" t="s">
        <v>7</v>
      </c>
      <c r="C3404">
        <v>11</v>
      </c>
      <c r="D3404">
        <v>77</v>
      </c>
      <c r="E3404" t="s">
        <v>8</v>
      </c>
      <c r="F3404" t="s">
        <v>13</v>
      </c>
      <c r="G3404" t="s">
        <v>16</v>
      </c>
      <c r="H3404">
        <v>0</v>
      </c>
    </row>
    <row r="3405" spans="1:8" x14ac:dyDescent="0.35">
      <c r="A3405">
        <v>13225</v>
      </c>
      <c r="B3405" t="s">
        <v>11</v>
      </c>
      <c r="C3405">
        <v>2</v>
      </c>
      <c r="D3405">
        <v>231</v>
      </c>
      <c r="E3405" t="s">
        <v>8</v>
      </c>
      <c r="F3405" t="s">
        <v>13</v>
      </c>
      <c r="G3405" t="s">
        <v>10</v>
      </c>
      <c r="H3405">
        <v>0</v>
      </c>
    </row>
    <row r="3406" spans="1:8" x14ac:dyDescent="0.35">
      <c r="A3406">
        <v>12042</v>
      </c>
      <c r="B3406" t="s">
        <v>7</v>
      </c>
      <c r="C3406">
        <v>1</v>
      </c>
      <c r="D3406">
        <v>318</v>
      </c>
      <c r="E3406" t="s">
        <v>8</v>
      </c>
      <c r="F3406" t="s">
        <v>9</v>
      </c>
      <c r="G3406" t="s">
        <v>10</v>
      </c>
      <c r="H3406">
        <v>0</v>
      </c>
    </row>
    <row r="3407" spans="1:8" x14ac:dyDescent="0.35">
      <c r="A3407">
        <v>16015</v>
      </c>
      <c r="B3407" t="s">
        <v>7</v>
      </c>
      <c r="C3407">
        <v>9</v>
      </c>
      <c r="D3407">
        <v>84</v>
      </c>
      <c r="E3407" t="s">
        <v>8</v>
      </c>
      <c r="F3407" t="s">
        <v>13</v>
      </c>
      <c r="G3407" t="s">
        <v>14</v>
      </c>
      <c r="H3407">
        <v>0</v>
      </c>
    </row>
    <row r="3408" spans="1:8" x14ac:dyDescent="0.35">
      <c r="A3408">
        <v>13563</v>
      </c>
      <c r="B3408" t="s">
        <v>7</v>
      </c>
      <c r="C3408">
        <v>8</v>
      </c>
      <c r="D3408">
        <v>427</v>
      </c>
      <c r="E3408" t="s">
        <v>15</v>
      </c>
      <c r="F3408" t="s">
        <v>9</v>
      </c>
      <c r="G3408" t="s">
        <v>16</v>
      </c>
      <c r="H3408">
        <v>1</v>
      </c>
    </row>
    <row r="3409" spans="1:8" x14ac:dyDescent="0.35">
      <c r="A3409">
        <v>13392</v>
      </c>
      <c r="B3409" t="s">
        <v>7</v>
      </c>
      <c r="C3409">
        <v>14</v>
      </c>
      <c r="D3409">
        <v>346</v>
      </c>
      <c r="E3409" t="s">
        <v>8</v>
      </c>
      <c r="F3409" t="s">
        <v>9</v>
      </c>
      <c r="G3409" t="s">
        <v>16</v>
      </c>
      <c r="H3409">
        <v>0</v>
      </c>
    </row>
    <row r="3410" spans="1:8" x14ac:dyDescent="0.35">
      <c r="A3410">
        <v>15776</v>
      </c>
      <c r="B3410" t="s">
        <v>7</v>
      </c>
      <c r="C3410">
        <v>6</v>
      </c>
      <c r="D3410">
        <v>154</v>
      </c>
      <c r="E3410" t="s">
        <v>8</v>
      </c>
      <c r="F3410" t="s">
        <v>9</v>
      </c>
      <c r="G3410" t="s">
        <v>14</v>
      </c>
      <c r="H3410">
        <v>0</v>
      </c>
    </row>
    <row r="3411" spans="1:8" x14ac:dyDescent="0.35">
      <c r="A3411">
        <v>10787</v>
      </c>
      <c r="B3411" t="s">
        <v>7</v>
      </c>
      <c r="C3411">
        <v>14</v>
      </c>
      <c r="D3411">
        <v>343</v>
      </c>
      <c r="E3411" t="s">
        <v>8</v>
      </c>
      <c r="F3411" t="s">
        <v>13</v>
      </c>
      <c r="G3411" t="s">
        <v>16</v>
      </c>
      <c r="H3411">
        <v>0</v>
      </c>
    </row>
    <row r="3412" spans="1:8" x14ac:dyDescent="0.35">
      <c r="A3412">
        <v>14691</v>
      </c>
      <c r="B3412" t="s">
        <v>7</v>
      </c>
      <c r="C3412">
        <v>7</v>
      </c>
      <c r="D3412">
        <v>117</v>
      </c>
      <c r="E3412" t="s">
        <v>8</v>
      </c>
      <c r="F3412" t="s">
        <v>9</v>
      </c>
      <c r="G3412" t="s">
        <v>10</v>
      </c>
      <c r="H3412">
        <v>0</v>
      </c>
    </row>
    <row r="3413" spans="1:8" x14ac:dyDescent="0.35">
      <c r="A3413">
        <v>13040</v>
      </c>
      <c r="B3413" t="s">
        <v>11</v>
      </c>
      <c r="C3413">
        <v>1</v>
      </c>
      <c r="D3413">
        <v>48</v>
      </c>
      <c r="E3413" t="s">
        <v>8</v>
      </c>
      <c r="F3413" t="s">
        <v>13</v>
      </c>
      <c r="G3413" t="s">
        <v>14</v>
      </c>
      <c r="H3413">
        <v>0</v>
      </c>
    </row>
    <row r="3414" spans="1:8" x14ac:dyDescent="0.35">
      <c r="A3414">
        <v>18026</v>
      </c>
      <c r="B3414" t="s">
        <v>11</v>
      </c>
      <c r="C3414">
        <v>12</v>
      </c>
      <c r="D3414">
        <v>414</v>
      </c>
      <c r="E3414" t="s">
        <v>8</v>
      </c>
      <c r="F3414" t="s">
        <v>13</v>
      </c>
      <c r="G3414" t="s">
        <v>12</v>
      </c>
      <c r="H3414">
        <v>0</v>
      </c>
    </row>
    <row r="3415" spans="1:8" x14ac:dyDescent="0.35">
      <c r="A3415">
        <v>17648</v>
      </c>
      <c r="B3415" t="s">
        <v>11</v>
      </c>
      <c r="C3415">
        <v>10</v>
      </c>
      <c r="D3415">
        <v>186</v>
      </c>
      <c r="E3415" t="s">
        <v>8</v>
      </c>
      <c r="F3415" t="s">
        <v>13</v>
      </c>
      <c r="G3415" t="s">
        <v>14</v>
      </c>
      <c r="H3415">
        <v>0</v>
      </c>
    </row>
    <row r="3416" spans="1:8" x14ac:dyDescent="0.35">
      <c r="A3416">
        <v>10117</v>
      </c>
      <c r="B3416" t="s">
        <v>11</v>
      </c>
      <c r="C3416">
        <v>2</v>
      </c>
      <c r="D3416">
        <v>312</v>
      </c>
      <c r="E3416" t="s">
        <v>8</v>
      </c>
      <c r="F3416" t="s">
        <v>13</v>
      </c>
      <c r="G3416" t="s">
        <v>12</v>
      </c>
      <c r="H3416">
        <v>0</v>
      </c>
    </row>
    <row r="3417" spans="1:8" x14ac:dyDescent="0.35">
      <c r="A3417">
        <v>17035</v>
      </c>
      <c r="B3417" t="s">
        <v>7</v>
      </c>
      <c r="C3417">
        <v>12</v>
      </c>
      <c r="D3417">
        <v>247</v>
      </c>
      <c r="E3417" t="s">
        <v>8</v>
      </c>
      <c r="F3417" t="s">
        <v>9</v>
      </c>
      <c r="G3417" t="s">
        <v>12</v>
      </c>
      <c r="H3417">
        <v>0</v>
      </c>
    </row>
    <row r="3418" spans="1:8" x14ac:dyDescent="0.35">
      <c r="A3418">
        <v>18389</v>
      </c>
      <c r="B3418" t="s">
        <v>11</v>
      </c>
      <c r="C3418">
        <v>8</v>
      </c>
      <c r="D3418">
        <v>401</v>
      </c>
      <c r="E3418" t="s">
        <v>8</v>
      </c>
      <c r="F3418" t="s">
        <v>9</v>
      </c>
      <c r="G3418" t="s">
        <v>12</v>
      </c>
      <c r="H3418">
        <v>0</v>
      </c>
    </row>
    <row r="3419" spans="1:8" x14ac:dyDescent="0.35">
      <c r="A3419">
        <v>19751</v>
      </c>
      <c r="B3419" t="s">
        <v>11</v>
      </c>
      <c r="C3419">
        <v>4</v>
      </c>
      <c r="D3419">
        <v>175</v>
      </c>
      <c r="E3419" t="s">
        <v>8</v>
      </c>
      <c r="F3419" t="s">
        <v>13</v>
      </c>
      <c r="G3419" t="s">
        <v>12</v>
      </c>
      <c r="H3419">
        <v>0</v>
      </c>
    </row>
    <row r="3420" spans="1:8" x14ac:dyDescent="0.35">
      <c r="A3420">
        <v>13568</v>
      </c>
      <c r="B3420" t="s">
        <v>7</v>
      </c>
      <c r="C3420">
        <v>10</v>
      </c>
      <c r="D3420">
        <v>138</v>
      </c>
      <c r="E3420" t="s">
        <v>15</v>
      </c>
      <c r="F3420" t="s">
        <v>9</v>
      </c>
      <c r="G3420" t="s">
        <v>12</v>
      </c>
      <c r="H3420">
        <v>1</v>
      </c>
    </row>
    <row r="3421" spans="1:8" x14ac:dyDescent="0.35">
      <c r="A3421">
        <v>17340</v>
      </c>
      <c r="B3421" t="s">
        <v>11</v>
      </c>
      <c r="C3421">
        <v>11</v>
      </c>
      <c r="D3421">
        <v>197</v>
      </c>
      <c r="E3421" t="s">
        <v>8</v>
      </c>
      <c r="F3421" t="s">
        <v>13</v>
      </c>
      <c r="G3421" t="s">
        <v>10</v>
      </c>
      <c r="H3421">
        <v>0</v>
      </c>
    </row>
    <row r="3422" spans="1:8" x14ac:dyDescent="0.35">
      <c r="A3422">
        <v>11771</v>
      </c>
      <c r="B3422" t="s">
        <v>11</v>
      </c>
      <c r="C3422">
        <v>2</v>
      </c>
      <c r="D3422">
        <v>69</v>
      </c>
      <c r="E3422" t="s">
        <v>8</v>
      </c>
      <c r="F3422" t="s">
        <v>13</v>
      </c>
      <c r="G3422" t="s">
        <v>12</v>
      </c>
      <c r="H3422">
        <v>0</v>
      </c>
    </row>
    <row r="3423" spans="1:8" x14ac:dyDescent="0.35">
      <c r="A3423">
        <v>13703</v>
      </c>
      <c r="B3423" t="s">
        <v>11</v>
      </c>
      <c r="C3423">
        <v>12</v>
      </c>
      <c r="D3423">
        <v>139</v>
      </c>
      <c r="E3423" t="s">
        <v>8</v>
      </c>
      <c r="F3423" t="s">
        <v>9</v>
      </c>
      <c r="G3423" t="s">
        <v>12</v>
      </c>
      <c r="H3423">
        <v>0</v>
      </c>
    </row>
    <row r="3424" spans="1:8" x14ac:dyDescent="0.35">
      <c r="A3424">
        <v>18465</v>
      </c>
      <c r="B3424" t="s">
        <v>7</v>
      </c>
      <c r="C3424">
        <v>7</v>
      </c>
      <c r="D3424">
        <v>322</v>
      </c>
      <c r="E3424" t="s">
        <v>8</v>
      </c>
      <c r="F3424" t="s">
        <v>13</v>
      </c>
      <c r="G3424" t="s">
        <v>12</v>
      </c>
      <c r="H3424">
        <v>0</v>
      </c>
    </row>
    <row r="3425" spans="1:8" x14ac:dyDescent="0.35">
      <c r="A3425">
        <v>18919</v>
      </c>
      <c r="B3425" t="s">
        <v>11</v>
      </c>
      <c r="C3425">
        <v>6</v>
      </c>
      <c r="D3425">
        <v>130</v>
      </c>
      <c r="E3425" t="s">
        <v>8</v>
      </c>
      <c r="F3425" t="s">
        <v>13</v>
      </c>
      <c r="G3425" t="s">
        <v>12</v>
      </c>
      <c r="H3425">
        <v>0</v>
      </c>
    </row>
    <row r="3426" spans="1:8" x14ac:dyDescent="0.35">
      <c r="A3426">
        <v>15226</v>
      </c>
      <c r="B3426" t="s">
        <v>11</v>
      </c>
      <c r="C3426">
        <v>3</v>
      </c>
      <c r="D3426">
        <v>89</v>
      </c>
      <c r="E3426" t="s">
        <v>8</v>
      </c>
      <c r="F3426" t="s">
        <v>13</v>
      </c>
      <c r="G3426" t="s">
        <v>14</v>
      </c>
      <c r="H3426">
        <v>0</v>
      </c>
    </row>
    <row r="3427" spans="1:8" x14ac:dyDescent="0.35">
      <c r="A3427">
        <v>10757</v>
      </c>
      <c r="B3427" t="s">
        <v>7</v>
      </c>
      <c r="C3427">
        <v>7</v>
      </c>
      <c r="D3427">
        <v>79</v>
      </c>
      <c r="E3427" t="s">
        <v>8</v>
      </c>
      <c r="F3427" t="s">
        <v>13</v>
      </c>
      <c r="G3427" t="s">
        <v>12</v>
      </c>
      <c r="H3427">
        <v>0</v>
      </c>
    </row>
    <row r="3428" spans="1:8" x14ac:dyDescent="0.35">
      <c r="A3428">
        <v>16391</v>
      </c>
      <c r="B3428" t="s">
        <v>11</v>
      </c>
      <c r="C3428">
        <v>10</v>
      </c>
      <c r="D3428">
        <v>139</v>
      </c>
      <c r="E3428" t="s">
        <v>8</v>
      </c>
      <c r="F3428" t="s">
        <v>9</v>
      </c>
      <c r="G3428" t="s">
        <v>16</v>
      </c>
      <c r="H3428">
        <v>0</v>
      </c>
    </row>
    <row r="3429" spans="1:8" x14ac:dyDescent="0.35">
      <c r="A3429">
        <v>17675</v>
      </c>
      <c r="B3429" t="s">
        <v>7</v>
      </c>
      <c r="C3429">
        <v>8</v>
      </c>
      <c r="D3429">
        <v>95</v>
      </c>
      <c r="E3429" t="s">
        <v>8</v>
      </c>
      <c r="F3429" t="s">
        <v>9</v>
      </c>
      <c r="G3429" t="s">
        <v>16</v>
      </c>
      <c r="H3429">
        <v>0</v>
      </c>
    </row>
    <row r="3430" spans="1:8" x14ac:dyDescent="0.35">
      <c r="A3430">
        <v>12380</v>
      </c>
      <c r="B3430" t="s">
        <v>11</v>
      </c>
      <c r="C3430">
        <v>9</v>
      </c>
      <c r="D3430">
        <v>380</v>
      </c>
      <c r="E3430" t="s">
        <v>8</v>
      </c>
      <c r="F3430" t="s">
        <v>13</v>
      </c>
      <c r="G3430" t="s">
        <v>10</v>
      </c>
      <c r="H3430">
        <v>0</v>
      </c>
    </row>
    <row r="3431" spans="1:8" x14ac:dyDescent="0.35">
      <c r="A3431">
        <v>14930</v>
      </c>
      <c r="B3431" t="s">
        <v>7</v>
      </c>
      <c r="C3431">
        <v>13</v>
      </c>
      <c r="D3431">
        <v>173</v>
      </c>
      <c r="E3431" t="s">
        <v>8</v>
      </c>
      <c r="F3431" t="s">
        <v>13</v>
      </c>
      <c r="G3431" t="s">
        <v>16</v>
      </c>
      <c r="H3431">
        <v>0</v>
      </c>
    </row>
    <row r="3432" spans="1:8" x14ac:dyDescent="0.35">
      <c r="A3432">
        <v>17462</v>
      </c>
      <c r="B3432" t="s">
        <v>7</v>
      </c>
      <c r="C3432">
        <v>7</v>
      </c>
      <c r="D3432">
        <v>138</v>
      </c>
      <c r="E3432" t="s">
        <v>8</v>
      </c>
      <c r="F3432" t="s">
        <v>13</v>
      </c>
      <c r="G3432" t="s">
        <v>10</v>
      </c>
      <c r="H3432">
        <v>0</v>
      </c>
    </row>
    <row r="3433" spans="1:8" x14ac:dyDescent="0.35">
      <c r="A3433">
        <v>13299</v>
      </c>
      <c r="B3433" t="s">
        <v>7</v>
      </c>
      <c r="C3433">
        <v>7</v>
      </c>
      <c r="D3433">
        <v>371</v>
      </c>
      <c r="E3433" t="s">
        <v>8</v>
      </c>
      <c r="F3433" t="s">
        <v>9</v>
      </c>
      <c r="G3433" t="s">
        <v>12</v>
      </c>
      <c r="H3433">
        <v>0</v>
      </c>
    </row>
    <row r="3434" spans="1:8" x14ac:dyDescent="0.35">
      <c r="A3434">
        <v>19183</v>
      </c>
      <c r="B3434" t="s">
        <v>11</v>
      </c>
      <c r="C3434">
        <v>9</v>
      </c>
      <c r="D3434">
        <v>107</v>
      </c>
      <c r="E3434" t="s">
        <v>15</v>
      </c>
      <c r="F3434" t="s">
        <v>9</v>
      </c>
      <c r="G3434" t="s">
        <v>14</v>
      </c>
      <c r="H3434">
        <v>1</v>
      </c>
    </row>
    <row r="3435" spans="1:8" x14ac:dyDescent="0.35">
      <c r="A3435">
        <v>12829</v>
      </c>
      <c r="B3435" t="s">
        <v>7</v>
      </c>
      <c r="C3435">
        <v>11</v>
      </c>
      <c r="D3435">
        <v>378</v>
      </c>
      <c r="E3435" t="s">
        <v>8</v>
      </c>
      <c r="F3435" t="s">
        <v>9</v>
      </c>
      <c r="G3435" t="s">
        <v>16</v>
      </c>
      <c r="H3435">
        <v>0</v>
      </c>
    </row>
    <row r="3436" spans="1:8" x14ac:dyDescent="0.35">
      <c r="A3436">
        <v>18810</v>
      </c>
      <c r="B3436" t="s">
        <v>11</v>
      </c>
      <c r="C3436">
        <v>4</v>
      </c>
      <c r="D3436">
        <v>151</v>
      </c>
      <c r="E3436" t="s">
        <v>8</v>
      </c>
      <c r="F3436" t="s">
        <v>13</v>
      </c>
      <c r="G3436" t="s">
        <v>14</v>
      </c>
      <c r="H3436">
        <v>0</v>
      </c>
    </row>
    <row r="3437" spans="1:8" x14ac:dyDescent="0.35">
      <c r="A3437">
        <v>14753</v>
      </c>
      <c r="B3437" t="s">
        <v>7</v>
      </c>
      <c r="C3437">
        <v>3</v>
      </c>
      <c r="D3437">
        <v>240</v>
      </c>
      <c r="E3437" t="s">
        <v>8</v>
      </c>
      <c r="F3437" t="s">
        <v>9</v>
      </c>
      <c r="G3437" t="s">
        <v>14</v>
      </c>
      <c r="H3437">
        <v>0</v>
      </c>
    </row>
    <row r="3438" spans="1:8" x14ac:dyDescent="0.35">
      <c r="A3438">
        <v>11409</v>
      </c>
      <c r="B3438" t="s">
        <v>11</v>
      </c>
      <c r="C3438">
        <v>2</v>
      </c>
      <c r="D3438">
        <v>223</v>
      </c>
      <c r="E3438" t="s">
        <v>8</v>
      </c>
      <c r="F3438" t="s">
        <v>13</v>
      </c>
      <c r="G3438" t="s">
        <v>14</v>
      </c>
      <c r="H3438">
        <v>0</v>
      </c>
    </row>
    <row r="3439" spans="1:8" x14ac:dyDescent="0.35">
      <c r="A3439">
        <v>14363</v>
      </c>
      <c r="B3439" t="s">
        <v>7</v>
      </c>
      <c r="C3439">
        <v>9</v>
      </c>
      <c r="D3439">
        <v>442</v>
      </c>
      <c r="E3439" t="s">
        <v>8</v>
      </c>
      <c r="F3439" t="s">
        <v>9</v>
      </c>
      <c r="G3439" t="s">
        <v>16</v>
      </c>
      <c r="H3439">
        <v>0</v>
      </c>
    </row>
    <row r="3440" spans="1:8" x14ac:dyDescent="0.35">
      <c r="A3440">
        <v>17169</v>
      </c>
      <c r="B3440" t="s">
        <v>11</v>
      </c>
      <c r="C3440">
        <v>11</v>
      </c>
      <c r="D3440">
        <v>138</v>
      </c>
      <c r="E3440" t="s">
        <v>8</v>
      </c>
      <c r="F3440" t="s">
        <v>13</v>
      </c>
      <c r="G3440" t="s">
        <v>10</v>
      </c>
      <c r="H3440">
        <v>0</v>
      </c>
    </row>
    <row r="3441" spans="1:8" x14ac:dyDescent="0.35">
      <c r="A3441">
        <v>17756</v>
      </c>
      <c r="B3441" t="s">
        <v>7</v>
      </c>
      <c r="C3441">
        <v>8</v>
      </c>
      <c r="D3441">
        <v>243</v>
      </c>
      <c r="E3441" t="s">
        <v>8</v>
      </c>
      <c r="F3441" t="s">
        <v>9</v>
      </c>
      <c r="G3441" t="s">
        <v>14</v>
      </c>
      <c r="H3441">
        <v>0</v>
      </c>
    </row>
    <row r="3442" spans="1:8" x14ac:dyDescent="0.35">
      <c r="A3442">
        <v>12753</v>
      </c>
      <c r="B3442" t="s">
        <v>11</v>
      </c>
      <c r="C3442">
        <v>3</v>
      </c>
      <c r="D3442">
        <v>181</v>
      </c>
      <c r="E3442" t="s">
        <v>8</v>
      </c>
      <c r="F3442" t="s">
        <v>13</v>
      </c>
      <c r="G3442" t="s">
        <v>12</v>
      </c>
      <c r="H3442">
        <v>0</v>
      </c>
    </row>
    <row r="3443" spans="1:8" x14ac:dyDescent="0.35">
      <c r="A3443">
        <v>11942</v>
      </c>
      <c r="B3443" t="s">
        <v>11</v>
      </c>
      <c r="C3443">
        <v>14</v>
      </c>
      <c r="D3443">
        <v>434</v>
      </c>
      <c r="E3443" t="s">
        <v>8</v>
      </c>
      <c r="F3443" t="s">
        <v>9</v>
      </c>
      <c r="G3443" t="s">
        <v>16</v>
      </c>
      <c r="H3443">
        <v>0</v>
      </c>
    </row>
    <row r="3444" spans="1:8" x14ac:dyDescent="0.35">
      <c r="A3444">
        <v>12558</v>
      </c>
      <c r="B3444" t="s">
        <v>7</v>
      </c>
      <c r="C3444">
        <v>7</v>
      </c>
      <c r="D3444">
        <v>226</v>
      </c>
      <c r="E3444" t="s">
        <v>8</v>
      </c>
      <c r="F3444" t="s">
        <v>9</v>
      </c>
      <c r="G3444" t="s">
        <v>14</v>
      </c>
      <c r="H3444">
        <v>0</v>
      </c>
    </row>
    <row r="3445" spans="1:8" x14ac:dyDescent="0.35">
      <c r="A3445">
        <v>12005</v>
      </c>
      <c r="B3445" t="s">
        <v>11</v>
      </c>
      <c r="C3445">
        <v>11</v>
      </c>
      <c r="D3445">
        <v>352</v>
      </c>
      <c r="E3445" t="s">
        <v>8</v>
      </c>
      <c r="F3445" t="s">
        <v>9</v>
      </c>
      <c r="G3445" t="s">
        <v>12</v>
      </c>
      <c r="H3445">
        <v>0</v>
      </c>
    </row>
    <row r="3446" spans="1:8" x14ac:dyDescent="0.35">
      <c r="A3446">
        <v>10034</v>
      </c>
      <c r="B3446" t="s">
        <v>11</v>
      </c>
      <c r="C3446">
        <v>1</v>
      </c>
      <c r="D3446">
        <v>293</v>
      </c>
      <c r="E3446" t="s">
        <v>8</v>
      </c>
      <c r="F3446" t="s">
        <v>13</v>
      </c>
      <c r="G3446" t="s">
        <v>12</v>
      </c>
      <c r="H3446">
        <v>0</v>
      </c>
    </row>
    <row r="3447" spans="1:8" x14ac:dyDescent="0.35">
      <c r="A3447">
        <v>13784</v>
      </c>
      <c r="B3447" t="s">
        <v>7</v>
      </c>
      <c r="C3447">
        <v>4</v>
      </c>
      <c r="D3447">
        <v>235</v>
      </c>
      <c r="E3447" t="s">
        <v>8</v>
      </c>
      <c r="F3447" t="s">
        <v>9</v>
      </c>
      <c r="G3447" t="s">
        <v>10</v>
      </c>
      <c r="H3447">
        <v>0</v>
      </c>
    </row>
    <row r="3448" spans="1:8" x14ac:dyDescent="0.35">
      <c r="A3448">
        <v>11048</v>
      </c>
      <c r="B3448" t="s">
        <v>11</v>
      </c>
      <c r="C3448">
        <v>14</v>
      </c>
      <c r="D3448">
        <v>88</v>
      </c>
      <c r="E3448" t="s">
        <v>15</v>
      </c>
      <c r="F3448" t="s">
        <v>13</v>
      </c>
      <c r="G3448" t="s">
        <v>16</v>
      </c>
      <c r="H3448">
        <v>1</v>
      </c>
    </row>
    <row r="3449" spans="1:8" x14ac:dyDescent="0.35">
      <c r="A3449">
        <v>14545</v>
      </c>
      <c r="B3449" t="s">
        <v>7</v>
      </c>
      <c r="C3449">
        <v>9</v>
      </c>
      <c r="D3449">
        <v>363</v>
      </c>
      <c r="E3449" t="s">
        <v>8</v>
      </c>
      <c r="F3449" t="s">
        <v>13</v>
      </c>
      <c r="G3449" t="s">
        <v>14</v>
      </c>
      <c r="H3449">
        <v>0</v>
      </c>
    </row>
    <row r="3450" spans="1:8" x14ac:dyDescent="0.35">
      <c r="A3450">
        <v>16904</v>
      </c>
      <c r="B3450" t="s">
        <v>11</v>
      </c>
      <c r="C3450">
        <v>9</v>
      </c>
      <c r="D3450">
        <v>231</v>
      </c>
      <c r="E3450" t="s">
        <v>8</v>
      </c>
      <c r="F3450" t="s">
        <v>13</v>
      </c>
      <c r="G3450" t="s">
        <v>12</v>
      </c>
      <c r="H3450">
        <v>0</v>
      </c>
    </row>
    <row r="3451" spans="1:8" x14ac:dyDescent="0.35">
      <c r="A3451">
        <v>11849</v>
      </c>
      <c r="B3451" t="s">
        <v>7</v>
      </c>
      <c r="C3451">
        <v>7</v>
      </c>
      <c r="D3451">
        <v>311</v>
      </c>
      <c r="E3451" t="s">
        <v>8</v>
      </c>
      <c r="F3451" t="s">
        <v>13</v>
      </c>
      <c r="G3451" t="s">
        <v>14</v>
      </c>
      <c r="H3451">
        <v>0</v>
      </c>
    </row>
    <row r="3452" spans="1:8" x14ac:dyDescent="0.35">
      <c r="A3452">
        <v>12711</v>
      </c>
      <c r="B3452" t="s">
        <v>11</v>
      </c>
      <c r="C3452">
        <v>4</v>
      </c>
      <c r="D3452">
        <v>133</v>
      </c>
      <c r="E3452" t="s">
        <v>8</v>
      </c>
      <c r="F3452" t="s">
        <v>9</v>
      </c>
      <c r="G3452" t="s">
        <v>16</v>
      </c>
      <c r="H3452">
        <v>0</v>
      </c>
    </row>
    <row r="3453" spans="1:8" x14ac:dyDescent="0.35">
      <c r="A3453">
        <v>12521</v>
      </c>
      <c r="B3453" t="s">
        <v>7</v>
      </c>
      <c r="C3453">
        <v>4</v>
      </c>
      <c r="D3453">
        <v>412</v>
      </c>
      <c r="E3453" t="s">
        <v>8</v>
      </c>
      <c r="F3453" t="s">
        <v>9</v>
      </c>
      <c r="G3453" t="s">
        <v>16</v>
      </c>
      <c r="H3453">
        <v>0</v>
      </c>
    </row>
    <row r="3454" spans="1:8" x14ac:dyDescent="0.35">
      <c r="A3454">
        <v>19855</v>
      </c>
      <c r="B3454" t="s">
        <v>7</v>
      </c>
      <c r="C3454">
        <v>5</v>
      </c>
      <c r="D3454">
        <v>150</v>
      </c>
      <c r="E3454" t="s">
        <v>8</v>
      </c>
      <c r="F3454" t="s">
        <v>9</v>
      </c>
      <c r="G3454" t="s">
        <v>16</v>
      </c>
      <c r="H3454">
        <v>0</v>
      </c>
    </row>
    <row r="3455" spans="1:8" x14ac:dyDescent="0.35">
      <c r="A3455">
        <v>11295</v>
      </c>
      <c r="B3455" t="s">
        <v>7</v>
      </c>
      <c r="C3455">
        <v>13</v>
      </c>
      <c r="D3455">
        <v>287</v>
      </c>
      <c r="E3455" t="s">
        <v>8</v>
      </c>
      <c r="F3455" t="s">
        <v>9</v>
      </c>
      <c r="G3455" t="s">
        <v>16</v>
      </c>
      <c r="H3455">
        <v>0</v>
      </c>
    </row>
    <row r="3456" spans="1:8" x14ac:dyDescent="0.35">
      <c r="A3456">
        <v>16921</v>
      </c>
      <c r="B3456" t="s">
        <v>7</v>
      </c>
      <c r="C3456">
        <v>1</v>
      </c>
      <c r="D3456">
        <v>316</v>
      </c>
      <c r="E3456" t="s">
        <v>8</v>
      </c>
      <c r="F3456" t="s">
        <v>13</v>
      </c>
      <c r="G3456" t="s">
        <v>14</v>
      </c>
      <c r="H3456">
        <v>0</v>
      </c>
    </row>
    <row r="3457" spans="1:8" x14ac:dyDescent="0.35">
      <c r="A3457">
        <v>11775</v>
      </c>
      <c r="B3457" t="s">
        <v>11</v>
      </c>
      <c r="C3457">
        <v>14</v>
      </c>
      <c r="D3457">
        <v>247</v>
      </c>
      <c r="E3457" t="s">
        <v>8</v>
      </c>
      <c r="F3457" t="s">
        <v>13</v>
      </c>
      <c r="G3457" t="s">
        <v>14</v>
      </c>
      <c r="H3457">
        <v>0</v>
      </c>
    </row>
    <row r="3458" spans="1:8" x14ac:dyDescent="0.35">
      <c r="A3458">
        <v>11754</v>
      </c>
      <c r="B3458" t="s">
        <v>7</v>
      </c>
      <c r="C3458">
        <v>10</v>
      </c>
      <c r="D3458">
        <v>91</v>
      </c>
      <c r="E3458" t="s">
        <v>8</v>
      </c>
      <c r="F3458" t="s">
        <v>13</v>
      </c>
      <c r="G3458" t="s">
        <v>12</v>
      </c>
      <c r="H3458">
        <v>0</v>
      </c>
    </row>
    <row r="3459" spans="1:8" x14ac:dyDescent="0.35">
      <c r="A3459">
        <v>15334</v>
      </c>
      <c r="B3459" t="s">
        <v>11</v>
      </c>
      <c r="C3459">
        <v>4</v>
      </c>
      <c r="D3459">
        <v>382</v>
      </c>
      <c r="E3459" t="s">
        <v>8</v>
      </c>
      <c r="F3459" t="s">
        <v>9</v>
      </c>
      <c r="G3459" t="s">
        <v>14</v>
      </c>
      <c r="H3459">
        <v>0</v>
      </c>
    </row>
    <row r="3460" spans="1:8" x14ac:dyDescent="0.35">
      <c r="A3460">
        <v>18030</v>
      </c>
      <c r="B3460" t="s">
        <v>11</v>
      </c>
      <c r="C3460">
        <v>9</v>
      </c>
      <c r="D3460">
        <v>247</v>
      </c>
      <c r="E3460" t="s">
        <v>8</v>
      </c>
      <c r="F3460" t="s">
        <v>13</v>
      </c>
      <c r="G3460" t="s">
        <v>16</v>
      </c>
      <c r="H3460">
        <v>0</v>
      </c>
    </row>
    <row r="3461" spans="1:8" x14ac:dyDescent="0.35">
      <c r="A3461">
        <v>18773</v>
      </c>
      <c r="B3461" t="s">
        <v>11</v>
      </c>
      <c r="C3461">
        <v>13</v>
      </c>
      <c r="D3461">
        <v>266</v>
      </c>
      <c r="E3461" t="s">
        <v>8</v>
      </c>
      <c r="F3461" t="s">
        <v>13</v>
      </c>
      <c r="G3461" t="s">
        <v>16</v>
      </c>
      <c r="H3461">
        <v>0</v>
      </c>
    </row>
    <row r="3462" spans="1:8" x14ac:dyDescent="0.35">
      <c r="A3462">
        <v>19346</v>
      </c>
      <c r="B3462" t="s">
        <v>7</v>
      </c>
      <c r="C3462">
        <v>1</v>
      </c>
      <c r="D3462">
        <v>429</v>
      </c>
      <c r="E3462" t="s">
        <v>8</v>
      </c>
      <c r="F3462" t="s">
        <v>9</v>
      </c>
      <c r="G3462" t="s">
        <v>14</v>
      </c>
      <c r="H3462">
        <v>0</v>
      </c>
    </row>
    <row r="3463" spans="1:8" x14ac:dyDescent="0.35">
      <c r="A3463">
        <v>10223</v>
      </c>
      <c r="B3463" t="s">
        <v>11</v>
      </c>
      <c r="C3463">
        <v>2</v>
      </c>
      <c r="D3463">
        <v>112</v>
      </c>
      <c r="E3463" t="s">
        <v>8</v>
      </c>
      <c r="F3463" t="s">
        <v>9</v>
      </c>
      <c r="G3463" t="s">
        <v>12</v>
      </c>
      <c r="H3463">
        <v>0</v>
      </c>
    </row>
    <row r="3464" spans="1:8" x14ac:dyDescent="0.35">
      <c r="A3464">
        <v>16022</v>
      </c>
      <c r="B3464" t="s">
        <v>7</v>
      </c>
      <c r="C3464">
        <v>7</v>
      </c>
      <c r="D3464">
        <v>51</v>
      </c>
      <c r="E3464" t="s">
        <v>8</v>
      </c>
      <c r="F3464" t="s">
        <v>13</v>
      </c>
      <c r="G3464" t="s">
        <v>10</v>
      </c>
      <c r="H3464">
        <v>0</v>
      </c>
    </row>
    <row r="3465" spans="1:8" x14ac:dyDescent="0.35">
      <c r="A3465">
        <v>16010</v>
      </c>
      <c r="B3465" t="s">
        <v>7</v>
      </c>
      <c r="C3465">
        <v>14</v>
      </c>
      <c r="D3465">
        <v>282</v>
      </c>
      <c r="E3465" t="s">
        <v>8</v>
      </c>
      <c r="F3465" t="s">
        <v>13</v>
      </c>
      <c r="G3465" t="s">
        <v>16</v>
      </c>
      <c r="H3465">
        <v>0</v>
      </c>
    </row>
    <row r="3466" spans="1:8" x14ac:dyDescent="0.35">
      <c r="A3466">
        <v>13767</v>
      </c>
      <c r="B3466" t="s">
        <v>11</v>
      </c>
      <c r="C3466">
        <v>4</v>
      </c>
      <c r="D3466">
        <v>379</v>
      </c>
      <c r="E3466" t="s">
        <v>8</v>
      </c>
      <c r="F3466" t="s">
        <v>9</v>
      </c>
      <c r="G3466" t="s">
        <v>16</v>
      </c>
      <c r="H3466">
        <v>0</v>
      </c>
    </row>
    <row r="3467" spans="1:8" x14ac:dyDescent="0.35">
      <c r="A3467">
        <v>14495</v>
      </c>
      <c r="B3467" t="s">
        <v>7</v>
      </c>
      <c r="C3467">
        <v>6</v>
      </c>
      <c r="D3467">
        <v>110</v>
      </c>
      <c r="E3467" t="s">
        <v>8</v>
      </c>
      <c r="F3467" t="s">
        <v>9</v>
      </c>
      <c r="G3467" t="s">
        <v>14</v>
      </c>
      <c r="H3467">
        <v>0</v>
      </c>
    </row>
    <row r="3468" spans="1:8" x14ac:dyDescent="0.35">
      <c r="A3468">
        <v>10303</v>
      </c>
      <c r="B3468" t="s">
        <v>7</v>
      </c>
      <c r="C3468">
        <v>1</v>
      </c>
      <c r="D3468">
        <v>424</v>
      </c>
      <c r="E3468" t="s">
        <v>8</v>
      </c>
      <c r="F3468" t="s">
        <v>9</v>
      </c>
      <c r="G3468" t="s">
        <v>14</v>
      </c>
      <c r="H3468">
        <v>0</v>
      </c>
    </row>
    <row r="3469" spans="1:8" x14ac:dyDescent="0.35">
      <c r="A3469">
        <v>15928</v>
      </c>
      <c r="B3469" t="s">
        <v>11</v>
      </c>
      <c r="C3469">
        <v>1</v>
      </c>
      <c r="D3469">
        <v>240</v>
      </c>
      <c r="E3469" t="s">
        <v>8</v>
      </c>
      <c r="F3469" t="s">
        <v>9</v>
      </c>
      <c r="G3469" t="s">
        <v>10</v>
      </c>
      <c r="H3469">
        <v>0</v>
      </c>
    </row>
    <row r="3470" spans="1:8" x14ac:dyDescent="0.35">
      <c r="A3470">
        <v>19970</v>
      </c>
      <c r="B3470" t="s">
        <v>11</v>
      </c>
      <c r="C3470">
        <v>5</v>
      </c>
      <c r="D3470">
        <v>269</v>
      </c>
      <c r="E3470" t="s">
        <v>8</v>
      </c>
      <c r="F3470" t="s">
        <v>9</v>
      </c>
      <c r="G3470" t="s">
        <v>10</v>
      </c>
      <c r="H3470">
        <v>0</v>
      </c>
    </row>
    <row r="3471" spans="1:8" x14ac:dyDescent="0.35">
      <c r="A3471">
        <v>10841</v>
      </c>
      <c r="B3471" t="s">
        <v>11</v>
      </c>
      <c r="C3471">
        <v>9</v>
      </c>
      <c r="D3471">
        <v>428</v>
      </c>
      <c r="E3471" t="s">
        <v>8</v>
      </c>
      <c r="F3471" t="s">
        <v>9</v>
      </c>
      <c r="G3471" t="s">
        <v>12</v>
      </c>
      <c r="H3471">
        <v>0</v>
      </c>
    </row>
    <row r="3472" spans="1:8" x14ac:dyDescent="0.35">
      <c r="A3472">
        <v>12264</v>
      </c>
      <c r="B3472" t="s">
        <v>11</v>
      </c>
      <c r="C3472">
        <v>11</v>
      </c>
      <c r="D3472">
        <v>208</v>
      </c>
      <c r="E3472" t="s">
        <v>8</v>
      </c>
      <c r="F3472" t="s">
        <v>9</v>
      </c>
      <c r="G3472" t="s">
        <v>10</v>
      </c>
      <c r="H3472">
        <v>0</v>
      </c>
    </row>
    <row r="3473" spans="1:8" x14ac:dyDescent="0.35">
      <c r="A3473">
        <v>16030</v>
      </c>
      <c r="B3473" t="s">
        <v>11</v>
      </c>
      <c r="C3473">
        <v>7</v>
      </c>
      <c r="D3473">
        <v>178</v>
      </c>
      <c r="E3473" t="s">
        <v>8</v>
      </c>
      <c r="F3473" t="s">
        <v>13</v>
      </c>
      <c r="G3473" t="s">
        <v>10</v>
      </c>
      <c r="H3473">
        <v>0</v>
      </c>
    </row>
    <row r="3474" spans="1:8" x14ac:dyDescent="0.35">
      <c r="A3474">
        <v>15864</v>
      </c>
      <c r="B3474" t="s">
        <v>7</v>
      </c>
      <c r="C3474">
        <v>8</v>
      </c>
      <c r="D3474">
        <v>184</v>
      </c>
      <c r="E3474" t="s">
        <v>8</v>
      </c>
      <c r="F3474" t="s">
        <v>13</v>
      </c>
      <c r="G3474" t="s">
        <v>16</v>
      </c>
      <c r="H3474">
        <v>0</v>
      </c>
    </row>
    <row r="3475" spans="1:8" x14ac:dyDescent="0.35">
      <c r="A3475">
        <v>19679</v>
      </c>
      <c r="B3475" t="s">
        <v>7</v>
      </c>
      <c r="C3475">
        <v>12</v>
      </c>
      <c r="D3475">
        <v>437</v>
      </c>
      <c r="E3475" t="s">
        <v>8</v>
      </c>
      <c r="F3475" t="s">
        <v>13</v>
      </c>
      <c r="G3475" t="s">
        <v>12</v>
      </c>
      <c r="H3475">
        <v>0</v>
      </c>
    </row>
    <row r="3476" spans="1:8" x14ac:dyDescent="0.35">
      <c r="A3476">
        <v>19896</v>
      </c>
      <c r="B3476" t="s">
        <v>7</v>
      </c>
      <c r="C3476">
        <v>14</v>
      </c>
      <c r="D3476">
        <v>306</v>
      </c>
      <c r="E3476" t="s">
        <v>8</v>
      </c>
      <c r="F3476" t="s">
        <v>9</v>
      </c>
      <c r="G3476" t="s">
        <v>14</v>
      </c>
      <c r="H3476">
        <v>0</v>
      </c>
    </row>
    <row r="3477" spans="1:8" x14ac:dyDescent="0.35">
      <c r="A3477">
        <v>18867</v>
      </c>
      <c r="B3477" t="s">
        <v>11</v>
      </c>
      <c r="C3477">
        <v>10</v>
      </c>
      <c r="D3477">
        <v>433</v>
      </c>
      <c r="E3477" t="s">
        <v>15</v>
      </c>
      <c r="F3477" t="s">
        <v>13</v>
      </c>
      <c r="G3477" t="s">
        <v>16</v>
      </c>
      <c r="H3477">
        <v>1</v>
      </c>
    </row>
    <row r="3478" spans="1:8" x14ac:dyDescent="0.35">
      <c r="A3478">
        <v>12343</v>
      </c>
      <c r="B3478" t="s">
        <v>7</v>
      </c>
      <c r="C3478">
        <v>1</v>
      </c>
      <c r="D3478">
        <v>202</v>
      </c>
      <c r="E3478" t="s">
        <v>8</v>
      </c>
      <c r="F3478" t="s">
        <v>9</v>
      </c>
      <c r="G3478" t="s">
        <v>10</v>
      </c>
      <c r="H3478">
        <v>0</v>
      </c>
    </row>
    <row r="3479" spans="1:8" x14ac:dyDescent="0.35">
      <c r="A3479">
        <v>16393</v>
      </c>
      <c r="B3479" t="s">
        <v>11</v>
      </c>
      <c r="C3479">
        <v>4</v>
      </c>
      <c r="D3479">
        <v>59</v>
      </c>
      <c r="E3479" t="s">
        <v>8</v>
      </c>
      <c r="F3479" t="s">
        <v>9</v>
      </c>
      <c r="G3479" t="s">
        <v>10</v>
      </c>
      <c r="H3479">
        <v>0</v>
      </c>
    </row>
    <row r="3480" spans="1:8" x14ac:dyDescent="0.35">
      <c r="A3480">
        <v>13733</v>
      </c>
      <c r="B3480" t="s">
        <v>11</v>
      </c>
      <c r="C3480">
        <v>9</v>
      </c>
      <c r="D3480">
        <v>270</v>
      </c>
      <c r="E3480" t="s">
        <v>8</v>
      </c>
      <c r="F3480" t="s">
        <v>9</v>
      </c>
      <c r="G3480" t="s">
        <v>12</v>
      </c>
      <c r="H3480">
        <v>0</v>
      </c>
    </row>
    <row r="3481" spans="1:8" x14ac:dyDescent="0.35">
      <c r="A3481">
        <v>10361</v>
      </c>
      <c r="B3481" t="s">
        <v>7</v>
      </c>
      <c r="C3481">
        <v>12</v>
      </c>
      <c r="D3481">
        <v>410</v>
      </c>
      <c r="E3481" t="s">
        <v>8</v>
      </c>
      <c r="F3481" t="s">
        <v>9</v>
      </c>
      <c r="G3481" t="s">
        <v>12</v>
      </c>
      <c r="H3481">
        <v>0</v>
      </c>
    </row>
    <row r="3482" spans="1:8" x14ac:dyDescent="0.35">
      <c r="A3482">
        <v>10259</v>
      </c>
      <c r="B3482" t="s">
        <v>11</v>
      </c>
      <c r="C3482">
        <v>10</v>
      </c>
      <c r="D3482">
        <v>268</v>
      </c>
      <c r="E3482" t="s">
        <v>8</v>
      </c>
      <c r="F3482" t="s">
        <v>9</v>
      </c>
      <c r="G3482" t="s">
        <v>14</v>
      </c>
      <c r="H3482">
        <v>0</v>
      </c>
    </row>
    <row r="3483" spans="1:8" x14ac:dyDescent="0.35">
      <c r="A3483">
        <v>11627</v>
      </c>
      <c r="B3483" t="s">
        <v>11</v>
      </c>
      <c r="C3483">
        <v>8</v>
      </c>
      <c r="D3483">
        <v>421</v>
      </c>
      <c r="E3483" t="s">
        <v>8</v>
      </c>
      <c r="F3483" t="s">
        <v>9</v>
      </c>
      <c r="G3483" t="s">
        <v>16</v>
      </c>
      <c r="H3483">
        <v>0</v>
      </c>
    </row>
    <row r="3484" spans="1:8" x14ac:dyDescent="0.35">
      <c r="A3484">
        <v>15780</v>
      </c>
      <c r="B3484" t="s">
        <v>11</v>
      </c>
      <c r="C3484">
        <v>5</v>
      </c>
      <c r="D3484">
        <v>171</v>
      </c>
      <c r="E3484" t="s">
        <v>8</v>
      </c>
      <c r="F3484" t="s">
        <v>9</v>
      </c>
      <c r="G3484" t="s">
        <v>14</v>
      </c>
      <c r="H3484">
        <v>0</v>
      </c>
    </row>
    <row r="3485" spans="1:8" x14ac:dyDescent="0.35">
      <c r="A3485">
        <v>13972</v>
      </c>
      <c r="B3485" t="s">
        <v>11</v>
      </c>
      <c r="C3485">
        <v>8</v>
      </c>
      <c r="D3485">
        <v>177</v>
      </c>
      <c r="E3485" t="s">
        <v>8</v>
      </c>
      <c r="F3485" t="s">
        <v>9</v>
      </c>
      <c r="G3485" t="s">
        <v>12</v>
      </c>
      <c r="H3485">
        <v>0</v>
      </c>
    </row>
    <row r="3486" spans="1:8" x14ac:dyDescent="0.35">
      <c r="A3486">
        <v>18261</v>
      </c>
      <c r="B3486" t="s">
        <v>7</v>
      </c>
      <c r="C3486">
        <v>14</v>
      </c>
      <c r="D3486">
        <v>145</v>
      </c>
      <c r="E3486" t="s">
        <v>8</v>
      </c>
      <c r="F3486" t="s">
        <v>13</v>
      </c>
      <c r="G3486" t="s">
        <v>14</v>
      </c>
      <c r="H3486">
        <v>0</v>
      </c>
    </row>
    <row r="3487" spans="1:8" x14ac:dyDescent="0.35">
      <c r="A3487">
        <v>19207</v>
      </c>
      <c r="B3487" t="s">
        <v>7</v>
      </c>
      <c r="C3487">
        <v>1</v>
      </c>
      <c r="D3487">
        <v>93</v>
      </c>
      <c r="E3487" t="s">
        <v>8</v>
      </c>
      <c r="F3487" t="s">
        <v>13</v>
      </c>
      <c r="G3487" t="s">
        <v>16</v>
      </c>
      <c r="H3487">
        <v>0</v>
      </c>
    </row>
    <row r="3488" spans="1:8" x14ac:dyDescent="0.35">
      <c r="A3488">
        <v>17150</v>
      </c>
      <c r="B3488" t="s">
        <v>11</v>
      </c>
      <c r="C3488">
        <v>7</v>
      </c>
      <c r="D3488">
        <v>52</v>
      </c>
      <c r="E3488" t="s">
        <v>8</v>
      </c>
      <c r="F3488" t="s">
        <v>9</v>
      </c>
      <c r="G3488" t="s">
        <v>16</v>
      </c>
      <c r="H3488">
        <v>0</v>
      </c>
    </row>
    <row r="3489" spans="1:8" x14ac:dyDescent="0.35">
      <c r="A3489">
        <v>19892</v>
      </c>
      <c r="B3489" t="s">
        <v>11</v>
      </c>
      <c r="C3489">
        <v>13</v>
      </c>
      <c r="D3489">
        <v>219</v>
      </c>
      <c r="E3489" t="s">
        <v>8</v>
      </c>
      <c r="F3489" t="s">
        <v>9</v>
      </c>
      <c r="G3489" t="s">
        <v>14</v>
      </c>
      <c r="H3489">
        <v>0</v>
      </c>
    </row>
    <row r="3490" spans="1:8" x14ac:dyDescent="0.35">
      <c r="A3490">
        <v>19925</v>
      </c>
      <c r="B3490" t="s">
        <v>7</v>
      </c>
      <c r="C3490">
        <v>4</v>
      </c>
      <c r="D3490">
        <v>48</v>
      </c>
      <c r="E3490" t="s">
        <v>8</v>
      </c>
      <c r="F3490" t="s">
        <v>9</v>
      </c>
      <c r="G3490" t="s">
        <v>10</v>
      </c>
      <c r="H3490">
        <v>0</v>
      </c>
    </row>
    <row r="3491" spans="1:8" x14ac:dyDescent="0.35">
      <c r="A3491">
        <v>11773</v>
      </c>
      <c r="B3491" t="s">
        <v>11</v>
      </c>
      <c r="C3491">
        <v>10</v>
      </c>
      <c r="D3491">
        <v>336</v>
      </c>
      <c r="E3491" t="s">
        <v>8</v>
      </c>
      <c r="F3491" t="s">
        <v>9</v>
      </c>
      <c r="G3491" t="s">
        <v>10</v>
      </c>
      <c r="H3491">
        <v>0</v>
      </c>
    </row>
    <row r="3492" spans="1:8" x14ac:dyDescent="0.35">
      <c r="A3492">
        <v>16873</v>
      </c>
      <c r="B3492" t="s">
        <v>7</v>
      </c>
      <c r="C3492">
        <v>2</v>
      </c>
      <c r="D3492">
        <v>424</v>
      </c>
      <c r="E3492" t="s">
        <v>8</v>
      </c>
      <c r="F3492" t="s">
        <v>9</v>
      </c>
      <c r="G3492" t="s">
        <v>10</v>
      </c>
      <c r="H3492">
        <v>0</v>
      </c>
    </row>
    <row r="3493" spans="1:8" x14ac:dyDescent="0.35">
      <c r="A3493">
        <v>12698</v>
      </c>
      <c r="B3493" t="s">
        <v>11</v>
      </c>
      <c r="C3493">
        <v>4</v>
      </c>
      <c r="D3493">
        <v>54</v>
      </c>
      <c r="E3493" t="s">
        <v>8</v>
      </c>
      <c r="F3493" t="s">
        <v>9</v>
      </c>
      <c r="G3493" t="s">
        <v>14</v>
      </c>
      <c r="H3493">
        <v>0</v>
      </c>
    </row>
    <row r="3494" spans="1:8" x14ac:dyDescent="0.35">
      <c r="A3494">
        <v>16489</v>
      </c>
      <c r="B3494" t="s">
        <v>7</v>
      </c>
      <c r="C3494">
        <v>3</v>
      </c>
      <c r="D3494">
        <v>199</v>
      </c>
      <c r="E3494" t="s">
        <v>15</v>
      </c>
      <c r="F3494" t="s">
        <v>13</v>
      </c>
      <c r="G3494" t="s">
        <v>10</v>
      </c>
      <c r="H3494">
        <v>1</v>
      </c>
    </row>
    <row r="3495" spans="1:8" x14ac:dyDescent="0.35">
      <c r="A3495">
        <v>13196</v>
      </c>
      <c r="B3495" t="s">
        <v>7</v>
      </c>
      <c r="C3495">
        <v>4</v>
      </c>
      <c r="D3495">
        <v>439</v>
      </c>
      <c r="E3495" t="s">
        <v>8</v>
      </c>
      <c r="F3495" t="s">
        <v>13</v>
      </c>
      <c r="G3495" t="s">
        <v>14</v>
      </c>
      <c r="H3495">
        <v>0</v>
      </c>
    </row>
    <row r="3496" spans="1:8" x14ac:dyDescent="0.35">
      <c r="A3496">
        <v>19851</v>
      </c>
      <c r="B3496" t="s">
        <v>7</v>
      </c>
      <c r="C3496">
        <v>9</v>
      </c>
      <c r="D3496">
        <v>251</v>
      </c>
      <c r="E3496" t="s">
        <v>8</v>
      </c>
      <c r="F3496" t="s">
        <v>9</v>
      </c>
      <c r="G3496" t="s">
        <v>14</v>
      </c>
      <c r="H3496">
        <v>0</v>
      </c>
    </row>
    <row r="3497" spans="1:8" x14ac:dyDescent="0.35">
      <c r="A3497">
        <v>13413</v>
      </c>
      <c r="B3497" t="s">
        <v>11</v>
      </c>
      <c r="C3497">
        <v>7</v>
      </c>
      <c r="D3497">
        <v>408</v>
      </c>
      <c r="E3497" t="s">
        <v>8</v>
      </c>
      <c r="F3497" t="s">
        <v>9</v>
      </c>
      <c r="G3497" t="s">
        <v>10</v>
      </c>
      <c r="H3497">
        <v>0</v>
      </c>
    </row>
    <row r="3498" spans="1:8" x14ac:dyDescent="0.35">
      <c r="A3498">
        <v>18254</v>
      </c>
      <c r="B3498" t="s">
        <v>11</v>
      </c>
      <c r="C3498">
        <v>7</v>
      </c>
      <c r="D3498">
        <v>200</v>
      </c>
      <c r="E3498" t="s">
        <v>8</v>
      </c>
      <c r="F3498" t="s">
        <v>9</v>
      </c>
      <c r="G3498" t="s">
        <v>16</v>
      </c>
      <c r="H3498">
        <v>0</v>
      </c>
    </row>
    <row r="3499" spans="1:8" x14ac:dyDescent="0.35">
      <c r="A3499">
        <v>10572</v>
      </c>
      <c r="B3499" t="s">
        <v>7</v>
      </c>
      <c r="C3499">
        <v>9</v>
      </c>
      <c r="D3499">
        <v>389</v>
      </c>
      <c r="E3499" t="s">
        <v>8</v>
      </c>
      <c r="F3499" t="s">
        <v>9</v>
      </c>
      <c r="G3499" t="s">
        <v>12</v>
      </c>
      <c r="H3499">
        <v>0</v>
      </c>
    </row>
    <row r="3500" spans="1:8" x14ac:dyDescent="0.35">
      <c r="A3500">
        <v>17280</v>
      </c>
      <c r="B3500" t="s">
        <v>11</v>
      </c>
      <c r="C3500">
        <v>14</v>
      </c>
      <c r="D3500">
        <v>406</v>
      </c>
      <c r="E3500" t="s">
        <v>8</v>
      </c>
      <c r="F3500" t="s">
        <v>13</v>
      </c>
      <c r="G3500" t="s">
        <v>16</v>
      </c>
      <c r="H3500">
        <v>0</v>
      </c>
    </row>
    <row r="3501" spans="1:8" x14ac:dyDescent="0.35">
      <c r="A3501">
        <v>11811</v>
      </c>
      <c r="B3501" t="s">
        <v>7</v>
      </c>
      <c r="C3501">
        <v>2</v>
      </c>
      <c r="D3501">
        <v>333</v>
      </c>
      <c r="E3501" t="s">
        <v>8</v>
      </c>
      <c r="F3501" t="s">
        <v>9</v>
      </c>
      <c r="G3501" t="s">
        <v>10</v>
      </c>
      <c r="H3501">
        <v>0</v>
      </c>
    </row>
    <row r="3502" spans="1:8" x14ac:dyDescent="0.35">
      <c r="A3502">
        <v>14479</v>
      </c>
      <c r="B3502" t="s">
        <v>7</v>
      </c>
      <c r="C3502">
        <v>4</v>
      </c>
      <c r="D3502">
        <v>117</v>
      </c>
      <c r="E3502" t="s">
        <v>8</v>
      </c>
      <c r="F3502" t="s">
        <v>9</v>
      </c>
      <c r="G3502" t="s">
        <v>10</v>
      </c>
      <c r="H3502">
        <v>0</v>
      </c>
    </row>
    <row r="3503" spans="1:8" x14ac:dyDescent="0.35">
      <c r="A3503">
        <v>12390</v>
      </c>
      <c r="B3503" t="s">
        <v>11</v>
      </c>
      <c r="C3503">
        <v>7</v>
      </c>
      <c r="D3503">
        <v>274</v>
      </c>
      <c r="E3503" t="s">
        <v>8</v>
      </c>
      <c r="F3503" t="s">
        <v>9</v>
      </c>
      <c r="G3503" t="s">
        <v>14</v>
      </c>
      <c r="H3503">
        <v>0</v>
      </c>
    </row>
    <row r="3504" spans="1:8" x14ac:dyDescent="0.35">
      <c r="A3504">
        <v>15197</v>
      </c>
      <c r="B3504" t="s">
        <v>11</v>
      </c>
      <c r="C3504">
        <v>6</v>
      </c>
      <c r="D3504">
        <v>438</v>
      </c>
      <c r="E3504" t="s">
        <v>8</v>
      </c>
      <c r="F3504" t="s">
        <v>9</v>
      </c>
      <c r="G3504" t="s">
        <v>14</v>
      </c>
      <c r="H3504">
        <v>0</v>
      </c>
    </row>
    <row r="3505" spans="1:8" x14ac:dyDescent="0.35">
      <c r="A3505">
        <v>18314</v>
      </c>
      <c r="B3505" t="s">
        <v>7</v>
      </c>
      <c r="C3505">
        <v>14</v>
      </c>
      <c r="D3505">
        <v>58</v>
      </c>
      <c r="E3505" t="s">
        <v>8</v>
      </c>
      <c r="F3505" t="s">
        <v>13</v>
      </c>
      <c r="G3505" t="s">
        <v>16</v>
      </c>
      <c r="H3505">
        <v>0</v>
      </c>
    </row>
    <row r="3506" spans="1:8" x14ac:dyDescent="0.35">
      <c r="A3506">
        <v>17710</v>
      </c>
      <c r="B3506" t="s">
        <v>7</v>
      </c>
      <c r="C3506">
        <v>3</v>
      </c>
      <c r="D3506">
        <v>224</v>
      </c>
      <c r="E3506" t="s">
        <v>8</v>
      </c>
      <c r="F3506" t="s">
        <v>13</v>
      </c>
      <c r="G3506" t="s">
        <v>14</v>
      </c>
      <c r="H3506">
        <v>0</v>
      </c>
    </row>
    <row r="3507" spans="1:8" x14ac:dyDescent="0.35">
      <c r="A3507">
        <v>19061</v>
      </c>
      <c r="B3507" t="s">
        <v>11</v>
      </c>
      <c r="C3507">
        <v>6</v>
      </c>
      <c r="D3507">
        <v>146</v>
      </c>
      <c r="E3507" t="s">
        <v>8</v>
      </c>
      <c r="F3507" t="s">
        <v>9</v>
      </c>
      <c r="G3507" t="s">
        <v>10</v>
      </c>
      <c r="H3507">
        <v>0</v>
      </c>
    </row>
    <row r="3508" spans="1:8" x14ac:dyDescent="0.35">
      <c r="A3508">
        <v>17762</v>
      </c>
      <c r="B3508" t="s">
        <v>7</v>
      </c>
      <c r="C3508">
        <v>11</v>
      </c>
      <c r="D3508">
        <v>72</v>
      </c>
      <c r="E3508" t="s">
        <v>8</v>
      </c>
      <c r="F3508" t="s">
        <v>9</v>
      </c>
      <c r="G3508" t="s">
        <v>10</v>
      </c>
      <c r="H3508">
        <v>0</v>
      </c>
    </row>
    <row r="3509" spans="1:8" x14ac:dyDescent="0.35">
      <c r="A3509">
        <v>17038</v>
      </c>
      <c r="B3509" t="s">
        <v>7</v>
      </c>
      <c r="C3509">
        <v>1</v>
      </c>
      <c r="D3509">
        <v>365</v>
      </c>
      <c r="E3509" t="s">
        <v>8</v>
      </c>
      <c r="F3509" t="s">
        <v>13</v>
      </c>
      <c r="G3509" t="s">
        <v>12</v>
      </c>
      <c r="H3509">
        <v>0</v>
      </c>
    </row>
    <row r="3510" spans="1:8" x14ac:dyDescent="0.35">
      <c r="A3510">
        <v>17134</v>
      </c>
      <c r="B3510" t="s">
        <v>7</v>
      </c>
      <c r="C3510">
        <v>7</v>
      </c>
      <c r="D3510">
        <v>343</v>
      </c>
      <c r="E3510" t="s">
        <v>8</v>
      </c>
      <c r="F3510" t="s">
        <v>13</v>
      </c>
      <c r="G3510" t="s">
        <v>12</v>
      </c>
      <c r="H3510">
        <v>0</v>
      </c>
    </row>
    <row r="3511" spans="1:8" x14ac:dyDescent="0.35">
      <c r="A3511">
        <v>13926</v>
      </c>
      <c r="B3511" t="s">
        <v>7</v>
      </c>
      <c r="C3511">
        <v>12</v>
      </c>
      <c r="D3511">
        <v>73</v>
      </c>
      <c r="E3511" t="s">
        <v>8</v>
      </c>
      <c r="F3511" t="s">
        <v>9</v>
      </c>
      <c r="G3511" t="s">
        <v>16</v>
      </c>
      <c r="H3511">
        <v>0</v>
      </c>
    </row>
    <row r="3512" spans="1:8" x14ac:dyDescent="0.35">
      <c r="A3512">
        <v>13924</v>
      </c>
      <c r="B3512" t="s">
        <v>7</v>
      </c>
      <c r="C3512">
        <v>1</v>
      </c>
      <c r="D3512">
        <v>229</v>
      </c>
      <c r="E3512" t="s">
        <v>8</v>
      </c>
      <c r="F3512" t="s">
        <v>13</v>
      </c>
      <c r="G3512" t="s">
        <v>10</v>
      </c>
      <c r="H3512">
        <v>0</v>
      </c>
    </row>
    <row r="3513" spans="1:8" x14ac:dyDescent="0.35">
      <c r="A3513">
        <v>14025</v>
      </c>
      <c r="B3513" t="s">
        <v>11</v>
      </c>
      <c r="C3513">
        <v>12</v>
      </c>
      <c r="D3513">
        <v>447</v>
      </c>
      <c r="E3513" t="s">
        <v>8</v>
      </c>
      <c r="F3513" t="s">
        <v>13</v>
      </c>
      <c r="G3513" t="s">
        <v>14</v>
      </c>
      <c r="H3513">
        <v>0</v>
      </c>
    </row>
    <row r="3514" spans="1:8" x14ac:dyDescent="0.35">
      <c r="A3514">
        <v>16411</v>
      </c>
      <c r="B3514" t="s">
        <v>7</v>
      </c>
      <c r="C3514">
        <v>12</v>
      </c>
      <c r="D3514">
        <v>204</v>
      </c>
      <c r="E3514" t="s">
        <v>8</v>
      </c>
      <c r="F3514" t="s">
        <v>13</v>
      </c>
      <c r="G3514" t="s">
        <v>10</v>
      </c>
      <c r="H3514">
        <v>0</v>
      </c>
    </row>
    <row r="3515" spans="1:8" x14ac:dyDescent="0.35">
      <c r="A3515">
        <v>15919</v>
      </c>
      <c r="B3515" t="s">
        <v>7</v>
      </c>
      <c r="C3515">
        <v>12</v>
      </c>
      <c r="D3515">
        <v>91</v>
      </c>
      <c r="E3515" t="s">
        <v>15</v>
      </c>
      <c r="F3515" t="s">
        <v>13</v>
      </c>
      <c r="G3515" t="s">
        <v>12</v>
      </c>
      <c r="H3515">
        <v>1</v>
      </c>
    </row>
    <row r="3516" spans="1:8" x14ac:dyDescent="0.35">
      <c r="A3516">
        <v>10763</v>
      </c>
      <c r="B3516" t="s">
        <v>11</v>
      </c>
      <c r="C3516">
        <v>1</v>
      </c>
      <c r="D3516">
        <v>426</v>
      </c>
      <c r="E3516" t="s">
        <v>8</v>
      </c>
      <c r="F3516" t="s">
        <v>9</v>
      </c>
      <c r="G3516" t="s">
        <v>12</v>
      </c>
      <c r="H3516">
        <v>0</v>
      </c>
    </row>
    <row r="3517" spans="1:8" x14ac:dyDescent="0.35">
      <c r="A3517">
        <v>14063</v>
      </c>
      <c r="B3517" t="s">
        <v>11</v>
      </c>
      <c r="C3517">
        <v>2</v>
      </c>
      <c r="D3517">
        <v>277</v>
      </c>
      <c r="E3517" t="s">
        <v>8</v>
      </c>
      <c r="F3517" t="s">
        <v>13</v>
      </c>
      <c r="G3517" t="s">
        <v>16</v>
      </c>
      <c r="H3517">
        <v>0</v>
      </c>
    </row>
    <row r="3518" spans="1:8" x14ac:dyDescent="0.35">
      <c r="A3518">
        <v>10052</v>
      </c>
      <c r="B3518" t="s">
        <v>11</v>
      </c>
      <c r="C3518">
        <v>10</v>
      </c>
      <c r="D3518">
        <v>447</v>
      </c>
      <c r="E3518" t="s">
        <v>8</v>
      </c>
      <c r="F3518" t="s">
        <v>13</v>
      </c>
      <c r="G3518" t="s">
        <v>14</v>
      </c>
      <c r="H3518">
        <v>0</v>
      </c>
    </row>
    <row r="3519" spans="1:8" x14ac:dyDescent="0.35">
      <c r="A3519">
        <v>16734</v>
      </c>
      <c r="B3519" t="s">
        <v>7</v>
      </c>
      <c r="C3519">
        <v>4</v>
      </c>
      <c r="D3519">
        <v>57</v>
      </c>
      <c r="E3519" t="s">
        <v>8</v>
      </c>
      <c r="F3519" t="s">
        <v>9</v>
      </c>
      <c r="G3519" t="s">
        <v>14</v>
      </c>
      <c r="H3519">
        <v>0</v>
      </c>
    </row>
    <row r="3520" spans="1:8" x14ac:dyDescent="0.35">
      <c r="A3520">
        <v>19564</v>
      </c>
      <c r="B3520" t="s">
        <v>11</v>
      </c>
      <c r="C3520">
        <v>8</v>
      </c>
      <c r="D3520">
        <v>132</v>
      </c>
      <c r="E3520" t="s">
        <v>8</v>
      </c>
      <c r="F3520" t="s">
        <v>9</v>
      </c>
      <c r="G3520" t="s">
        <v>10</v>
      </c>
      <c r="H3520">
        <v>0</v>
      </c>
    </row>
    <row r="3521" spans="1:8" x14ac:dyDescent="0.35">
      <c r="A3521">
        <v>18602</v>
      </c>
      <c r="B3521" t="s">
        <v>11</v>
      </c>
      <c r="C3521">
        <v>3</v>
      </c>
      <c r="D3521">
        <v>117</v>
      </c>
      <c r="E3521" t="s">
        <v>8</v>
      </c>
      <c r="F3521" t="s">
        <v>9</v>
      </c>
      <c r="G3521" t="s">
        <v>12</v>
      </c>
      <c r="H3521">
        <v>0</v>
      </c>
    </row>
    <row r="3522" spans="1:8" x14ac:dyDescent="0.35">
      <c r="A3522">
        <v>14727</v>
      </c>
      <c r="B3522" t="s">
        <v>7</v>
      </c>
      <c r="C3522">
        <v>3</v>
      </c>
      <c r="D3522">
        <v>439</v>
      </c>
      <c r="E3522" t="s">
        <v>15</v>
      </c>
      <c r="F3522" t="s">
        <v>9</v>
      </c>
      <c r="G3522" t="s">
        <v>12</v>
      </c>
      <c r="H3522">
        <v>1</v>
      </c>
    </row>
    <row r="3523" spans="1:8" x14ac:dyDescent="0.35">
      <c r="A3523">
        <v>16485</v>
      </c>
      <c r="B3523" t="s">
        <v>11</v>
      </c>
      <c r="C3523">
        <v>11</v>
      </c>
      <c r="D3523">
        <v>284</v>
      </c>
      <c r="E3523" t="s">
        <v>8</v>
      </c>
      <c r="F3523" t="s">
        <v>9</v>
      </c>
      <c r="G3523" t="s">
        <v>14</v>
      </c>
      <c r="H3523">
        <v>0</v>
      </c>
    </row>
    <row r="3524" spans="1:8" x14ac:dyDescent="0.35">
      <c r="A3524">
        <v>19350</v>
      </c>
      <c r="B3524" t="s">
        <v>7</v>
      </c>
      <c r="C3524">
        <v>7</v>
      </c>
      <c r="D3524">
        <v>442</v>
      </c>
      <c r="E3524" t="s">
        <v>8</v>
      </c>
      <c r="F3524" t="s">
        <v>13</v>
      </c>
      <c r="G3524" t="s">
        <v>14</v>
      </c>
      <c r="H3524">
        <v>0</v>
      </c>
    </row>
    <row r="3525" spans="1:8" x14ac:dyDescent="0.35">
      <c r="A3525">
        <v>19193</v>
      </c>
      <c r="B3525" t="s">
        <v>7</v>
      </c>
      <c r="C3525">
        <v>4</v>
      </c>
      <c r="D3525">
        <v>59</v>
      </c>
      <c r="E3525" t="s">
        <v>8</v>
      </c>
      <c r="F3525" t="s">
        <v>13</v>
      </c>
      <c r="G3525" t="s">
        <v>10</v>
      </c>
      <c r="H3525">
        <v>0</v>
      </c>
    </row>
    <row r="3526" spans="1:8" x14ac:dyDescent="0.35">
      <c r="A3526">
        <v>16365</v>
      </c>
      <c r="B3526" t="s">
        <v>11</v>
      </c>
      <c r="C3526">
        <v>8</v>
      </c>
      <c r="D3526">
        <v>280</v>
      </c>
      <c r="E3526" t="s">
        <v>8</v>
      </c>
      <c r="F3526" t="s">
        <v>9</v>
      </c>
      <c r="G3526" t="s">
        <v>12</v>
      </c>
      <c r="H3526">
        <v>0</v>
      </c>
    </row>
    <row r="3527" spans="1:8" x14ac:dyDescent="0.35">
      <c r="A3527">
        <v>11512</v>
      </c>
      <c r="B3527" t="s">
        <v>7</v>
      </c>
      <c r="C3527">
        <v>8</v>
      </c>
      <c r="D3527">
        <v>169</v>
      </c>
      <c r="E3527" t="s">
        <v>8</v>
      </c>
      <c r="F3527" t="s">
        <v>13</v>
      </c>
      <c r="G3527" t="s">
        <v>10</v>
      </c>
      <c r="H3527">
        <v>0</v>
      </c>
    </row>
    <row r="3528" spans="1:8" x14ac:dyDescent="0.35">
      <c r="A3528">
        <v>16373</v>
      </c>
      <c r="B3528" t="s">
        <v>11</v>
      </c>
      <c r="C3528">
        <v>2</v>
      </c>
      <c r="D3528">
        <v>344</v>
      </c>
      <c r="E3528" t="s">
        <v>15</v>
      </c>
      <c r="F3528" t="s">
        <v>9</v>
      </c>
      <c r="G3528" t="s">
        <v>14</v>
      </c>
      <c r="H3528">
        <v>1</v>
      </c>
    </row>
    <row r="3529" spans="1:8" x14ac:dyDescent="0.35">
      <c r="A3529">
        <v>11770</v>
      </c>
      <c r="B3529" t="s">
        <v>11</v>
      </c>
      <c r="C3529">
        <v>1</v>
      </c>
      <c r="D3529">
        <v>311</v>
      </c>
      <c r="E3529" t="s">
        <v>8</v>
      </c>
      <c r="F3529" t="s">
        <v>13</v>
      </c>
      <c r="G3529" t="s">
        <v>16</v>
      </c>
      <c r="H3529">
        <v>0</v>
      </c>
    </row>
    <row r="3530" spans="1:8" x14ac:dyDescent="0.35">
      <c r="A3530">
        <v>14674</v>
      </c>
      <c r="B3530" t="s">
        <v>7</v>
      </c>
      <c r="C3530">
        <v>12</v>
      </c>
      <c r="D3530">
        <v>213</v>
      </c>
      <c r="E3530" t="s">
        <v>8</v>
      </c>
      <c r="F3530" t="s">
        <v>9</v>
      </c>
      <c r="G3530" t="s">
        <v>12</v>
      </c>
      <c r="H3530">
        <v>0</v>
      </c>
    </row>
    <row r="3531" spans="1:8" x14ac:dyDescent="0.35">
      <c r="A3531">
        <v>18005</v>
      </c>
      <c r="B3531" t="s">
        <v>7</v>
      </c>
      <c r="C3531">
        <v>13</v>
      </c>
      <c r="D3531">
        <v>119</v>
      </c>
      <c r="E3531" t="s">
        <v>8</v>
      </c>
      <c r="F3531" t="s">
        <v>9</v>
      </c>
      <c r="G3531" t="s">
        <v>12</v>
      </c>
      <c r="H3531">
        <v>0</v>
      </c>
    </row>
    <row r="3532" spans="1:8" x14ac:dyDescent="0.35">
      <c r="A3532">
        <v>10025</v>
      </c>
      <c r="B3532" t="s">
        <v>7</v>
      </c>
      <c r="C3532">
        <v>9</v>
      </c>
      <c r="D3532">
        <v>136</v>
      </c>
      <c r="E3532" t="s">
        <v>8</v>
      </c>
      <c r="F3532" t="s">
        <v>9</v>
      </c>
      <c r="G3532" t="s">
        <v>16</v>
      </c>
      <c r="H3532">
        <v>0</v>
      </c>
    </row>
    <row r="3533" spans="1:8" x14ac:dyDescent="0.35">
      <c r="A3533">
        <v>17343</v>
      </c>
      <c r="B3533" t="s">
        <v>11</v>
      </c>
      <c r="C3533">
        <v>7</v>
      </c>
      <c r="D3533">
        <v>442</v>
      </c>
      <c r="E3533" t="s">
        <v>8</v>
      </c>
      <c r="F3533" t="s">
        <v>9</v>
      </c>
      <c r="G3533" t="s">
        <v>14</v>
      </c>
      <c r="H3533">
        <v>0</v>
      </c>
    </row>
    <row r="3534" spans="1:8" x14ac:dyDescent="0.35">
      <c r="A3534">
        <v>10085</v>
      </c>
      <c r="B3534" t="s">
        <v>11</v>
      </c>
      <c r="C3534">
        <v>11</v>
      </c>
      <c r="D3534">
        <v>213</v>
      </c>
      <c r="E3534" t="s">
        <v>8</v>
      </c>
      <c r="F3534" t="s">
        <v>13</v>
      </c>
      <c r="G3534" t="s">
        <v>12</v>
      </c>
      <c r="H3534">
        <v>0</v>
      </c>
    </row>
    <row r="3535" spans="1:8" x14ac:dyDescent="0.35">
      <c r="A3535">
        <v>14546</v>
      </c>
      <c r="B3535" t="s">
        <v>7</v>
      </c>
      <c r="C3535">
        <v>8</v>
      </c>
      <c r="D3535">
        <v>216</v>
      </c>
      <c r="E3535" t="s">
        <v>8</v>
      </c>
      <c r="F3535" t="s">
        <v>13</v>
      </c>
      <c r="G3535" t="s">
        <v>12</v>
      </c>
      <c r="H3535">
        <v>0</v>
      </c>
    </row>
    <row r="3536" spans="1:8" x14ac:dyDescent="0.35">
      <c r="A3536">
        <v>17192</v>
      </c>
      <c r="B3536" t="s">
        <v>11</v>
      </c>
      <c r="C3536">
        <v>6</v>
      </c>
      <c r="D3536">
        <v>371</v>
      </c>
      <c r="E3536" t="s">
        <v>8</v>
      </c>
      <c r="F3536" t="s">
        <v>9</v>
      </c>
      <c r="G3536" t="s">
        <v>14</v>
      </c>
      <c r="H3536">
        <v>0</v>
      </c>
    </row>
    <row r="3537" spans="1:8" x14ac:dyDescent="0.35">
      <c r="A3537">
        <v>12012</v>
      </c>
      <c r="B3537" t="s">
        <v>11</v>
      </c>
      <c r="C3537">
        <v>2</v>
      </c>
      <c r="D3537">
        <v>72</v>
      </c>
      <c r="E3537" t="s">
        <v>8</v>
      </c>
      <c r="F3537" t="s">
        <v>13</v>
      </c>
      <c r="G3537" t="s">
        <v>14</v>
      </c>
      <c r="H3537">
        <v>0</v>
      </c>
    </row>
    <row r="3538" spans="1:8" x14ac:dyDescent="0.35">
      <c r="A3538">
        <v>16413</v>
      </c>
      <c r="B3538" t="s">
        <v>7</v>
      </c>
      <c r="C3538">
        <v>6</v>
      </c>
      <c r="D3538">
        <v>110</v>
      </c>
      <c r="E3538" t="s">
        <v>8</v>
      </c>
      <c r="F3538" t="s">
        <v>13</v>
      </c>
      <c r="G3538" t="s">
        <v>14</v>
      </c>
      <c r="H3538">
        <v>0</v>
      </c>
    </row>
    <row r="3539" spans="1:8" x14ac:dyDescent="0.35">
      <c r="A3539">
        <v>19762</v>
      </c>
      <c r="B3539" t="s">
        <v>7</v>
      </c>
      <c r="C3539">
        <v>6</v>
      </c>
      <c r="D3539">
        <v>125</v>
      </c>
      <c r="E3539" t="s">
        <v>8</v>
      </c>
      <c r="F3539" t="s">
        <v>13</v>
      </c>
      <c r="G3539" t="s">
        <v>16</v>
      </c>
      <c r="H3539">
        <v>0</v>
      </c>
    </row>
    <row r="3540" spans="1:8" x14ac:dyDescent="0.35">
      <c r="A3540">
        <v>13960</v>
      </c>
      <c r="B3540" t="s">
        <v>11</v>
      </c>
      <c r="C3540">
        <v>10</v>
      </c>
      <c r="D3540">
        <v>388</v>
      </c>
      <c r="E3540" t="s">
        <v>8</v>
      </c>
      <c r="F3540" t="s">
        <v>9</v>
      </c>
      <c r="G3540" t="s">
        <v>12</v>
      </c>
      <c r="H3540">
        <v>0</v>
      </c>
    </row>
    <row r="3541" spans="1:8" x14ac:dyDescent="0.35">
      <c r="A3541">
        <v>14604</v>
      </c>
      <c r="B3541" t="s">
        <v>7</v>
      </c>
      <c r="C3541">
        <v>10</v>
      </c>
      <c r="D3541">
        <v>309</v>
      </c>
      <c r="E3541" t="s">
        <v>8</v>
      </c>
      <c r="F3541" t="s">
        <v>13</v>
      </c>
      <c r="G3541" t="s">
        <v>12</v>
      </c>
      <c r="H3541">
        <v>0</v>
      </c>
    </row>
    <row r="3542" spans="1:8" x14ac:dyDescent="0.35">
      <c r="A3542">
        <v>19932</v>
      </c>
      <c r="B3542" t="s">
        <v>11</v>
      </c>
      <c r="C3542">
        <v>13</v>
      </c>
      <c r="D3542">
        <v>41</v>
      </c>
      <c r="E3542" t="s">
        <v>8</v>
      </c>
      <c r="F3542" t="s">
        <v>9</v>
      </c>
      <c r="G3542" t="s">
        <v>16</v>
      </c>
      <c r="H3542">
        <v>0</v>
      </c>
    </row>
    <row r="3543" spans="1:8" x14ac:dyDescent="0.35">
      <c r="A3543">
        <v>10107</v>
      </c>
      <c r="B3543" t="s">
        <v>7</v>
      </c>
      <c r="C3543">
        <v>2</v>
      </c>
      <c r="D3543">
        <v>446</v>
      </c>
      <c r="E3543" t="s">
        <v>8</v>
      </c>
      <c r="F3543" t="s">
        <v>9</v>
      </c>
      <c r="G3543" t="s">
        <v>12</v>
      </c>
      <c r="H3543">
        <v>0</v>
      </c>
    </row>
    <row r="3544" spans="1:8" x14ac:dyDescent="0.35">
      <c r="A3544">
        <v>16576</v>
      </c>
      <c r="B3544" t="s">
        <v>11</v>
      </c>
      <c r="C3544">
        <v>11</v>
      </c>
      <c r="D3544">
        <v>204</v>
      </c>
      <c r="E3544" t="s">
        <v>8</v>
      </c>
      <c r="F3544" t="s">
        <v>13</v>
      </c>
      <c r="G3544" t="s">
        <v>10</v>
      </c>
      <c r="H3544">
        <v>0</v>
      </c>
    </row>
    <row r="3545" spans="1:8" x14ac:dyDescent="0.35">
      <c r="A3545">
        <v>10829</v>
      </c>
      <c r="B3545" t="s">
        <v>7</v>
      </c>
      <c r="C3545">
        <v>1</v>
      </c>
      <c r="D3545">
        <v>155</v>
      </c>
      <c r="E3545" t="s">
        <v>8</v>
      </c>
      <c r="F3545" t="s">
        <v>9</v>
      </c>
      <c r="G3545" t="s">
        <v>10</v>
      </c>
      <c r="H3545">
        <v>0</v>
      </c>
    </row>
    <row r="3546" spans="1:8" x14ac:dyDescent="0.35">
      <c r="A3546">
        <v>13137</v>
      </c>
      <c r="B3546" t="s">
        <v>7</v>
      </c>
      <c r="C3546">
        <v>10</v>
      </c>
      <c r="D3546">
        <v>449</v>
      </c>
      <c r="E3546" t="s">
        <v>15</v>
      </c>
      <c r="F3546" t="s">
        <v>13</v>
      </c>
      <c r="G3546" t="s">
        <v>14</v>
      </c>
      <c r="H3546">
        <v>1</v>
      </c>
    </row>
    <row r="3547" spans="1:8" x14ac:dyDescent="0.35">
      <c r="A3547">
        <v>18438</v>
      </c>
      <c r="B3547" t="s">
        <v>7</v>
      </c>
      <c r="C3547">
        <v>12</v>
      </c>
      <c r="D3547">
        <v>274</v>
      </c>
      <c r="E3547" t="s">
        <v>15</v>
      </c>
      <c r="F3547" t="s">
        <v>13</v>
      </c>
      <c r="G3547" t="s">
        <v>10</v>
      </c>
      <c r="H3547">
        <v>1</v>
      </c>
    </row>
    <row r="3548" spans="1:8" x14ac:dyDescent="0.35">
      <c r="A3548">
        <v>14741</v>
      </c>
      <c r="B3548" t="s">
        <v>11</v>
      </c>
      <c r="C3548">
        <v>1</v>
      </c>
      <c r="D3548">
        <v>111</v>
      </c>
      <c r="E3548" t="s">
        <v>8</v>
      </c>
      <c r="F3548" t="s">
        <v>9</v>
      </c>
      <c r="G3548" t="s">
        <v>14</v>
      </c>
      <c r="H3548">
        <v>0</v>
      </c>
    </row>
    <row r="3549" spans="1:8" x14ac:dyDescent="0.35">
      <c r="A3549">
        <v>15491</v>
      </c>
      <c r="B3549" t="s">
        <v>7</v>
      </c>
      <c r="C3549">
        <v>9</v>
      </c>
      <c r="D3549">
        <v>76</v>
      </c>
      <c r="E3549" t="s">
        <v>8</v>
      </c>
      <c r="F3549" t="s">
        <v>13</v>
      </c>
      <c r="G3549" t="s">
        <v>12</v>
      </c>
      <c r="H3549">
        <v>0</v>
      </c>
    </row>
    <row r="3550" spans="1:8" x14ac:dyDescent="0.35">
      <c r="A3550">
        <v>13873</v>
      </c>
      <c r="B3550" t="s">
        <v>11</v>
      </c>
      <c r="C3550">
        <v>13</v>
      </c>
      <c r="D3550">
        <v>444</v>
      </c>
      <c r="E3550" t="s">
        <v>8</v>
      </c>
      <c r="F3550" t="s">
        <v>9</v>
      </c>
      <c r="G3550" t="s">
        <v>12</v>
      </c>
      <c r="H3550">
        <v>0</v>
      </c>
    </row>
    <row r="3551" spans="1:8" x14ac:dyDescent="0.35">
      <c r="A3551">
        <v>15910</v>
      </c>
      <c r="B3551" t="s">
        <v>7</v>
      </c>
      <c r="C3551">
        <v>7</v>
      </c>
      <c r="D3551">
        <v>174</v>
      </c>
      <c r="E3551" t="s">
        <v>8</v>
      </c>
      <c r="F3551" t="s">
        <v>9</v>
      </c>
      <c r="G3551" t="s">
        <v>14</v>
      </c>
      <c r="H3551">
        <v>0</v>
      </c>
    </row>
    <row r="3552" spans="1:8" x14ac:dyDescent="0.35">
      <c r="A3552">
        <v>14022</v>
      </c>
      <c r="B3552" t="s">
        <v>7</v>
      </c>
      <c r="C3552">
        <v>8</v>
      </c>
      <c r="D3552">
        <v>339</v>
      </c>
      <c r="E3552" t="s">
        <v>8</v>
      </c>
      <c r="F3552" t="s">
        <v>9</v>
      </c>
      <c r="G3552" t="s">
        <v>16</v>
      </c>
      <c r="H3552">
        <v>0</v>
      </c>
    </row>
    <row r="3553" spans="1:8" x14ac:dyDescent="0.35">
      <c r="A3553">
        <v>12064</v>
      </c>
      <c r="B3553" t="s">
        <v>7</v>
      </c>
      <c r="C3553">
        <v>12</v>
      </c>
      <c r="D3553">
        <v>422</v>
      </c>
      <c r="E3553" t="s">
        <v>8</v>
      </c>
      <c r="F3553" t="s">
        <v>9</v>
      </c>
      <c r="G3553" t="s">
        <v>16</v>
      </c>
      <c r="H3553">
        <v>0</v>
      </c>
    </row>
    <row r="3554" spans="1:8" x14ac:dyDescent="0.35">
      <c r="A3554">
        <v>19437</v>
      </c>
      <c r="B3554" t="s">
        <v>11</v>
      </c>
      <c r="C3554">
        <v>3</v>
      </c>
      <c r="D3554">
        <v>358</v>
      </c>
      <c r="E3554" t="s">
        <v>8</v>
      </c>
      <c r="F3554" t="s">
        <v>13</v>
      </c>
      <c r="G3554" t="s">
        <v>10</v>
      </c>
      <c r="H3554">
        <v>0</v>
      </c>
    </row>
    <row r="3555" spans="1:8" x14ac:dyDescent="0.35">
      <c r="A3555">
        <v>15221</v>
      </c>
      <c r="B3555" t="s">
        <v>7</v>
      </c>
      <c r="C3555">
        <v>8</v>
      </c>
      <c r="D3555">
        <v>366</v>
      </c>
      <c r="E3555" t="s">
        <v>8</v>
      </c>
      <c r="F3555" t="s">
        <v>13</v>
      </c>
      <c r="G3555" t="s">
        <v>16</v>
      </c>
      <c r="H3555">
        <v>0</v>
      </c>
    </row>
    <row r="3556" spans="1:8" x14ac:dyDescent="0.35">
      <c r="A3556">
        <v>10144</v>
      </c>
      <c r="B3556" t="s">
        <v>7</v>
      </c>
      <c r="C3556">
        <v>3</v>
      </c>
      <c r="D3556">
        <v>75</v>
      </c>
      <c r="E3556" t="s">
        <v>8</v>
      </c>
      <c r="F3556" t="s">
        <v>13</v>
      </c>
      <c r="G3556" t="s">
        <v>14</v>
      </c>
      <c r="H3556">
        <v>0</v>
      </c>
    </row>
    <row r="3557" spans="1:8" x14ac:dyDescent="0.35">
      <c r="A3557">
        <v>13818</v>
      </c>
      <c r="B3557" t="s">
        <v>11</v>
      </c>
      <c r="C3557">
        <v>5</v>
      </c>
      <c r="D3557">
        <v>417</v>
      </c>
      <c r="E3557" t="s">
        <v>8</v>
      </c>
      <c r="F3557" t="s">
        <v>9</v>
      </c>
      <c r="G3557" t="s">
        <v>14</v>
      </c>
      <c r="H3557">
        <v>0</v>
      </c>
    </row>
    <row r="3558" spans="1:8" x14ac:dyDescent="0.35">
      <c r="A3558">
        <v>16468</v>
      </c>
      <c r="B3558" t="s">
        <v>7</v>
      </c>
      <c r="C3558">
        <v>11</v>
      </c>
      <c r="D3558">
        <v>267</v>
      </c>
      <c r="E3558" t="s">
        <v>15</v>
      </c>
      <c r="F3558" t="s">
        <v>9</v>
      </c>
      <c r="G3558" t="s">
        <v>12</v>
      </c>
      <c r="H3558">
        <v>1</v>
      </c>
    </row>
    <row r="3559" spans="1:8" x14ac:dyDescent="0.35">
      <c r="A3559">
        <v>19044</v>
      </c>
      <c r="B3559" t="s">
        <v>7</v>
      </c>
      <c r="C3559">
        <v>5</v>
      </c>
      <c r="D3559">
        <v>50</v>
      </c>
      <c r="E3559" t="s">
        <v>8</v>
      </c>
      <c r="F3559" t="s">
        <v>9</v>
      </c>
      <c r="G3559" t="s">
        <v>16</v>
      </c>
      <c r="H3559">
        <v>0</v>
      </c>
    </row>
    <row r="3560" spans="1:8" x14ac:dyDescent="0.35">
      <c r="A3560">
        <v>11781</v>
      </c>
      <c r="B3560" t="s">
        <v>11</v>
      </c>
      <c r="C3560">
        <v>2</v>
      </c>
      <c r="D3560">
        <v>238</v>
      </c>
      <c r="E3560" t="s">
        <v>8</v>
      </c>
      <c r="F3560" t="s">
        <v>9</v>
      </c>
      <c r="G3560" t="s">
        <v>16</v>
      </c>
      <c r="H3560">
        <v>0</v>
      </c>
    </row>
    <row r="3561" spans="1:8" x14ac:dyDescent="0.35">
      <c r="A3561">
        <v>18256</v>
      </c>
      <c r="B3561" t="s">
        <v>11</v>
      </c>
      <c r="C3561">
        <v>14</v>
      </c>
      <c r="D3561">
        <v>261</v>
      </c>
      <c r="E3561" t="s">
        <v>8</v>
      </c>
      <c r="F3561" t="s">
        <v>13</v>
      </c>
      <c r="G3561" t="s">
        <v>12</v>
      </c>
      <c r="H3561">
        <v>0</v>
      </c>
    </row>
    <row r="3562" spans="1:8" x14ac:dyDescent="0.35">
      <c r="A3562">
        <v>14810</v>
      </c>
      <c r="B3562" t="s">
        <v>11</v>
      </c>
      <c r="C3562">
        <v>4</v>
      </c>
      <c r="D3562">
        <v>215</v>
      </c>
      <c r="E3562" t="s">
        <v>8</v>
      </c>
      <c r="F3562" t="s">
        <v>9</v>
      </c>
      <c r="G3562" t="s">
        <v>14</v>
      </c>
      <c r="H3562">
        <v>0</v>
      </c>
    </row>
    <row r="3563" spans="1:8" x14ac:dyDescent="0.35">
      <c r="A3563">
        <v>15201</v>
      </c>
      <c r="B3563" t="s">
        <v>11</v>
      </c>
      <c r="C3563">
        <v>7</v>
      </c>
      <c r="D3563">
        <v>168</v>
      </c>
      <c r="E3563" t="s">
        <v>8</v>
      </c>
      <c r="F3563" t="s">
        <v>9</v>
      </c>
      <c r="G3563" t="s">
        <v>10</v>
      </c>
      <c r="H3563">
        <v>0</v>
      </c>
    </row>
    <row r="3564" spans="1:8" x14ac:dyDescent="0.35">
      <c r="A3564">
        <v>18381</v>
      </c>
      <c r="B3564" t="s">
        <v>7</v>
      </c>
      <c r="C3564">
        <v>5</v>
      </c>
      <c r="D3564">
        <v>244</v>
      </c>
      <c r="E3564" t="s">
        <v>8</v>
      </c>
      <c r="F3564" t="s">
        <v>13</v>
      </c>
      <c r="G3564" t="s">
        <v>10</v>
      </c>
      <c r="H3564">
        <v>0</v>
      </c>
    </row>
    <row r="3565" spans="1:8" x14ac:dyDescent="0.35">
      <c r="A3565">
        <v>10992</v>
      </c>
      <c r="B3565" t="s">
        <v>11</v>
      </c>
      <c r="C3565">
        <v>2</v>
      </c>
      <c r="D3565">
        <v>333</v>
      </c>
      <c r="E3565" t="s">
        <v>8</v>
      </c>
      <c r="F3565" t="s">
        <v>13</v>
      </c>
      <c r="G3565" t="s">
        <v>12</v>
      </c>
      <c r="H3565">
        <v>0</v>
      </c>
    </row>
    <row r="3566" spans="1:8" x14ac:dyDescent="0.35">
      <c r="A3566">
        <v>19699</v>
      </c>
      <c r="B3566" t="s">
        <v>7</v>
      </c>
      <c r="C3566">
        <v>7</v>
      </c>
      <c r="D3566">
        <v>369</v>
      </c>
      <c r="E3566" t="s">
        <v>8</v>
      </c>
      <c r="F3566" t="s">
        <v>9</v>
      </c>
      <c r="G3566" t="s">
        <v>16</v>
      </c>
      <c r="H3566">
        <v>0</v>
      </c>
    </row>
    <row r="3567" spans="1:8" x14ac:dyDescent="0.35">
      <c r="A3567">
        <v>14600</v>
      </c>
      <c r="B3567" t="s">
        <v>11</v>
      </c>
      <c r="C3567">
        <v>5</v>
      </c>
      <c r="D3567">
        <v>212</v>
      </c>
      <c r="E3567" t="s">
        <v>8</v>
      </c>
      <c r="F3567" t="s">
        <v>13</v>
      </c>
      <c r="G3567" t="s">
        <v>14</v>
      </c>
      <c r="H3567">
        <v>0</v>
      </c>
    </row>
    <row r="3568" spans="1:8" x14ac:dyDescent="0.35">
      <c r="A3568">
        <v>14908</v>
      </c>
      <c r="B3568" t="s">
        <v>7</v>
      </c>
      <c r="C3568">
        <v>14</v>
      </c>
      <c r="D3568">
        <v>275</v>
      </c>
      <c r="E3568" t="s">
        <v>8</v>
      </c>
      <c r="F3568" t="s">
        <v>9</v>
      </c>
      <c r="G3568" t="s">
        <v>12</v>
      </c>
      <c r="H3568">
        <v>0</v>
      </c>
    </row>
    <row r="3569" spans="1:8" x14ac:dyDescent="0.35">
      <c r="A3569">
        <v>18727</v>
      </c>
      <c r="B3569" t="s">
        <v>11</v>
      </c>
      <c r="C3569">
        <v>14</v>
      </c>
      <c r="D3569">
        <v>218</v>
      </c>
      <c r="E3569" t="s">
        <v>8</v>
      </c>
      <c r="F3569" t="s">
        <v>9</v>
      </c>
      <c r="G3569" t="s">
        <v>12</v>
      </c>
      <c r="H3569">
        <v>0</v>
      </c>
    </row>
    <row r="3570" spans="1:8" x14ac:dyDescent="0.35">
      <c r="A3570">
        <v>11052</v>
      </c>
      <c r="B3570" t="s">
        <v>7</v>
      </c>
      <c r="C3570">
        <v>3</v>
      </c>
      <c r="D3570">
        <v>191</v>
      </c>
      <c r="E3570" t="s">
        <v>8</v>
      </c>
      <c r="F3570" t="s">
        <v>9</v>
      </c>
      <c r="G3570" t="s">
        <v>16</v>
      </c>
      <c r="H3570">
        <v>0</v>
      </c>
    </row>
    <row r="3571" spans="1:8" x14ac:dyDescent="0.35">
      <c r="A3571">
        <v>15674</v>
      </c>
      <c r="B3571" t="s">
        <v>7</v>
      </c>
      <c r="C3571">
        <v>3</v>
      </c>
      <c r="D3571">
        <v>299</v>
      </c>
      <c r="E3571" t="s">
        <v>8</v>
      </c>
      <c r="F3571" t="s">
        <v>13</v>
      </c>
      <c r="G3571" t="s">
        <v>12</v>
      </c>
      <c r="H3571">
        <v>0</v>
      </c>
    </row>
    <row r="3572" spans="1:8" x14ac:dyDescent="0.35">
      <c r="A3572">
        <v>18595</v>
      </c>
      <c r="B3572" t="s">
        <v>7</v>
      </c>
      <c r="C3572">
        <v>13</v>
      </c>
      <c r="D3572">
        <v>413</v>
      </c>
      <c r="E3572" t="s">
        <v>8</v>
      </c>
      <c r="F3572" t="s">
        <v>9</v>
      </c>
      <c r="G3572" t="s">
        <v>10</v>
      </c>
      <c r="H3572">
        <v>0</v>
      </c>
    </row>
    <row r="3573" spans="1:8" x14ac:dyDescent="0.35">
      <c r="A3573">
        <v>18967</v>
      </c>
      <c r="B3573" t="s">
        <v>7</v>
      </c>
      <c r="C3573">
        <v>6</v>
      </c>
      <c r="D3573">
        <v>344</v>
      </c>
      <c r="E3573" t="s">
        <v>8</v>
      </c>
      <c r="F3573" t="s">
        <v>13</v>
      </c>
      <c r="G3573" t="s">
        <v>12</v>
      </c>
      <c r="H3573">
        <v>0</v>
      </c>
    </row>
    <row r="3574" spans="1:8" x14ac:dyDescent="0.35">
      <c r="A3574">
        <v>15532</v>
      </c>
      <c r="B3574" t="s">
        <v>7</v>
      </c>
      <c r="C3574">
        <v>4</v>
      </c>
      <c r="D3574">
        <v>239</v>
      </c>
      <c r="E3574" t="s">
        <v>8</v>
      </c>
      <c r="F3574" t="s">
        <v>13</v>
      </c>
      <c r="G3574" t="s">
        <v>14</v>
      </c>
      <c r="H3574">
        <v>0</v>
      </c>
    </row>
    <row r="3575" spans="1:8" x14ac:dyDescent="0.35">
      <c r="A3575">
        <v>18789</v>
      </c>
      <c r="B3575" t="s">
        <v>11</v>
      </c>
      <c r="C3575">
        <v>10</v>
      </c>
      <c r="D3575">
        <v>427</v>
      </c>
      <c r="E3575" t="s">
        <v>8</v>
      </c>
      <c r="F3575" t="s">
        <v>9</v>
      </c>
      <c r="G3575" t="s">
        <v>14</v>
      </c>
      <c r="H3575">
        <v>0</v>
      </c>
    </row>
    <row r="3576" spans="1:8" x14ac:dyDescent="0.35">
      <c r="A3576">
        <v>19047</v>
      </c>
      <c r="B3576" t="s">
        <v>11</v>
      </c>
      <c r="C3576">
        <v>9</v>
      </c>
      <c r="D3576">
        <v>319</v>
      </c>
      <c r="E3576" t="s">
        <v>8</v>
      </c>
      <c r="F3576" t="s">
        <v>13</v>
      </c>
      <c r="G3576" t="s">
        <v>10</v>
      </c>
      <c r="H3576">
        <v>0</v>
      </c>
    </row>
    <row r="3577" spans="1:8" x14ac:dyDescent="0.35">
      <c r="A3577">
        <v>13460</v>
      </c>
      <c r="B3577" t="s">
        <v>11</v>
      </c>
      <c r="C3577">
        <v>3</v>
      </c>
      <c r="D3577">
        <v>148</v>
      </c>
      <c r="E3577" t="s">
        <v>8</v>
      </c>
      <c r="F3577" t="s">
        <v>13</v>
      </c>
      <c r="G3577" t="s">
        <v>14</v>
      </c>
      <c r="H3577">
        <v>0</v>
      </c>
    </row>
    <row r="3578" spans="1:8" x14ac:dyDescent="0.35">
      <c r="A3578">
        <v>17329</v>
      </c>
      <c r="B3578" t="s">
        <v>11</v>
      </c>
      <c r="C3578">
        <v>11</v>
      </c>
      <c r="D3578">
        <v>180</v>
      </c>
      <c r="E3578" t="s">
        <v>8</v>
      </c>
      <c r="F3578" t="s">
        <v>9</v>
      </c>
      <c r="G3578" t="s">
        <v>10</v>
      </c>
      <c r="H3578">
        <v>0</v>
      </c>
    </row>
    <row r="3579" spans="1:8" x14ac:dyDescent="0.35">
      <c r="A3579">
        <v>11062</v>
      </c>
      <c r="B3579" t="s">
        <v>7</v>
      </c>
      <c r="C3579">
        <v>14</v>
      </c>
      <c r="D3579">
        <v>104</v>
      </c>
      <c r="E3579" t="s">
        <v>8</v>
      </c>
      <c r="F3579" t="s">
        <v>9</v>
      </c>
      <c r="G3579" t="s">
        <v>12</v>
      </c>
      <c r="H3579">
        <v>0</v>
      </c>
    </row>
    <row r="3580" spans="1:8" x14ac:dyDescent="0.35">
      <c r="A3580">
        <v>15192</v>
      </c>
      <c r="B3580" t="s">
        <v>11</v>
      </c>
      <c r="C3580">
        <v>13</v>
      </c>
      <c r="D3580">
        <v>385</v>
      </c>
      <c r="E3580" t="s">
        <v>8</v>
      </c>
      <c r="F3580" t="s">
        <v>9</v>
      </c>
      <c r="G3580" t="s">
        <v>14</v>
      </c>
      <c r="H3580">
        <v>0</v>
      </c>
    </row>
    <row r="3581" spans="1:8" x14ac:dyDescent="0.35">
      <c r="A3581">
        <v>18152</v>
      </c>
      <c r="B3581" t="s">
        <v>11</v>
      </c>
      <c r="C3581">
        <v>3</v>
      </c>
      <c r="D3581">
        <v>47</v>
      </c>
      <c r="E3581" t="s">
        <v>8</v>
      </c>
      <c r="F3581" t="s">
        <v>9</v>
      </c>
      <c r="G3581" t="s">
        <v>14</v>
      </c>
      <c r="H3581">
        <v>0</v>
      </c>
    </row>
    <row r="3582" spans="1:8" x14ac:dyDescent="0.35">
      <c r="A3582">
        <v>12276</v>
      </c>
      <c r="B3582" t="s">
        <v>7</v>
      </c>
      <c r="C3582">
        <v>8</v>
      </c>
      <c r="D3582">
        <v>177</v>
      </c>
      <c r="E3582" t="s">
        <v>8</v>
      </c>
      <c r="F3582" t="s">
        <v>9</v>
      </c>
      <c r="G3582" t="s">
        <v>12</v>
      </c>
      <c r="H3582">
        <v>0</v>
      </c>
    </row>
    <row r="3583" spans="1:8" x14ac:dyDescent="0.35">
      <c r="A3583">
        <v>17360</v>
      </c>
      <c r="B3583" t="s">
        <v>11</v>
      </c>
      <c r="C3583">
        <v>13</v>
      </c>
      <c r="D3583">
        <v>285</v>
      </c>
      <c r="E3583" t="s">
        <v>8</v>
      </c>
      <c r="F3583" t="s">
        <v>13</v>
      </c>
      <c r="G3583" t="s">
        <v>12</v>
      </c>
      <c r="H3583">
        <v>0</v>
      </c>
    </row>
    <row r="3584" spans="1:8" x14ac:dyDescent="0.35">
      <c r="A3584">
        <v>12826</v>
      </c>
      <c r="B3584" t="s">
        <v>7</v>
      </c>
      <c r="C3584">
        <v>12</v>
      </c>
      <c r="D3584">
        <v>233</v>
      </c>
      <c r="E3584" t="s">
        <v>8</v>
      </c>
      <c r="F3584" t="s">
        <v>13</v>
      </c>
      <c r="G3584" t="s">
        <v>10</v>
      </c>
      <c r="H3584">
        <v>0</v>
      </c>
    </row>
    <row r="3585" spans="1:8" x14ac:dyDescent="0.35">
      <c r="A3585">
        <v>16716</v>
      </c>
      <c r="B3585" t="s">
        <v>7</v>
      </c>
      <c r="C3585">
        <v>9</v>
      </c>
      <c r="D3585">
        <v>45</v>
      </c>
      <c r="E3585" t="s">
        <v>15</v>
      </c>
      <c r="F3585" t="s">
        <v>9</v>
      </c>
      <c r="G3585" t="s">
        <v>14</v>
      </c>
      <c r="H3585">
        <v>1</v>
      </c>
    </row>
    <row r="3586" spans="1:8" x14ac:dyDescent="0.35">
      <c r="A3586">
        <v>19481</v>
      </c>
      <c r="B3586" t="s">
        <v>7</v>
      </c>
      <c r="C3586">
        <v>7</v>
      </c>
      <c r="D3586">
        <v>394</v>
      </c>
      <c r="E3586" t="s">
        <v>8</v>
      </c>
      <c r="F3586" t="s">
        <v>13</v>
      </c>
      <c r="G3586" t="s">
        <v>10</v>
      </c>
      <c r="H3586">
        <v>0</v>
      </c>
    </row>
    <row r="3587" spans="1:8" x14ac:dyDescent="0.35">
      <c r="A3587">
        <v>13151</v>
      </c>
      <c r="B3587" t="s">
        <v>7</v>
      </c>
      <c r="C3587">
        <v>3</v>
      </c>
      <c r="D3587">
        <v>109</v>
      </c>
      <c r="E3587" t="s">
        <v>8</v>
      </c>
      <c r="F3587" t="s">
        <v>9</v>
      </c>
      <c r="G3587" t="s">
        <v>14</v>
      </c>
      <c r="H3587">
        <v>0</v>
      </c>
    </row>
    <row r="3588" spans="1:8" x14ac:dyDescent="0.35">
      <c r="A3588">
        <v>13104</v>
      </c>
      <c r="B3588" t="s">
        <v>7</v>
      </c>
      <c r="C3588">
        <v>3</v>
      </c>
      <c r="D3588">
        <v>342</v>
      </c>
      <c r="E3588" t="s">
        <v>8</v>
      </c>
      <c r="F3588" t="s">
        <v>13</v>
      </c>
      <c r="G3588" t="s">
        <v>10</v>
      </c>
      <c r="H3588">
        <v>0</v>
      </c>
    </row>
    <row r="3589" spans="1:8" x14ac:dyDescent="0.35">
      <c r="A3589">
        <v>10964</v>
      </c>
      <c r="B3589" t="s">
        <v>7</v>
      </c>
      <c r="C3589">
        <v>4</v>
      </c>
      <c r="D3589">
        <v>446</v>
      </c>
      <c r="E3589" t="s">
        <v>8</v>
      </c>
      <c r="F3589" t="s">
        <v>9</v>
      </c>
      <c r="G3589" t="s">
        <v>16</v>
      </c>
      <c r="H3589">
        <v>0</v>
      </c>
    </row>
    <row r="3590" spans="1:8" x14ac:dyDescent="0.35">
      <c r="A3590">
        <v>18147</v>
      </c>
      <c r="B3590" t="s">
        <v>7</v>
      </c>
      <c r="C3590">
        <v>14</v>
      </c>
      <c r="D3590">
        <v>87</v>
      </c>
      <c r="E3590" t="s">
        <v>8</v>
      </c>
      <c r="F3590" t="s">
        <v>13</v>
      </c>
      <c r="G3590" t="s">
        <v>16</v>
      </c>
      <c r="H3590">
        <v>0</v>
      </c>
    </row>
    <row r="3591" spans="1:8" x14ac:dyDescent="0.35">
      <c r="A3591">
        <v>17096</v>
      </c>
      <c r="B3591" t="s">
        <v>11</v>
      </c>
      <c r="C3591">
        <v>12</v>
      </c>
      <c r="D3591">
        <v>219</v>
      </c>
      <c r="E3591" t="s">
        <v>8</v>
      </c>
      <c r="F3591" t="s">
        <v>13</v>
      </c>
      <c r="G3591" t="s">
        <v>14</v>
      </c>
      <c r="H3591">
        <v>0</v>
      </c>
    </row>
    <row r="3592" spans="1:8" x14ac:dyDescent="0.35">
      <c r="A3592">
        <v>16755</v>
      </c>
      <c r="B3592" t="s">
        <v>11</v>
      </c>
      <c r="C3592">
        <v>7</v>
      </c>
      <c r="D3592">
        <v>84</v>
      </c>
      <c r="E3592" t="s">
        <v>8</v>
      </c>
      <c r="F3592" t="s">
        <v>9</v>
      </c>
      <c r="G3592" t="s">
        <v>10</v>
      </c>
      <c r="H3592">
        <v>0</v>
      </c>
    </row>
    <row r="3593" spans="1:8" x14ac:dyDescent="0.35">
      <c r="A3593">
        <v>16271</v>
      </c>
      <c r="B3593" t="s">
        <v>7</v>
      </c>
      <c r="C3593">
        <v>14</v>
      </c>
      <c r="D3593">
        <v>427</v>
      </c>
      <c r="E3593" t="s">
        <v>8</v>
      </c>
      <c r="F3593" t="s">
        <v>13</v>
      </c>
      <c r="G3593" t="s">
        <v>10</v>
      </c>
      <c r="H3593">
        <v>0</v>
      </c>
    </row>
    <row r="3594" spans="1:8" x14ac:dyDescent="0.35">
      <c r="A3594">
        <v>11129</v>
      </c>
      <c r="B3594" t="s">
        <v>7</v>
      </c>
      <c r="C3594">
        <v>14</v>
      </c>
      <c r="D3594">
        <v>308</v>
      </c>
      <c r="E3594" t="s">
        <v>8</v>
      </c>
      <c r="F3594" t="s">
        <v>13</v>
      </c>
      <c r="G3594" t="s">
        <v>10</v>
      </c>
      <c r="H3594">
        <v>0</v>
      </c>
    </row>
    <row r="3595" spans="1:8" x14ac:dyDescent="0.35">
      <c r="A3595">
        <v>13132</v>
      </c>
      <c r="B3595" t="s">
        <v>7</v>
      </c>
      <c r="C3595">
        <v>5</v>
      </c>
      <c r="D3595">
        <v>120</v>
      </c>
      <c r="E3595" t="s">
        <v>8</v>
      </c>
      <c r="F3595" t="s">
        <v>13</v>
      </c>
      <c r="G3595" t="s">
        <v>12</v>
      </c>
      <c r="H3595">
        <v>0</v>
      </c>
    </row>
    <row r="3596" spans="1:8" x14ac:dyDescent="0.35">
      <c r="A3596">
        <v>10276</v>
      </c>
      <c r="B3596" t="s">
        <v>7</v>
      </c>
      <c r="C3596">
        <v>12</v>
      </c>
      <c r="D3596">
        <v>339</v>
      </c>
      <c r="E3596" t="s">
        <v>8</v>
      </c>
      <c r="F3596" t="s">
        <v>13</v>
      </c>
      <c r="G3596" t="s">
        <v>10</v>
      </c>
      <c r="H3596">
        <v>0</v>
      </c>
    </row>
    <row r="3597" spans="1:8" x14ac:dyDescent="0.35">
      <c r="A3597">
        <v>15982</v>
      </c>
      <c r="B3597" t="s">
        <v>7</v>
      </c>
      <c r="C3597">
        <v>14</v>
      </c>
      <c r="D3597">
        <v>241</v>
      </c>
      <c r="E3597" t="s">
        <v>8</v>
      </c>
      <c r="F3597" t="s">
        <v>9</v>
      </c>
      <c r="G3597" t="s">
        <v>14</v>
      </c>
      <c r="H3597">
        <v>0</v>
      </c>
    </row>
    <row r="3598" spans="1:8" x14ac:dyDescent="0.35">
      <c r="A3598">
        <v>17646</v>
      </c>
      <c r="B3598" t="s">
        <v>11</v>
      </c>
      <c r="C3598">
        <v>7</v>
      </c>
      <c r="D3598">
        <v>40</v>
      </c>
      <c r="E3598" t="s">
        <v>8</v>
      </c>
      <c r="F3598" t="s">
        <v>13</v>
      </c>
      <c r="G3598" t="s">
        <v>10</v>
      </c>
      <c r="H3598">
        <v>0</v>
      </c>
    </row>
    <row r="3599" spans="1:8" x14ac:dyDescent="0.35">
      <c r="A3599">
        <v>11429</v>
      </c>
      <c r="B3599" t="s">
        <v>11</v>
      </c>
      <c r="C3599">
        <v>3</v>
      </c>
      <c r="D3599">
        <v>51</v>
      </c>
      <c r="E3599" t="s">
        <v>8</v>
      </c>
      <c r="F3599" t="s">
        <v>9</v>
      </c>
      <c r="G3599" t="s">
        <v>14</v>
      </c>
      <c r="H3599">
        <v>0</v>
      </c>
    </row>
    <row r="3600" spans="1:8" x14ac:dyDescent="0.35">
      <c r="A3600">
        <v>13305</v>
      </c>
      <c r="B3600" t="s">
        <v>11</v>
      </c>
      <c r="C3600">
        <v>4</v>
      </c>
      <c r="D3600">
        <v>175</v>
      </c>
      <c r="E3600" t="s">
        <v>8</v>
      </c>
      <c r="F3600" t="s">
        <v>9</v>
      </c>
      <c r="G3600" t="s">
        <v>14</v>
      </c>
      <c r="H3600">
        <v>0</v>
      </c>
    </row>
    <row r="3601" spans="1:8" x14ac:dyDescent="0.35">
      <c r="A3601">
        <v>14860</v>
      </c>
      <c r="B3601" t="s">
        <v>11</v>
      </c>
      <c r="C3601">
        <v>12</v>
      </c>
      <c r="D3601">
        <v>319</v>
      </c>
      <c r="E3601" t="s">
        <v>8</v>
      </c>
      <c r="F3601" t="s">
        <v>13</v>
      </c>
      <c r="G3601" t="s">
        <v>12</v>
      </c>
      <c r="H3601">
        <v>0</v>
      </c>
    </row>
    <row r="3602" spans="1:8" x14ac:dyDescent="0.35">
      <c r="A3602">
        <v>11790</v>
      </c>
      <c r="B3602" t="s">
        <v>7</v>
      </c>
      <c r="C3602">
        <v>8</v>
      </c>
      <c r="D3602">
        <v>432</v>
      </c>
      <c r="E3602" t="s">
        <v>8</v>
      </c>
      <c r="F3602" t="s">
        <v>9</v>
      </c>
      <c r="G3602" t="s">
        <v>14</v>
      </c>
      <c r="H3602">
        <v>0</v>
      </c>
    </row>
    <row r="3603" spans="1:8" x14ac:dyDescent="0.35">
      <c r="A3603">
        <v>10954</v>
      </c>
      <c r="B3603" t="s">
        <v>11</v>
      </c>
      <c r="C3603">
        <v>9</v>
      </c>
      <c r="D3603">
        <v>349</v>
      </c>
      <c r="E3603" t="s">
        <v>8</v>
      </c>
      <c r="F3603" t="s">
        <v>9</v>
      </c>
      <c r="G3603" t="s">
        <v>10</v>
      </c>
      <c r="H3603">
        <v>0</v>
      </c>
    </row>
    <row r="3604" spans="1:8" x14ac:dyDescent="0.35">
      <c r="A3604">
        <v>14052</v>
      </c>
      <c r="B3604" t="s">
        <v>11</v>
      </c>
      <c r="C3604">
        <v>3</v>
      </c>
      <c r="D3604">
        <v>345</v>
      </c>
      <c r="E3604" t="s">
        <v>8</v>
      </c>
      <c r="F3604" t="s">
        <v>9</v>
      </c>
      <c r="G3604" t="s">
        <v>16</v>
      </c>
      <c r="H3604">
        <v>0</v>
      </c>
    </row>
    <row r="3605" spans="1:8" x14ac:dyDescent="0.35">
      <c r="A3605">
        <v>12439</v>
      </c>
      <c r="B3605" t="s">
        <v>11</v>
      </c>
      <c r="C3605">
        <v>10</v>
      </c>
      <c r="D3605">
        <v>277</v>
      </c>
      <c r="E3605" t="s">
        <v>8</v>
      </c>
      <c r="F3605" t="s">
        <v>9</v>
      </c>
      <c r="G3605" t="s">
        <v>10</v>
      </c>
      <c r="H3605">
        <v>0</v>
      </c>
    </row>
    <row r="3606" spans="1:8" x14ac:dyDescent="0.35">
      <c r="A3606">
        <v>11069</v>
      </c>
      <c r="B3606" t="s">
        <v>11</v>
      </c>
      <c r="C3606">
        <v>3</v>
      </c>
      <c r="D3606">
        <v>394</v>
      </c>
      <c r="E3606" t="s">
        <v>8</v>
      </c>
      <c r="F3606" t="s">
        <v>9</v>
      </c>
      <c r="G3606" t="s">
        <v>14</v>
      </c>
      <c r="H3606">
        <v>0</v>
      </c>
    </row>
    <row r="3607" spans="1:8" x14ac:dyDescent="0.35">
      <c r="A3607">
        <v>19818</v>
      </c>
      <c r="B3607" t="s">
        <v>11</v>
      </c>
      <c r="C3607">
        <v>7</v>
      </c>
      <c r="D3607">
        <v>437</v>
      </c>
      <c r="E3607" t="s">
        <v>8</v>
      </c>
      <c r="F3607" t="s">
        <v>13</v>
      </c>
      <c r="G3607" t="s">
        <v>14</v>
      </c>
      <c r="H3607">
        <v>0</v>
      </c>
    </row>
    <row r="3608" spans="1:8" x14ac:dyDescent="0.35">
      <c r="A3608">
        <v>18878</v>
      </c>
      <c r="B3608" t="s">
        <v>11</v>
      </c>
      <c r="C3608">
        <v>11</v>
      </c>
      <c r="D3608">
        <v>423</v>
      </c>
      <c r="E3608" t="s">
        <v>8</v>
      </c>
      <c r="F3608" t="s">
        <v>13</v>
      </c>
      <c r="G3608" t="s">
        <v>10</v>
      </c>
      <c r="H3608">
        <v>0</v>
      </c>
    </row>
    <row r="3609" spans="1:8" x14ac:dyDescent="0.35">
      <c r="A3609">
        <v>14667</v>
      </c>
      <c r="B3609" t="s">
        <v>7</v>
      </c>
      <c r="C3609">
        <v>12</v>
      </c>
      <c r="D3609">
        <v>404</v>
      </c>
      <c r="E3609" t="s">
        <v>8</v>
      </c>
      <c r="F3609" t="s">
        <v>9</v>
      </c>
      <c r="G3609" t="s">
        <v>16</v>
      </c>
      <c r="H3609">
        <v>0</v>
      </c>
    </row>
    <row r="3610" spans="1:8" x14ac:dyDescent="0.35">
      <c r="A3610">
        <v>18651</v>
      </c>
      <c r="B3610" t="s">
        <v>7</v>
      </c>
      <c r="C3610">
        <v>10</v>
      </c>
      <c r="D3610">
        <v>175</v>
      </c>
      <c r="E3610" t="s">
        <v>15</v>
      </c>
      <c r="F3610" t="s">
        <v>13</v>
      </c>
      <c r="G3610" t="s">
        <v>10</v>
      </c>
      <c r="H3610">
        <v>1</v>
      </c>
    </row>
    <row r="3611" spans="1:8" x14ac:dyDescent="0.35">
      <c r="A3611">
        <v>14650</v>
      </c>
      <c r="B3611" t="s">
        <v>11</v>
      </c>
      <c r="C3611">
        <v>7</v>
      </c>
      <c r="D3611">
        <v>240</v>
      </c>
      <c r="E3611" t="s">
        <v>8</v>
      </c>
      <c r="F3611" t="s">
        <v>9</v>
      </c>
      <c r="G3611" t="s">
        <v>12</v>
      </c>
      <c r="H3611">
        <v>0</v>
      </c>
    </row>
    <row r="3612" spans="1:8" x14ac:dyDescent="0.35">
      <c r="A3612">
        <v>18120</v>
      </c>
      <c r="B3612" t="s">
        <v>11</v>
      </c>
      <c r="C3612">
        <v>8</v>
      </c>
      <c r="D3612">
        <v>438</v>
      </c>
      <c r="E3612" t="s">
        <v>8</v>
      </c>
      <c r="F3612" t="s">
        <v>13</v>
      </c>
      <c r="G3612" t="s">
        <v>14</v>
      </c>
      <c r="H3612">
        <v>0</v>
      </c>
    </row>
    <row r="3613" spans="1:8" x14ac:dyDescent="0.35">
      <c r="A3613">
        <v>16403</v>
      </c>
      <c r="B3613" t="s">
        <v>11</v>
      </c>
      <c r="C3613">
        <v>2</v>
      </c>
      <c r="D3613">
        <v>269</v>
      </c>
      <c r="E3613" t="s">
        <v>8</v>
      </c>
      <c r="F3613" t="s">
        <v>13</v>
      </c>
      <c r="G3613" t="s">
        <v>16</v>
      </c>
      <c r="H3613">
        <v>0</v>
      </c>
    </row>
    <row r="3614" spans="1:8" x14ac:dyDescent="0.35">
      <c r="A3614">
        <v>13150</v>
      </c>
      <c r="B3614" t="s">
        <v>11</v>
      </c>
      <c r="C3614">
        <v>3</v>
      </c>
      <c r="D3614">
        <v>90</v>
      </c>
      <c r="E3614" t="s">
        <v>8</v>
      </c>
      <c r="F3614" t="s">
        <v>9</v>
      </c>
      <c r="G3614" t="s">
        <v>16</v>
      </c>
      <c r="H3614">
        <v>0</v>
      </c>
    </row>
    <row r="3615" spans="1:8" x14ac:dyDescent="0.35">
      <c r="A3615">
        <v>15383</v>
      </c>
      <c r="B3615" t="s">
        <v>7</v>
      </c>
      <c r="C3615">
        <v>7</v>
      </c>
      <c r="D3615">
        <v>268</v>
      </c>
      <c r="E3615" t="s">
        <v>15</v>
      </c>
      <c r="F3615" t="s">
        <v>13</v>
      </c>
      <c r="G3615" t="s">
        <v>12</v>
      </c>
      <c r="H3615">
        <v>1</v>
      </c>
    </row>
    <row r="3616" spans="1:8" x14ac:dyDescent="0.35">
      <c r="A3616">
        <v>19769</v>
      </c>
      <c r="B3616" t="s">
        <v>7</v>
      </c>
      <c r="C3616">
        <v>2</v>
      </c>
      <c r="D3616">
        <v>384</v>
      </c>
      <c r="E3616" t="s">
        <v>8</v>
      </c>
      <c r="F3616" t="s">
        <v>9</v>
      </c>
      <c r="G3616" t="s">
        <v>14</v>
      </c>
      <c r="H3616">
        <v>0</v>
      </c>
    </row>
    <row r="3617" spans="1:8" x14ac:dyDescent="0.35">
      <c r="A3617">
        <v>17153</v>
      </c>
      <c r="B3617" t="s">
        <v>7</v>
      </c>
      <c r="C3617">
        <v>10</v>
      </c>
      <c r="D3617">
        <v>99</v>
      </c>
      <c r="E3617" t="s">
        <v>8</v>
      </c>
      <c r="F3617" t="s">
        <v>9</v>
      </c>
      <c r="G3617" t="s">
        <v>10</v>
      </c>
      <c r="H3617">
        <v>0</v>
      </c>
    </row>
    <row r="3618" spans="1:8" x14ac:dyDescent="0.35">
      <c r="A3618">
        <v>19115</v>
      </c>
      <c r="B3618" t="s">
        <v>7</v>
      </c>
      <c r="C3618">
        <v>2</v>
      </c>
      <c r="D3618">
        <v>186</v>
      </c>
      <c r="E3618" t="s">
        <v>8</v>
      </c>
      <c r="F3618" t="s">
        <v>13</v>
      </c>
      <c r="G3618" t="s">
        <v>16</v>
      </c>
      <c r="H3618">
        <v>0</v>
      </c>
    </row>
    <row r="3619" spans="1:8" x14ac:dyDescent="0.35">
      <c r="A3619">
        <v>10183</v>
      </c>
      <c r="B3619" t="s">
        <v>11</v>
      </c>
      <c r="C3619">
        <v>10</v>
      </c>
      <c r="D3619">
        <v>329</v>
      </c>
      <c r="E3619" t="s">
        <v>8</v>
      </c>
      <c r="F3619" t="s">
        <v>9</v>
      </c>
      <c r="G3619" t="s">
        <v>16</v>
      </c>
      <c r="H3619">
        <v>0</v>
      </c>
    </row>
    <row r="3620" spans="1:8" x14ac:dyDescent="0.35">
      <c r="A3620">
        <v>11721</v>
      </c>
      <c r="B3620" t="s">
        <v>11</v>
      </c>
      <c r="C3620">
        <v>10</v>
      </c>
      <c r="D3620">
        <v>236</v>
      </c>
      <c r="E3620" t="s">
        <v>8</v>
      </c>
      <c r="F3620" t="s">
        <v>13</v>
      </c>
      <c r="G3620" t="s">
        <v>12</v>
      </c>
      <c r="H3620">
        <v>0</v>
      </c>
    </row>
    <row r="3621" spans="1:8" x14ac:dyDescent="0.35">
      <c r="A3621">
        <v>17135</v>
      </c>
      <c r="B3621" t="s">
        <v>11</v>
      </c>
      <c r="C3621">
        <v>3</v>
      </c>
      <c r="D3621">
        <v>310</v>
      </c>
      <c r="E3621" t="s">
        <v>8</v>
      </c>
      <c r="F3621" t="s">
        <v>9</v>
      </c>
      <c r="G3621" t="s">
        <v>16</v>
      </c>
      <c r="H3621">
        <v>0</v>
      </c>
    </row>
    <row r="3622" spans="1:8" x14ac:dyDescent="0.35">
      <c r="A3622">
        <v>13796</v>
      </c>
      <c r="B3622" t="s">
        <v>11</v>
      </c>
      <c r="C3622">
        <v>9</v>
      </c>
      <c r="D3622">
        <v>223</v>
      </c>
      <c r="E3622" t="s">
        <v>8</v>
      </c>
      <c r="F3622" t="s">
        <v>9</v>
      </c>
      <c r="G3622" t="s">
        <v>16</v>
      </c>
      <c r="H3622">
        <v>0</v>
      </c>
    </row>
    <row r="3623" spans="1:8" x14ac:dyDescent="0.35">
      <c r="A3623">
        <v>12287</v>
      </c>
      <c r="B3623" t="s">
        <v>11</v>
      </c>
      <c r="C3623">
        <v>5</v>
      </c>
      <c r="D3623">
        <v>213</v>
      </c>
      <c r="E3623" t="s">
        <v>8</v>
      </c>
      <c r="F3623" t="s">
        <v>13</v>
      </c>
      <c r="G3623" t="s">
        <v>16</v>
      </c>
      <c r="H3623">
        <v>0</v>
      </c>
    </row>
    <row r="3624" spans="1:8" x14ac:dyDescent="0.35">
      <c r="A3624">
        <v>13316</v>
      </c>
      <c r="B3624" t="s">
        <v>11</v>
      </c>
      <c r="C3624">
        <v>9</v>
      </c>
      <c r="D3624">
        <v>46</v>
      </c>
      <c r="E3624" t="s">
        <v>8</v>
      </c>
      <c r="F3624" t="s">
        <v>13</v>
      </c>
      <c r="G3624" t="s">
        <v>16</v>
      </c>
      <c r="H3624">
        <v>0</v>
      </c>
    </row>
    <row r="3625" spans="1:8" x14ac:dyDescent="0.35">
      <c r="A3625">
        <v>10689</v>
      </c>
      <c r="B3625" t="s">
        <v>11</v>
      </c>
      <c r="C3625">
        <v>11</v>
      </c>
      <c r="D3625">
        <v>68</v>
      </c>
      <c r="E3625" t="s">
        <v>8</v>
      </c>
      <c r="F3625" t="s">
        <v>9</v>
      </c>
      <c r="G3625" t="s">
        <v>10</v>
      </c>
      <c r="H3625">
        <v>0</v>
      </c>
    </row>
    <row r="3626" spans="1:8" x14ac:dyDescent="0.35">
      <c r="A3626">
        <v>16141</v>
      </c>
      <c r="B3626" t="s">
        <v>7</v>
      </c>
      <c r="C3626">
        <v>3</v>
      </c>
      <c r="D3626">
        <v>256</v>
      </c>
      <c r="E3626" t="s">
        <v>8</v>
      </c>
      <c r="F3626" t="s">
        <v>9</v>
      </c>
      <c r="G3626" t="s">
        <v>14</v>
      </c>
      <c r="H3626">
        <v>0</v>
      </c>
    </row>
    <row r="3627" spans="1:8" x14ac:dyDescent="0.35">
      <c r="A3627">
        <v>15001</v>
      </c>
      <c r="B3627" t="s">
        <v>7</v>
      </c>
      <c r="C3627">
        <v>13</v>
      </c>
      <c r="D3627">
        <v>260</v>
      </c>
      <c r="E3627" t="s">
        <v>8</v>
      </c>
      <c r="F3627" t="s">
        <v>9</v>
      </c>
      <c r="G3627" t="s">
        <v>14</v>
      </c>
      <c r="H3627">
        <v>0</v>
      </c>
    </row>
    <row r="3628" spans="1:8" x14ac:dyDescent="0.35">
      <c r="A3628">
        <v>10181</v>
      </c>
      <c r="B3628" t="s">
        <v>11</v>
      </c>
      <c r="C3628">
        <v>14</v>
      </c>
      <c r="D3628">
        <v>413</v>
      </c>
      <c r="E3628" t="s">
        <v>8</v>
      </c>
      <c r="F3628" t="s">
        <v>13</v>
      </c>
      <c r="G3628" t="s">
        <v>12</v>
      </c>
      <c r="H3628">
        <v>0</v>
      </c>
    </row>
    <row r="3629" spans="1:8" x14ac:dyDescent="0.35">
      <c r="A3629">
        <v>19570</v>
      </c>
      <c r="B3629" t="s">
        <v>7</v>
      </c>
      <c r="C3629">
        <v>4</v>
      </c>
      <c r="D3629">
        <v>414</v>
      </c>
      <c r="E3629" t="s">
        <v>15</v>
      </c>
      <c r="F3629" t="s">
        <v>13</v>
      </c>
      <c r="G3629" t="s">
        <v>14</v>
      </c>
      <c r="H3629">
        <v>1</v>
      </c>
    </row>
    <row r="3630" spans="1:8" x14ac:dyDescent="0.35">
      <c r="A3630">
        <v>13274</v>
      </c>
      <c r="B3630" t="s">
        <v>11</v>
      </c>
      <c r="C3630">
        <v>14</v>
      </c>
      <c r="D3630">
        <v>304</v>
      </c>
      <c r="E3630" t="s">
        <v>15</v>
      </c>
      <c r="F3630" t="s">
        <v>13</v>
      </c>
      <c r="G3630" t="s">
        <v>12</v>
      </c>
      <c r="H3630">
        <v>1</v>
      </c>
    </row>
    <row r="3631" spans="1:8" x14ac:dyDescent="0.35">
      <c r="A3631">
        <v>12947</v>
      </c>
      <c r="B3631" t="s">
        <v>11</v>
      </c>
      <c r="C3631">
        <v>7</v>
      </c>
      <c r="D3631">
        <v>302</v>
      </c>
      <c r="E3631" t="s">
        <v>8</v>
      </c>
      <c r="F3631" t="s">
        <v>9</v>
      </c>
      <c r="G3631" t="s">
        <v>10</v>
      </c>
      <c r="H3631">
        <v>0</v>
      </c>
    </row>
    <row r="3632" spans="1:8" x14ac:dyDescent="0.35">
      <c r="A3632">
        <v>14281</v>
      </c>
      <c r="B3632" t="s">
        <v>11</v>
      </c>
      <c r="C3632">
        <v>2</v>
      </c>
      <c r="D3632">
        <v>264</v>
      </c>
      <c r="E3632" t="s">
        <v>8</v>
      </c>
      <c r="F3632" t="s">
        <v>13</v>
      </c>
      <c r="G3632" t="s">
        <v>10</v>
      </c>
      <c r="H3632">
        <v>0</v>
      </c>
    </row>
    <row r="3633" spans="1:8" x14ac:dyDescent="0.35">
      <c r="A3633">
        <v>15963</v>
      </c>
      <c r="B3633" t="s">
        <v>11</v>
      </c>
      <c r="C3633">
        <v>14</v>
      </c>
      <c r="D3633">
        <v>427</v>
      </c>
      <c r="E3633" t="s">
        <v>8</v>
      </c>
      <c r="F3633" t="s">
        <v>9</v>
      </c>
      <c r="G3633" t="s">
        <v>12</v>
      </c>
      <c r="H3633">
        <v>0</v>
      </c>
    </row>
    <row r="3634" spans="1:8" x14ac:dyDescent="0.35">
      <c r="A3634">
        <v>13400</v>
      </c>
      <c r="B3634" t="s">
        <v>11</v>
      </c>
      <c r="C3634">
        <v>8</v>
      </c>
      <c r="D3634">
        <v>88</v>
      </c>
      <c r="E3634" t="s">
        <v>8</v>
      </c>
      <c r="F3634" t="s">
        <v>9</v>
      </c>
      <c r="G3634" t="s">
        <v>16</v>
      </c>
      <c r="H3634">
        <v>0</v>
      </c>
    </row>
    <row r="3635" spans="1:8" x14ac:dyDescent="0.35">
      <c r="A3635">
        <v>13321</v>
      </c>
      <c r="B3635" t="s">
        <v>11</v>
      </c>
      <c r="C3635">
        <v>2</v>
      </c>
      <c r="D3635">
        <v>395</v>
      </c>
      <c r="E3635" t="s">
        <v>8</v>
      </c>
      <c r="F3635" t="s">
        <v>9</v>
      </c>
      <c r="G3635" t="s">
        <v>10</v>
      </c>
      <c r="H3635">
        <v>0</v>
      </c>
    </row>
    <row r="3636" spans="1:8" x14ac:dyDescent="0.35">
      <c r="A3636">
        <v>18964</v>
      </c>
      <c r="B3636" t="s">
        <v>11</v>
      </c>
      <c r="C3636">
        <v>1</v>
      </c>
      <c r="D3636">
        <v>316</v>
      </c>
      <c r="E3636" t="s">
        <v>8</v>
      </c>
      <c r="F3636" t="s">
        <v>9</v>
      </c>
      <c r="G3636" t="s">
        <v>16</v>
      </c>
      <c r="H3636">
        <v>0</v>
      </c>
    </row>
    <row r="3637" spans="1:8" x14ac:dyDescent="0.35">
      <c r="A3637">
        <v>18819</v>
      </c>
      <c r="B3637" t="s">
        <v>11</v>
      </c>
      <c r="C3637">
        <v>9</v>
      </c>
      <c r="D3637">
        <v>288</v>
      </c>
      <c r="E3637" t="s">
        <v>8</v>
      </c>
      <c r="F3637" t="s">
        <v>9</v>
      </c>
      <c r="G3637" t="s">
        <v>10</v>
      </c>
      <c r="H3637">
        <v>0</v>
      </c>
    </row>
    <row r="3638" spans="1:8" x14ac:dyDescent="0.35">
      <c r="A3638">
        <v>16469</v>
      </c>
      <c r="B3638" t="s">
        <v>11</v>
      </c>
      <c r="C3638">
        <v>4</v>
      </c>
      <c r="D3638">
        <v>295</v>
      </c>
      <c r="E3638" t="s">
        <v>8</v>
      </c>
      <c r="F3638" t="s">
        <v>13</v>
      </c>
      <c r="G3638" t="s">
        <v>16</v>
      </c>
      <c r="H3638">
        <v>0</v>
      </c>
    </row>
    <row r="3639" spans="1:8" x14ac:dyDescent="0.35">
      <c r="A3639">
        <v>12723</v>
      </c>
      <c r="B3639" t="s">
        <v>11</v>
      </c>
      <c r="C3639">
        <v>10</v>
      </c>
      <c r="D3639">
        <v>236</v>
      </c>
      <c r="E3639" t="s">
        <v>8</v>
      </c>
      <c r="F3639" t="s">
        <v>9</v>
      </c>
      <c r="G3639" t="s">
        <v>14</v>
      </c>
      <c r="H3639">
        <v>0</v>
      </c>
    </row>
    <row r="3640" spans="1:8" x14ac:dyDescent="0.35">
      <c r="A3640">
        <v>10198</v>
      </c>
      <c r="B3640" t="s">
        <v>7</v>
      </c>
      <c r="C3640">
        <v>10</v>
      </c>
      <c r="D3640">
        <v>79</v>
      </c>
      <c r="E3640" t="s">
        <v>8</v>
      </c>
      <c r="F3640" t="s">
        <v>13</v>
      </c>
      <c r="G3640" t="s">
        <v>16</v>
      </c>
      <c r="H3640">
        <v>0</v>
      </c>
    </row>
    <row r="3641" spans="1:8" x14ac:dyDescent="0.35">
      <c r="A3641">
        <v>11845</v>
      </c>
      <c r="B3641" t="s">
        <v>7</v>
      </c>
      <c r="C3641">
        <v>5</v>
      </c>
      <c r="D3641">
        <v>368</v>
      </c>
      <c r="E3641" t="s">
        <v>8</v>
      </c>
      <c r="F3641" t="s">
        <v>13</v>
      </c>
      <c r="G3641" t="s">
        <v>12</v>
      </c>
      <c r="H3641">
        <v>0</v>
      </c>
    </row>
    <row r="3642" spans="1:8" x14ac:dyDescent="0.35">
      <c r="A3642">
        <v>17717</v>
      </c>
      <c r="B3642" t="s">
        <v>7</v>
      </c>
      <c r="C3642">
        <v>12</v>
      </c>
      <c r="D3642">
        <v>194</v>
      </c>
      <c r="E3642" t="s">
        <v>8</v>
      </c>
      <c r="F3642" t="s">
        <v>9</v>
      </c>
      <c r="G3642" t="s">
        <v>10</v>
      </c>
      <c r="H3642">
        <v>0</v>
      </c>
    </row>
    <row r="3643" spans="1:8" x14ac:dyDescent="0.35">
      <c r="A3643">
        <v>11519</v>
      </c>
      <c r="B3643" t="s">
        <v>11</v>
      </c>
      <c r="C3643">
        <v>8</v>
      </c>
      <c r="D3643">
        <v>330</v>
      </c>
      <c r="E3643" t="s">
        <v>15</v>
      </c>
      <c r="F3643" t="s">
        <v>13</v>
      </c>
      <c r="G3643" t="s">
        <v>14</v>
      </c>
      <c r="H3643">
        <v>1</v>
      </c>
    </row>
    <row r="3644" spans="1:8" x14ac:dyDescent="0.35">
      <c r="A3644">
        <v>13394</v>
      </c>
      <c r="B3644" t="s">
        <v>11</v>
      </c>
      <c r="C3644">
        <v>11</v>
      </c>
      <c r="D3644">
        <v>227</v>
      </c>
      <c r="E3644" t="s">
        <v>8</v>
      </c>
      <c r="F3644" t="s">
        <v>13</v>
      </c>
      <c r="G3644" t="s">
        <v>12</v>
      </c>
      <c r="H3644">
        <v>0</v>
      </c>
    </row>
    <row r="3645" spans="1:8" x14ac:dyDescent="0.35">
      <c r="A3645">
        <v>14268</v>
      </c>
      <c r="B3645" t="s">
        <v>7</v>
      </c>
      <c r="C3645">
        <v>3</v>
      </c>
      <c r="D3645">
        <v>336</v>
      </c>
      <c r="E3645" t="s">
        <v>8</v>
      </c>
      <c r="F3645" t="s">
        <v>9</v>
      </c>
      <c r="G3645" t="s">
        <v>12</v>
      </c>
      <c r="H3645">
        <v>0</v>
      </c>
    </row>
    <row r="3646" spans="1:8" x14ac:dyDescent="0.35">
      <c r="A3646">
        <v>10325</v>
      </c>
      <c r="B3646" t="s">
        <v>11</v>
      </c>
      <c r="C3646">
        <v>11</v>
      </c>
      <c r="D3646">
        <v>114</v>
      </c>
      <c r="E3646" t="s">
        <v>8</v>
      </c>
      <c r="F3646" t="s">
        <v>9</v>
      </c>
      <c r="G3646" t="s">
        <v>10</v>
      </c>
      <c r="H3646">
        <v>0</v>
      </c>
    </row>
    <row r="3647" spans="1:8" x14ac:dyDescent="0.35">
      <c r="A3647">
        <v>15915</v>
      </c>
      <c r="B3647" t="s">
        <v>7</v>
      </c>
      <c r="C3647">
        <v>10</v>
      </c>
      <c r="D3647">
        <v>313</v>
      </c>
      <c r="E3647" t="s">
        <v>8</v>
      </c>
      <c r="F3647" t="s">
        <v>13</v>
      </c>
      <c r="G3647" t="s">
        <v>16</v>
      </c>
      <c r="H3647">
        <v>0</v>
      </c>
    </row>
    <row r="3648" spans="1:8" x14ac:dyDescent="0.35">
      <c r="A3648">
        <v>14275</v>
      </c>
      <c r="B3648" t="s">
        <v>11</v>
      </c>
      <c r="C3648">
        <v>6</v>
      </c>
      <c r="D3648">
        <v>364</v>
      </c>
      <c r="E3648" t="s">
        <v>8</v>
      </c>
      <c r="F3648" t="s">
        <v>9</v>
      </c>
      <c r="G3648" t="s">
        <v>14</v>
      </c>
      <c r="H3648">
        <v>0</v>
      </c>
    </row>
    <row r="3649" spans="1:8" x14ac:dyDescent="0.35">
      <c r="A3649">
        <v>13113</v>
      </c>
      <c r="B3649" t="s">
        <v>11</v>
      </c>
      <c r="C3649">
        <v>14</v>
      </c>
      <c r="D3649">
        <v>116</v>
      </c>
      <c r="E3649" t="s">
        <v>8</v>
      </c>
      <c r="F3649" t="s">
        <v>9</v>
      </c>
      <c r="G3649" t="s">
        <v>14</v>
      </c>
      <c r="H3649">
        <v>0</v>
      </c>
    </row>
    <row r="3650" spans="1:8" x14ac:dyDescent="0.35">
      <c r="A3650">
        <v>19484</v>
      </c>
      <c r="B3650" t="s">
        <v>11</v>
      </c>
      <c r="C3650">
        <v>11</v>
      </c>
      <c r="D3650">
        <v>94</v>
      </c>
      <c r="E3650" t="s">
        <v>8</v>
      </c>
      <c r="F3650" t="s">
        <v>13</v>
      </c>
      <c r="G3650" t="s">
        <v>10</v>
      </c>
      <c r="H3650">
        <v>0</v>
      </c>
    </row>
    <row r="3651" spans="1:8" x14ac:dyDescent="0.35">
      <c r="A3651">
        <v>10741</v>
      </c>
      <c r="B3651" t="s">
        <v>7</v>
      </c>
      <c r="C3651">
        <v>9</v>
      </c>
      <c r="D3651">
        <v>165</v>
      </c>
      <c r="E3651" t="s">
        <v>8</v>
      </c>
      <c r="F3651" t="s">
        <v>13</v>
      </c>
      <c r="G3651" t="s">
        <v>14</v>
      </c>
      <c r="H3651">
        <v>0</v>
      </c>
    </row>
    <row r="3652" spans="1:8" x14ac:dyDescent="0.35">
      <c r="A3652">
        <v>17449</v>
      </c>
      <c r="B3652" t="s">
        <v>7</v>
      </c>
      <c r="C3652">
        <v>13</v>
      </c>
      <c r="D3652">
        <v>340</v>
      </c>
      <c r="E3652" t="s">
        <v>8</v>
      </c>
      <c r="F3652" t="s">
        <v>13</v>
      </c>
      <c r="G3652" t="s">
        <v>14</v>
      </c>
      <c r="H3652">
        <v>0</v>
      </c>
    </row>
    <row r="3653" spans="1:8" x14ac:dyDescent="0.35">
      <c r="A3653">
        <v>15785</v>
      </c>
      <c r="B3653" t="s">
        <v>7</v>
      </c>
      <c r="C3653">
        <v>1</v>
      </c>
      <c r="D3653">
        <v>160</v>
      </c>
      <c r="E3653" t="s">
        <v>8</v>
      </c>
      <c r="F3653" t="s">
        <v>9</v>
      </c>
      <c r="G3653" t="s">
        <v>14</v>
      </c>
      <c r="H3653">
        <v>0</v>
      </c>
    </row>
    <row r="3654" spans="1:8" x14ac:dyDescent="0.35">
      <c r="A3654">
        <v>11349</v>
      </c>
      <c r="B3654" t="s">
        <v>11</v>
      </c>
      <c r="C3654">
        <v>11</v>
      </c>
      <c r="D3654">
        <v>333</v>
      </c>
      <c r="E3654" t="s">
        <v>8</v>
      </c>
      <c r="F3654" t="s">
        <v>13</v>
      </c>
      <c r="G3654" t="s">
        <v>16</v>
      </c>
      <c r="H3654">
        <v>0</v>
      </c>
    </row>
    <row r="3655" spans="1:8" x14ac:dyDescent="0.35">
      <c r="A3655">
        <v>14871</v>
      </c>
      <c r="B3655" t="s">
        <v>7</v>
      </c>
      <c r="C3655">
        <v>3</v>
      </c>
      <c r="D3655">
        <v>406</v>
      </c>
      <c r="E3655" t="s">
        <v>8</v>
      </c>
      <c r="F3655" t="s">
        <v>9</v>
      </c>
      <c r="G3655" t="s">
        <v>14</v>
      </c>
      <c r="H3655">
        <v>0</v>
      </c>
    </row>
    <row r="3656" spans="1:8" x14ac:dyDescent="0.35">
      <c r="A3656">
        <v>18638</v>
      </c>
      <c r="B3656" t="s">
        <v>7</v>
      </c>
      <c r="C3656">
        <v>1</v>
      </c>
      <c r="D3656">
        <v>267</v>
      </c>
      <c r="E3656" t="s">
        <v>8</v>
      </c>
      <c r="F3656" t="s">
        <v>9</v>
      </c>
      <c r="G3656" t="s">
        <v>10</v>
      </c>
      <c r="H3656">
        <v>0</v>
      </c>
    </row>
    <row r="3657" spans="1:8" x14ac:dyDescent="0.35">
      <c r="A3657">
        <v>15588</v>
      </c>
      <c r="B3657" t="s">
        <v>11</v>
      </c>
      <c r="C3657">
        <v>11</v>
      </c>
      <c r="D3657">
        <v>210</v>
      </c>
      <c r="E3657" t="s">
        <v>8</v>
      </c>
      <c r="F3657" t="s">
        <v>13</v>
      </c>
      <c r="G3657" t="s">
        <v>10</v>
      </c>
      <c r="H3657">
        <v>0</v>
      </c>
    </row>
    <row r="3658" spans="1:8" x14ac:dyDescent="0.35">
      <c r="A3658">
        <v>11176</v>
      </c>
      <c r="B3658" t="s">
        <v>7</v>
      </c>
      <c r="C3658">
        <v>8</v>
      </c>
      <c r="D3658">
        <v>112</v>
      </c>
      <c r="E3658" t="s">
        <v>8</v>
      </c>
      <c r="F3658" t="s">
        <v>9</v>
      </c>
      <c r="G3658" t="s">
        <v>14</v>
      </c>
      <c r="H3658">
        <v>0</v>
      </c>
    </row>
    <row r="3659" spans="1:8" x14ac:dyDescent="0.35">
      <c r="A3659">
        <v>12209</v>
      </c>
      <c r="B3659" t="s">
        <v>7</v>
      </c>
      <c r="C3659">
        <v>2</v>
      </c>
      <c r="D3659">
        <v>140</v>
      </c>
      <c r="E3659" t="s">
        <v>8</v>
      </c>
      <c r="F3659" t="s">
        <v>13</v>
      </c>
      <c r="G3659" t="s">
        <v>12</v>
      </c>
      <c r="H3659">
        <v>0</v>
      </c>
    </row>
    <row r="3660" spans="1:8" x14ac:dyDescent="0.35">
      <c r="A3660">
        <v>16778</v>
      </c>
      <c r="B3660" t="s">
        <v>11</v>
      </c>
      <c r="C3660">
        <v>3</v>
      </c>
      <c r="D3660">
        <v>91</v>
      </c>
      <c r="E3660" t="s">
        <v>8</v>
      </c>
      <c r="F3660" t="s">
        <v>9</v>
      </c>
      <c r="G3660" t="s">
        <v>12</v>
      </c>
      <c r="H3660">
        <v>0</v>
      </c>
    </row>
    <row r="3661" spans="1:8" x14ac:dyDescent="0.35">
      <c r="A3661">
        <v>11834</v>
      </c>
      <c r="B3661" t="s">
        <v>7</v>
      </c>
      <c r="C3661">
        <v>9</v>
      </c>
      <c r="D3661">
        <v>335</v>
      </c>
      <c r="E3661" t="s">
        <v>15</v>
      </c>
      <c r="F3661" t="s">
        <v>13</v>
      </c>
      <c r="G3661" t="s">
        <v>16</v>
      </c>
      <c r="H3661">
        <v>1</v>
      </c>
    </row>
    <row r="3662" spans="1:8" x14ac:dyDescent="0.35">
      <c r="A3662">
        <v>18095</v>
      </c>
      <c r="B3662" t="s">
        <v>11</v>
      </c>
      <c r="C3662">
        <v>1</v>
      </c>
      <c r="D3662">
        <v>389</v>
      </c>
      <c r="E3662" t="s">
        <v>8</v>
      </c>
      <c r="F3662" t="s">
        <v>13</v>
      </c>
      <c r="G3662" t="s">
        <v>12</v>
      </c>
      <c r="H3662">
        <v>0</v>
      </c>
    </row>
    <row r="3663" spans="1:8" x14ac:dyDescent="0.35">
      <c r="A3663">
        <v>11852</v>
      </c>
      <c r="B3663" t="s">
        <v>7</v>
      </c>
      <c r="C3663">
        <v>5</v>
      </c>
      <c r="D3663">
        <v>420</v>
      </c>
      <c r="E3663" t="s">
        <v>8</v>
      </c>
      <c r="F3663" t="s">
        <v>13</v>
      </c>
      <c r="G3663" t="s">
        <v>16</v>
      </c>
      <c r="H3663">
        <v>0</v>
      </c>
    </row>
    <row r="3664" spans="1:8" x14ac:dyDescent="0.35">
      <c r="A3664">
        <v>11616</v>
      </c>
      <c r="B3664" t="s">
        <v>11</v>
      </c>
      <c r="C3664">
        <v>10</v>
      </c>
      <c r="D3664">
        <v>203</v>
      </c>
      <c r="E3664" t="s">
        <v>8</v>
      </c>
      <c r="F3664" t="s">
        <v>13</v>
      </c>
      <c r="G3664" t="s">
        <v>14</v>
      </c>
      <c r="H3664">
        <v>0</v>
      </c>
    </row>
    <row r="3665" spans="1:8" x14ac:dyDescent="0.35">
      <c r="A3665">
        <v>16196</v>
      </c>
      <c r="B3665" t="s">
        <v>7</v>
      </c>
      <c r="C3665">
        <v>13</v>
      </c>
      <c r="D3665">
        <v>73</v>
      </c>
      <c r="E3665" t="s">
        <v>8</v>
      </c>
      <c r="F3665" t="s">
        <v>13</v>
      </c>
      <c r="G3665" t="s">
        <v>16</v>
      </c>
      <c r="H3665">
        <v>0</v>
      </c>
    </row>
    <row r="3666" spans="1:8" x14ac:dyDescent="0.35">
      <c r="A3666">
        <v>16394</v>
      </c>
      <c r="B3666" t="s">
        <v>11</v>
      </c>
      <c r="C3666">
        <v>8</v>
      </c>
      <c r="D3666">
        <v>106</v>
      </c>
      <c r="E3666" t="s">
        <v>8</v>
      </c>
      <c r="F3666" t="s">
        <v>13</v>
      </c>
      <c r="G3666" t="s">
        <v>12</v>
      </c>
      <c r="H3666">
        <v>0</v>
      </c>
    </row>
    <row r="3667" spans="1:8" x14ac:dyDescent="0.35">
      <c r="A3667">
        <v>14605</v>
      </c>
      <c r="B3667" t="s">
        <v>7</v>
      </c>
      <c r="C3667">
        <v>9</v>
      </c>
      <c r="D3667">
        <v>140</v>
      </c>
      <c r="E3667" t="s">
        <v>8</v>
      </c>
      <c r="F3667" t="s">
        <v>9</v>
      </c>
      <c r="G3667" t="s">
        <v>10</v>
      </c>
      <c r="H3667">
        <v>0</v>
      </c>
    </row>
    <row r="3668" spans="1:8" x14ac:dyDescent="0.35">
      <c r="A3668">
        <v>18795</v>
      </c>
      <c r="B3668" t="s">
        <v>11</v>
      </c>
      <c r="C3668">
        <v>14</v>
      </c>
      <c r="D3668">
        <v>273</v>
      </c>
      <c r="E3668" t="s">
        <v>8</v>
      </c>
      <c r="F3668" t="s">
        <v>13</v>
      </c>
      <c r="G3668" t="s">
        <v>12</v>
      </c>
      <c r="H3668">
        <v>0</v>
      </c>
    </row>
    <row r="3669" spans="1:8" x14ac:dyDescent="0.35">
      <c r="A3669">
        <v>13592</v>
      </c>
      <c r="B3669" t="s">
        <v>11</v>
      </c>
      <c r="C3669">
        <v>2</v>
      </c>
      <c r="D3669">
        <v>50</v>
      </c>
      <c r="E3669" t="s">
        <v>8</v>
      </c>
      <c r="F3669" t="s">
        <v>13</v>
      </c>
      <c r="G3669" t="s">
        <v>16</v>
      </c>
      <c r="H3669">
        <v>0</v>
      </c>
    </row>
    <row r="3670" spans="1:8" x14ac:dyDescent="0.35">
      <c r="A3670">
        <v>16117</v>
      </c>
      <c r="B3670" t="s">
        <v>7</v>
      </c>
      <c r="C3670">
        <v>13</v>
      </c>
      <c r="D3670">
        <v>217</v>
      </c>
      <c r="E3670" t="s">
        <v>8</v>
      </c>
      <c r="F3670" t="s">
        <v>13</v>
      </c>
      <c r="G3670" t="s">
        <v>12</v>
      </c>
      <c r="H3670">
        <v>0</v>
      </c>
    </row>
    <row r="3671" spans="1:8" x14ac:dyDescent="0.35">
      <c r="A3671">
        <v>14749</v>
      </c>
      <c r="B3671" t="s">
        <v>7</v>
      </c>
      <c r="C3671">
        <v>13</v>
      </c>
      <c r="D3671">
        <v>288</v>
      </c>
      <c r="E3671" t="s">
        <v>8</v>
      </c>
      <c r="F3671" t="s">
        <v>13</v>
      </c>
      <c r="G3671" t="s">
        <v>16</v>
      </c>
      <c r="H3671">
        <v>0</v>
      </c>
    </row>
    <row r="3672" spans="1:8" x14ac:dyDescent="0.35">
      <c r="A3672">
        <v>17847</v>
      </c>
      <c r="B3672" t="s">
        <v>11</v>
      </c>
      <c r="C3672">
        <v>1</v>
      </c>
      <c r="D3672">
        <v>153</v>
      </c>
      <c r="E3672" t="s">
        <v>8</v>
      </c>
      <c r="F3672" t="s">
        <v>9</v>
      </c>
      <c r="G3672" t="s">
        <v>14</v>
      </c>
      <c r="H3672">
        <v>0</v>
      </c>
    </row>
    <row r="3673" spans="1:8" x14ac:dyDescent="0.35">
      <c r="A3673">
        <v>10346</v>
      </c>
      <c r="B3673" t="s">
        <v>11</v>
      </c>
      <c r="C3673">
        <v>2</v>
      </c>
      <c r="D3673">
        <v>203</v>
      </c>
      <c r="E3673" t="s">
        <v>8</v>
      </c>
      <c r="F3673" t="s">
        <v>13</v>
      </c>
      <c r="G3673" t="s">
        <v>14</v>
      </c>
      <c r="H3673">
        <v>0</v>
      </c>
    </row>
    <row r="3674" spans="1:8" x14ac:dyDescent="0.35">
      <c r="A3674">
        <v>15395</v>
      </c>
      <c r="B3674" t="s">
        <v>11</v>
      </c>
      <c r="C3674">
        <v>13</v>
      </c>
      <c r="D3674">
        <v>83</v>
      </c>
      <c r="E3674" t="s">
        <v>8</v>
      </c>
      <c r="F3674" t="s">
        <v>9</v>
      </c>
      <c r="G3674" t="s">
        <v>16</v>
      </c>
      <c r="H3674">
        <v>0</v>
      </c>
    </row>
    <row r="3675" spans="1:8" x14ac:dyDescent="0.35">
      <c r="A3675">
        <v>18750</v>
      </c>
      <c r="B3675" t="s">
        <v>7</v>
      </c>
      <c r="C3675">
        <v>9</v>
      </c>
      <c r="D3675">
        <v>360</v>
      </c>
      <c r="E3675" t="s">
        <v>8</v>
      </c>
      <c r="F3675" t="s">
        <v>13</v>
      </c>
      <c r="G3675" t="s">
        <v>10</v>
      </c>
      <c r="H3675">
        <v>0</v>
      </c>
    </row>
    <row r="3676" spans="1:8" x14ac:dyDescent="0.35">
      <c r="A3676">
        <v>13999</v>
      </c>
      <c r="B3676" t="s">
        <v>11</v>
      </c>
      <c r="C3676">
        <v>7</v>
      </c>
      <c r="D3676">
        <v>320</v>
      </c>
      <c r="E3676" t="s">
        <v>8</v>
      </c>
      <c r="F3676" t="s">
        <v>13</v>
      </c>
      <c r="G3676" t="s">
        <v>10</v>
      </c>
      <c r="H3676">
        <v>0</v>
      </c>
    </row>
    <row r="3677" spans="1:8" x14ac:dyDescent="0.35">
      <c r="A3677">
        <v>18730</v>
      </c>
      <c r="B3677" t="s">
        <v>11</v>
      </c>
      <c r="C3677">
        <v>12</v>
      </c>
      <c r="D3677">
        <v>84</v>
      </c>
      <c r="E3677" t="s">
        <v>8</v>
      </c>
      <c r="F3677" t="s">
        <v>13</v>
      </c>
      <c r="G3677" t="s">
        <v>12</v>
      </c>
      <c r="H3677">
        <v>0</v>
      </c>
    </row>
    <row r="3678" spans="1:8" x14ac:dyDescent="0.35">
      <c r="A3678">
        <v>11676</v>
      </c>
      <c r="B3678" t="s">
        <v>11</v>
      </c>
      <c r="C3678">
        <v>11</v>
      </c>
      <c r="D3678">
        <v>323</v>
      </c>
      <c r="E3678" t="s">
        <v>8</v>
      </c>
      <c r="F3678" t="s">
        <v>9</v>
      </c>
      <c r="G3678" t="s">
        <v>12</v>
      </c>
      <c r="H3678">
        <v>0</v>
      </c>
    </row>
    <row r="3679" spans="1:8" x14ac:dyDescent="0.35">
      <c r="A3679">
        <v>16774</v>
      </c>
      <c r="B3679" t="s">
        <v>7</v>
      </c>
      <c r="C3679">
        <v>1</v>
      </c>
      <c r="D3679">
        <v>336</v>
      </c>
      <c r="E3679" t="s">
        <v>15</v>
      </c>
      <c r="F3679" t="s">
        <v>13</v>
      </c>
      <c r="G3679" t="s">
        <v>10</v>
      </c>
      <c r="H3679">
        <v>1</v>
      </c>
    </row>
    <row r="3680" spans="1:8" x14ac:dyDescent="0.35">
      <c r="A3680">
        <v>11291</v>
      </c>
      <c r="B3680" t="s">
        <v>7</v>
      </c>
      <c r="C3680">
        <v>14</v>
      </c>
      <c r="D3680">
        <v>300</v>
      </c>
      <c r="E3680" t="s">
        <v>8</v>
      </c>
      <c r="F3680" t="s">
        <v>9</v>
      </c>
      <c r="G3680" t="s">
        <v>14</v>
      </c>
      <c r="H3680">
        <v>0</v>
      </c>
    </row>
    <row r="3681" spans="1:8" x14ac:dyDescent="0.35">
      <c r="A3681">
        <v>19750</v>
      </c>
      <c r="B3681" t="s">
        <v>7</v>
      </c>
      <c r="C3681">
        <v>14</v>
      </c>
      <c r="D3681">
        <v>306</v>
      </c>
      <c r="E3681" t="s">
        <v>8</v>
      </c>
      <c r="F3681" t="s">
        <v>9</v>
      </c>
      <c r="G3681" t="s">
        <v>14</v>
      </c>
      <c r="H3681">
        <v>0</v>
      </c>
    </row>
    <row r="3682" spans="1:8" x14ac:dyDescent="0.35">
      <c r="A3682">
        <v>16758</v>
      </c>
      <c r="B3682" t="s">
        <v>11</v>
      </c>
      <c r="C3682">
        <v>2</v>
      </c>
      <c r="D3682">
        <v>109</v>
      </c>
      <c r="E3682" t="s">
        <v>8</v>
      </c>
      <c r="F3682" t="s">
        <v>13</v>
      </c>
      <c r="G3682" t="s">
        <v>16</v>
      </c>
      <c r="H3682">
        <v>0</v>
      </c>
    </row>
    <row r="3683" spans="1:8" x14ac:dyDescent="0.35">
      <c r="A3683">
        <v>17260</v>
      </c>
      <c r="B3683" t="s">
        <v>7</v>
      </c>
      <c r="C3683">
        <v>12</v>
      </c>
      <c r="D3683">
        <v>355</v>
      </c>
      <c r="E3683" t="s">
        <v>8</v>
      </c>
      <c r="F3683" t="s">
        <v>9</v>
      </c>
      <c r="G3683" t="s">
        <v>16</v>
      </c>
      <c r="H3683">
        <v>0</v>
      </c>
    </row>
    <row r="3684" spans="1:8" x14ac:dyDescent="0.35">
      <c r="A3684">
        <v>15777</v>
      </c>
      <c r="B3684" t="s">
        <v>7</v>
      </c>
      <c r="C3684">
        <v>2</v>
      </c>
      <c r="D3684">
        <v>43</v>
      </c>
      <c r="E3684" t="s">
        <v>8</v>
      </c>
      <c r="F3684" t="s">
        <v>13</v>
      </c>
      <c r="G3684" t="s">
        <v>12</v>
      </c>
      <c r="H3684">
        <v>0</v>
      </c>
    </row>
    <row r="3685" spans="1:8" x14ac:dyDescent="0.35">
      <c r="A3685">
        <v>19828</v>
      </c>
      <c r="B3685" t="s">
        <v>7</v>
      </c>
      <c r="C3685">
        <v>14</v>
      </c>
      <c r="D3685">
        <v>61</v>
      </c>
      <c r="E3685" t="s">
        <v>8</v>
      </c>
      <c r="F3685" t="s">
        <v>9</v>
      </c>
      <c r="G3685" t="s">
        <v>12</v>
      </c>
      <c r="H3685">
        <v>0</v>
      </c>
    </row>
    <row r="3686" spans="1:8" x14ac:dyDescent="0.35">
      <c r="A3686">
        <v>12045</v>
      </c>
      <c r="B3686" t="s">
        <v>7</v>
      </c>
      <c r="C3686">
        <v>11</v>
      </c>
      <c r="D3686">
        <v>184</v>
      </c>
      <c r="E3686" t="s">
        <v>8</v>
      </c>
      <c r="F3686" t="s">
        <v>13</v>
      </c>
      <c r="G3686" t="s">
        <v>14</v>
      </c>
      <c r="H3686">
        <v>0</v>
      </c>
    </row>
    <row r="3687" spans="1:8" x14ac:dyDescent="0.35">
      <c r="A3687">
        <v>17861</v>
      </c>
      <c r="B3687" t="s">
        <v>11</v>
      </c>
      <c r="C3687">
        <v>12</v>
      </c>
      <c r="D3687">
        <v>193</v>
      </c>
      <c r="E3687" t="s">
        <v>8</v>
      </c>
      <c r="F3687" t="s">
        <v>13</v>
      </c>
      <c r="G3687" t="s">
        <v>10</v>
      </c>
      <c r="H3687">
        <v>0</v>
      </c>
    </row>
    <row r="3688" spans="1:8" x14ac:dyDescent="0.35">
      <c r="A3688">
        <v>16300</v>
      </c>
      <c r="B3688" t="s">
        <v>7</v>
      </c>
      <c r="C3688">
        <v>10</v>
      </c>
      <c r="D3688">
        <v>121</v>
      </c>
      <c r="E3688" t="s">
        <v>8</v>
      </c>
      <c r="F3688" t="s">
        <v>9</v>
      </c>
      <c r="G3688" t="s">
        <v>14</v>
      </c>
      <c r="H3688">
        <v>0</v>
      </c>
    </row>
    <row r="3689" spans="1:8" x14ac:dyDescent="0.35">
      <c r="A3689">
        <v>17249</v>
      </c>
      <c r="B3689" t="s">
        <v>7</v>
      </c>
      <c r="C3689">
        <v>4</v>
      </c>
      <c r="D3689">
        <v>230</v>
      </c>
      <c r="E3689" t="s">
        <v>8</v>
      </c>
      <c r="F3689" t="s">
        <v>9</v>
      </c>
      <c r="G3689" t="s">
        <v>14</v>
      </c>
      <c r="H3689">
        <v>0</v>
      </c>
    </row>
    <row r="3690" spans="1:8" x14ac:dyDescent="0.35">
      <c r="A3690">
        <v>18599</v>
      </c>
      <c r="B3690" t="s">
        <v>11</v>
      </c>
      <c r="C3690">
        <v>7</v>
      </c>
      <c r="D3690">
        <v>166</v>
      </c>
      <c r="E3690" t="s">
        <v>8</v>
      </c>
      <c r="F3690" t="s">
        <v>9</v>
      </c>
      <c r="G3690" t="s">
        <v>12</v>
      </c>
      <c r="H3690">
        <v>0</v>
      </c>
    </row>
    <row r="3691" spans="1:8" x14ac:dyDescent="0.35">
      <c r="A3691">
        <v>10058</v>
      </c>
      <c r="B3691" t="s">
        <v>11</v>
      </c>
      <c r="C3691">
        <v>1</v>
      </c>
      <c r="D3691">
        <v>84</v>
      </c>
      <c r="E3691" t="s">
        <v>8</v>
      </c>
      <c r="F3691" t="s">
        <v>9</v>
      </c>
      <c r="G3691" t="s">
        <v>12</v>
      </c>
      <c r="H3691">
        <v>0</v>
      </c>
    </row>
    <row r="3692" spans="1:8" x14ac:dyDescent="0.35">
      <c r="A3692">
        <v>14307</v>
      </c>
      <c r="B3692" t="s">
        <v>7</v>
      </c>
      <c r="C3692">
        <v>6</v>
      </c>
      <c r="D3692">
        <v>358</v>
      </c>
      <c r="E3692" t="s">
        <v>8</v>
      </c>
      <c r="F3692" t="s">
        <v>13</v>
      </c>
      <c r="G3692" t="s">
        <v>10</v>
      </c>
      <c r="H3692">
        <v>0</v>
      </c>
    </row>
    <row r="3693" spans="1:8" x14ac:dyDescent="0.35">
      <c r="A3693">
        <v>12977</v>
      </c>
      <c r="B3693" t="s">
        <v>7</v>
      </c>
      <c r="C3693">
        <v>10</v>
      </c>
      <c r="D3693">
        <v>418</v>
      </c>
      <c r="E3693" t="s">
        <v>8</v>
      </c>
      <c r="F3693" t="s">
        <v>9</v>
      </c>
      <c r="G3693" t="s">
        <v>10</v>
      </c>
      <c r="H3693">
        <v>0</v>
      </c>
    </row>
    <row r="3694" spans="1:8" x14ac:dyDescent="0.35">
      <c r="A3694">
        <v>13652</v>
      </c>
      <c r="B3694" t="s">
        <v>7</v>
      </c>
      <c r="C3694">
        <v>14</v>
      </c>
      <c r="D3694">
        <v>175</v>
      </c>
      <c r="E3694" t="s">
        <v>8</v>
      </c>
      <c r="F3694" t="s">
        <v>9</v>
      </c>
      <c r="G3694" t="s">
        <v>10</v>
      </c>
      <c r="H3694">
        <v>0</v>
      </c>
    </row>
    <row r="3695" spans="1:8" x14ac:dyDescent="0.35">
      <c r="A3695">
        <v>11073</v>
      </c>
      <c r="B3695" t="s">
        <v>7</v>
      </c>
      <c r="C3695">
        <v>8</v>
      </c>
      <c r="D3695">
        <v>267</v>
      </c>
      <c r="E3695" t="s">
        <v>8</v>
      </c>
      <c r="F3695" t="s">
        <v>13</v>
      </c>
      <c r="G3695" t="s">
        <v>12</v>
      </c>
      <c r="H3695">
        <v>0</v>
      </c>
    </row>
    <row r="3696" spans="1:8" x14ac:dyDescent="0.35">
      <c r="A3696">
        <v>18350</v>
      </c>
      <c r="B3696" t="s">
        <v>11</v>
      </c>
      <c r="C3696">
        <v>13</v>
      </c>
      <c r="D3696">
        <v>405</v>
      </c>
      <c r="E3696" t="s">
        <v>8</v>
      </c>
      <c r="F3696" t="s">
        <v>9</v>
      </c>
      <c r="G3696" t="s">
        <v>16</v>
      </c>
      <c r="H3696">
        <v>0</v>
      </c>
    </row>
    <row r="3697" spans="1:8" x14ac:dyDescent="0.35">
      <c r="A3697">
        <v>10958</v>
      </c>
      <c r="B3697" t="s">
        <v>7</v>
      </c>
      <c r="C3697">
        <v>14</v>
      </c>
      <c r="D3697">
        <v>415</v>
      </c>
      <c r="E3697" t="s">
        <v>8</v>
      </c>
      <c r="F3697" t="s">
        <v>13</v>
      </c>
      <c r="G3697" t="s">
        <v>10</v>
      </c>
      <c r="H3697">
        <v>0</v>
      </c>
    </row>
    <row r="3698" spans="1:8" x14ac:dyDescent="0.35">
      <c r="A3698">
        <v>17811</v>
      </c>
      <c r="B3698" t="s">
        <v>11</v>
      </c>
      <c r="C3698">
        <v>7</v>
      </c>
      <c r="D3698">
        <v>334</v>
      </c>
      <c r="E3698" t="s">
        <v>8</v>
      </c>
      <c r="F3698" t="s">
        <v>9</v>
      </c>
      <c r="G3698" t="s">
        <v>10</v>
      </c>
      <c r="H3698">
        <v>0</v>
      </c>
    </row>
    <row r="3699" spans="1:8" x14ac:dyDescent="0.35">
      <c r="A3699">
        <v>17520</v>
      </c>
      <c r="B3699" t="s">
        <v>7</v>
      </c>
      <c r="C3699">
        <v>2</v>
      </c>
      <c r="D3699">
        <v>61</v>
      </c>
      <c r="E3699" t="s">
        <v>8</v>
      </c>
      <c r="F3699" t="s">
        <v>9</v>
      </c>
      <c r="G3699" t="s">
        <v>16</v>
      </c>
      <c r="H3699">
        <v>0</v>
      </c>
    </row>
    <row r="3700" spans="1:8" x14ac:dyDescent="0.35">
      <c r="A3700">
        <v>18617</v>
      </c>
      <c r="B3700" t="s">
        <v>11</v>
      </c>
      <c r="C3700">
        <v>7</v>
      </c>
      <c r="D3700">
        <v>167</v>
      </c>
      <c r="E3700" t="s">
        <v>8</v>
      </c>
      <c r="F3700" t="s">
        <v>13</v>
      </c>
      <c r="G3700" t="s">
        <v>12</v>
      </c>
      <c r="H3700">
        <v>0</v>
      </c>
    </row>
    <row r="3701" spans="1:8" x14ac:dyDescent="0.35">
      <c r="A3701">
        <v>14724</v>
      </c>
      <c r="B3701" t="s">
        <v>7</v>
      </c>
      <c r="C3701">
        <v>14</v>
      </c>
      <c r="D3701">
        <v>372</v>
      </c>
      <c r="E3701" t="s">
        <v>8</v>
      </c>
      <c r="F3701" t="s">
        <v>13</v>
      </c>
      <c r="G3701" t="s">
        <v>10</v>
      </c>
      <c r="H3701">
        <v>0</v>
      </c>
    </row>
    <row r="3702" spans="1:8" x14ac:dyDescent="0.35">
      <c r="A3702">
        <v>13131</v>
      </c>
      <c r="B3702" t="s">
        <v>7</v>
      </c>
      <c r="C3702">
        <v>6</v>
      </c>
      <c r="D3702">
        <v>359</v>
      </c>
      <c r="E3702" t="s">
        <v>8</v>
      </c>
      <c r="F3702" t="s">
        <v>9</v>
      </c>
      <c r="G3702" t="s">
        <v>10</v>
      </c>
      <c r="H3702">
        <v>0</v>
      </c>
    </row>
    <row r="3703" spans="1:8" x14ac:dyDescent="0.35">
      <c r="A3703">
        <v>19773</v>
      </c>
      <c r="B3703" t="s">
        <v>11</v>
      </c>
      <c r="C3703">
        <v>3</v>
      </c>
      <c r="D3703">
        <v>366</v>
      </c>
      <c r="E3703" t="s">
        <v>8</v>
      </c>
      <c r="F3703" t="s">
        <v>9</v>
      </c>
      <c r="G3703" t="s">
        <v>16</v>
      </c>
      <c r="H3703">
        <v>0</v>
      </c>
    </row>
    <row r="3704" spans="1:8" x14ac:dyDescent="0.35">
      <c r="A3704">
        <v>11055</v>
      </c>
      <c r="B3704" t="s">
        <v>7</v>
      </c>
      <c r="C3704">
        <v>4</v>
      </c>
      <c r="D3704">
        <v>55</v>
      </c>
      <c r="E3704" t="s">
        <v>8</v>
      </c>
      <c r="F3704" t="s">
        <v>13</v>
      </c>
      <c r="G3704" t="s">
        <v>10</v>
      </c>
      <c r="H3704">
        <v>0</v>
      </c>
    </row>
    <row r="3705" spans="1:8" x14ac:dyDescent="0.35">
      <c r="A3705">
        <v>18112</v>
      </c>
      <c r="B3705" t="s">
        <v>11</v>
      </c>
      <c r="C3705">
        <v>3</v>
      </c>
      <c r="D3705">
        <v>395</v>
      </c>
      <c r="E3705" t="s">
        <v>15</v>
      </c>
      <c r="F3705" t="s">
        <v>13</v>
      </c>
      <c r="G3705" t="s">
        <v>16</v>
      </c>
      <c r="H3705">
        <v>1</v>
      </c>
    </row>
    <row r="3706" spans="1:8" x14ac:dyDescent="0.35">
      <c r="A3706">
        <v>13386</v>
      </c>
      <c r="B3706" t="s">
        <v>7</v>
      </c>
      <c r="C3706">
        <v>5</v>
      </c>
      <c r="D3706">
        <v>179</v>
      </c>
      <c r="E3706" t="s">
        <v>8</v>
      </c>
      <c r="F3706" t="s">
        <v>9</v>
      </c>
      <c r="G3706" t="s">
        <v>10</v>
      </c>
      <c r="H3706">
        <v>0</v>
      </c>
    </row>
    <row r="3707" spans="1:8" x14ac:dyDescent="0.35">
      <c r="A3707">
        <v>15227</v>
      </c>
      <c r="B3707" t="s">
        <v>7</v>
      </c>
      <c r="C3707">
        <v>1</v>
      </c>
      <c r="D3707">
        <v>279</v>
      </c>
      <c r="E3707" t="s">
        <v>8</v>
      </c>
      <c r="F3707" t="s">
        <v>13</v>
      </c>
      <c r="G3707" t="s">
        <v>12</v>
      </c>
      <c r="H3707">
        <v>0</v>
      </c>
    </row>
    <row r="3708" spans="1:8" x14ac:dyDescent="0.35">
      <c r="A3708">
        <v>13581</v>
      </c>
      <c r="B3708" t="s">
        <v>7</v>
      </c>
      <c r="C3708">
        <v>13</v>
      </c>
      <c r="D3708">
        <v>299</v>
      </c>
      <c r="E3708" t="s">
        <v>15</v>
      </c>
      <c r="F3708" t="s">
        <v>13</v>
      </c>
      <c r="G3708" t="s">
        <v>16</v>
      </c>
      <c r="H3708">
        <v>1</v>
      </c>
    </row>
    <row r="3709" spans="1:8" x14ac:dyDescent="0.35">
      <c r="A3709">
        <v>17373</v>
      </c>
      <c r="B3709" t="s">
        <v>11</v>
      </c>
      <c r="C3709">
        <v>10</v>
      </c>
      <c r="D3709">
        <v>43</v>
      </c>
      <c r="E3709" t="s">
        <v>8</v>
      </c>
      <c r="F3709" t="s">
        <v>9</v>
      </c>
      <c r="G3709" t="s">
        <v>16</v>
      </c>
      <c r="H3709">
        <v>0</v>
      </c>
    </row>
    <row r="3710" spans="1:8" x14ac:dyDescent="0.35">
      <c r="A3710">
        <v>13747</v>
      </c>
      <c r="B3710" t="s">
        <v>7</v>
      </c>
      <c r="C3710">
        <v>5</v>
      </c>
      <c r="D3710">
        <v>380</v>
      </c>
      <c r="E3710" t="s">
        <v>8</v>
      </c>
      <c r="F3710" t="s">
        <v>9</v>
      </c>
      <c r="G3710" t="s">
        <v>10</v>
      </c>
      <c r="H3710">
        <v>0</v>
      </c>
    </row>
    <row r="3711" spans="1:8" x14ac:dyDescent="0.35">
      <c r="A3711">
        <v>10047</v>
      </c>
      <c r="B3711" t="s">
        <v>11</v>
      </c>
      <c r="C3711">
        <v>1</v>
      </c>
      <c r="D3711">
        <v>288</v>
      </c>
      <c r="E3711" t="s">
        <v>8</v>
      </c>
      <c r="F3711" t="s">
        <v>9</v>
      </c>
      <c r="G3711" t="s">
        <v>12</v>
      </c>
      <c r="H3711">
        <v>0</v>
      </c>
    </row>
    <row r="3712" spans="1:8" x14ac:dyDescent="0.35">
      <c r="A3712">
        <v>14377</v>
      </c>
      <c r="B3712" t="s">
        <v>7</v>
      </c>
      <c r="C3712">
        <v>5</v>
      </c>
      <c r="D3712">
        <v>397</v>
      </c>
      <c r="E3712" t="s">
        <v>8</v>
      </c>
      <c r="F3712" t="s">
        <v>9</v>
      </c>
      <c r="G3712" t="s">
        <v>16</v>
      </c>
      <c r="H3712">
        <v>0</v>
      </c>
    </row>
    <row r="3713" spans="1:8" x14ac:dyDescent="0.35">
      <c r="A3713">
        <v>15932</v>
      </c>
      <c r="B3713" t="s">
        <v>11</v>
      </c>
      <c r="C3713">
        <v>6</v>
      </c>
      <c r="D3713">
        <v>336</v>
      </c>
      <c r="E3713" t="s">
        <v>8</v>
      </c>
      <c r="F3713" t="s">
        <v>9</v>
      </c>
      <c r="G3713" t="s">
        <v>10</v>
      </c>
      <c r="H3713">
        <v>0</v>
      </c>
    </row>
    <row r="3714" spans="1:8" x14ac:dyDescent="0.35">
      <c r="A3714">
        <v>11420</v>
      </c>
      <c r="B3714" t="s">
        <v>7</v>
      </c>
      <c r="C3714">
        <v>4</v>
      </c>
      <c r="D3714">
        <v>259</v>
      </c>
      <c r="E3714" t="s">
        <v>8</v>
      </c>
      <c r="F3714" t="s">
        <v>13</v>
      </c>
      <c r="G3714" t="s">
        <v>16</v>
      </c>
      <c r="H3714">
        <v>0</v>
      </c>
    </row>
    <row r="3715" spans="1:8" x14ac:dyDescent="0.35">
      <c r="A3715">
        <v>12967</v>
      </c>
      <c r="B3715" t="s">
        <v>7</v>
      </c>
      <c r="C3715">
        <v>1</v>
      </c>
      <c r="D3715">
        <v>291</v>
      </c>
      <c r="E3715" t="s">
        <v>15</v>
      </c>
      <c r="F3715" t="s">
        <v>9</v>
      </c>
      <c r="G3715" t="s">
        <v>16</v>
      </c>
      <c r="H3715">
        <v>1</v>
      </c>
    </row>
    <row r="3716" spans="1:8" x14ac:dyDescent="0.35">
      <c r="A3716">
        <v>14007</v>
      </c>
      <c r="B3716" t="s">
        <v>11</v>
      </c>
      <c r="C3716">
        <v>10</v>
      </c>
      <c r="D3716">
        <v>48</v>
      </c>
      <c r="E3716" t="s">
        <v>8</v>
      </c>
      <c r="F3716" t="s">
        <v>9</v>
      </c>
      <c r="G3716" t="s">
        <v>16</v>
      </c>
      <c r="H3716">
        <v>0</v>
      </c>
    </row>
    <row r="3717" spans="1:8" x14ac:dyDescent="0.35">
      <c r="A3717">
        <v>15476</v>
      </c>
      <c r="B3717" t="s">
        <v>7</v>
      </c>
      <c r="C3717">
        <v>6</v>
      </c>
      <c r="D3717">
        <v>345</v>
      </c>
      <c r="E3717" t="s">
        <v>8</v>
      </c>
      <c r="F3717" t="s">
        <v>9</v>
      </c>
      <c r="G3717" t="s">
        <v>16</v>
      </c>
      <c r="H3717">
        <v>0</v>
      </c>
    </row>
    <row r="3718" spans="1:8" x14ac:dyDescent="0.35">
      <c r="A3718">
        <v>17492</v>
      </c>
      <c r="B3718" t="s">
        <v>11</v>
      </c>
      <c r="C3718">
        <v>10</v>
      </c>
      <c r="D3718">
        <v>44</v>
      </c>
      <c r="E3718" t="s">
        <v>8</v>
      </c>
      <c r="F3718" t="s">
        <v>9</v>
      </c>
      <c r="G3718" t="s">
        <v>12</v>
      </c>
      <c r="H3718">
        <v>0</v>
      </c>
    </row>
    <row r="3719" spans="1:8" x14ac:dyDescent="0.35">
      <c r="A3719">
        <v>10138</v>
      </c>
      <c r="B3719" t="s">
        <v>7</v>
      </c>
      <c r="C3719">
        <v>14</v>
      </c>
      <c r="D3719">
        <v>398</v>
      </c>
      <c r="E3719" t="s">
        <v>8</v>
      </c>
      <c r="F3719" t="s">
        <v>13</v>
      </c>
      <c r="G3719" t="s">
        <v>12</v>
      </c>
      <c r="H3719">
        <v>0</v>
      </c>
    </row>
    <row r="3720" spans="1:8" x14ac:dyDescent="0.35">
      <c r="A3720">
        <v>14348</v>
      </c>
      <c r="B3720" t="s">
        <v>11</v>
      </c>
      <c r="C3720">
        <v>4</v>
      </c>
      <c r="D3720">
        <v>173</v>
      </c>
      <c r="E3720" t="s">
        <v>8</v>
      </c>
      <c r="F3720" t="s">
        <v>9</v>
      </c>
      <c r="G3720" t="s">
        <v>16</v>
      </c>
      <c r="H3720">
        <v>0</v>
      </c>
    </row>
    <row r="3721" spans="1:8" x14ac:dyDescent="0.35">
      <c r="A3721">
        <v>12038</v>
      </c>
      <c r="B3721" t="s">
        <v>7</v>
      </c>
      <c r="C3721">
        <v>14</v>
      </c>
      <c r="D3721">
        <v>150</v>
      </c>
      <c r="E3721" t="s">
        <v>8</v>
      </c>
      <c r="F3721" t="s">
        <v>13</v>
      </c>
      <c r="G3721" t="s">
        <v>14</v>
      </c>
      <c r="H3721">
        <v>0</v>
      </c>
    </row>
    <row r="3722" spans="1:8" x14ac:dyDescent="0.35">
      <c r="A3722">
        <v>14010</v>
      </c>
      <c r="B3722" t="s">
        <v>7</v>
      </c>
      <c r="C3722">
        <v>4</v>
      </c>
      <c r="D3722">
        <v>384</v>
      </c>
      <c r="E3722" t="s">
        <v>15</v>
      </c>
      <c r="F3722" t="s">
        <v>13</v>
      </c>
      <c r="G3722" t="s">
        <v>16</v>
      </c>
      <c r="H3722">
        <v>1</v>
      </c>
    </row>
    <row r="3723" spans="1:8" x14ac:dyDescent="0.35">
      <c r="A3723">
        <v>11456</v>
      </c>
      <c r="B3723" t="s">
        <v>11</v>
      </c>
      <c r="C3723">
        <v>14</v>
      </c>
      <c r="D3723">
        <v>78</v>
      </c>
      <c r="E3723" t="s">
        <v>8</v>
      </c>
      <c r="F3723" t="s">
        <v>13</v>
      </c>
      <c r="G3723" t="s">
        <v>10</v>
      </c>
      <c r="H3723">
        <v>0</v>
      </c>
    </row>
    <row r="3724" spans="1:8" x14ac:dyDescent="0.35">
      <c r="A3724">
        <v>14571</v>
      </c>
      <c r="B3724" t="s">
        <v>11</v>
      </c>
      <c r="C3724">
        <v>9</v>
      </c>
      <c r="D3724">
        <v>297</v>
      </c>
      <c r="E3724" t="s">
        <v>8</v>
      </c>
      <c r="F3724" t="s">
        <v>13</v>
      </c>
      <c r="G3724" t="s">
        <v>16</v>
      </c>
      <c r="H3724">
        <v>0</v>
      </c>
    </row>
    <row r="3725" spans="1:8" x14ac:dyDescent="0.35">
      <c r="A3725">
        <v>15789</v>
      </c>
      <c r="B3725" t="s">
        <v>7</v>
      </c>
      <c r="C3725">
        <v>13</v>
      </c>
      <c r="D3725">
        <v>443</v>
      </c>
      <c r="E3725" t="s">
        <v>8</v>
      </c>
      <c r="F3725" t="s">
        <v>9</v>
      </c>
      <c r="G3725" t="s">
        <v>16</v>
      </c>
      <c r="H3725">
        <v>0</v>
      </c>
    </row>
    <row r="3726" spans="1:8" x14ac:dyDescent="0.35">
      <c r="A3726">
        <v>17788</v>
      </c>
      <c r="B3726" t="s">
        <v>7</v>
      </c>
      <c r="C3726">
        <v>1</v>
      </c>
      <c r="D3726">
        <v>302</v>
      </c>
      <c r="E3726" t="s">
        <v>15</v>
      </c>
      <c r="F3726" t="s">
        <v>9</v>
      </c>
      <c r="G3726" t="s">
        <v>16</v>
      </c>
      <c r="H3726">
        <v>1</v>
      </c>
    </row>
    <row r="3727" spans="1:8" x14ac:dyDescent="0.35">
      <c r="A3727">
        <v>18394</v>
      </c>
      <c r="B3727" t="s">
        <v>7</v>
      </c>
      <c r="C3727">
        <v>6</v>
      </c>
      <c r="D3727">
        <v>336</v>
      </c>
      <c r="E3727" t="s">
        <v>8</v>
      </c>
      <c r="F3727" t="s">
        <v>9</v>
      </c>
      <c r="G3727" t="s">
        <v>16</v>
      </c>
      <c r="H3727">
        <v>0</v>
      </c>
    </row>
    <row r="3728" spans="1:8" x14ac:dyDescent="0.35">
      <c r="A3728">
        <v>17273</v>
      </c>
      <c r="B3728" t="s">
        <v>7</v>
      </c>
      <c r="C3728">
        <v>9</v>
      </c>
      <c r="D3728">
        <v>74</v>
      </c>
      <c r="E3728" t="s">
        <v>8</v>
      </c>
      <c r="F3728" t="s">
        <v>13</v>
      </c>
      <c r="G3728" t="s">
        <v>12</v>
      </c>
      <c r="H3728">
        <v>0</v>
      </c>
    </row>
    <row r="3729" spans="1:8" x14ac:dyDescent="0.35">
      <c r="A3729">
        <v>11347</v>
      </c>
      <c r="B3729" t="s">
        <v>11</v>
      </c>
      <c r="C3729">
        <v>5</v>
      </c>
      <c r="D3729">
        <v>250</v>
      </c>
      <c r="E3729" t="s">
        <v>8</v>
      </c>
      <c r="F3729" t="s">
        <v>13</v>
      </c>
      <c r="G3729" t="s">
        <v>12</v>
      </c>
      <c r="H3729">
        <v>0</v>
      </c>
    </row>
    <row r="3730" spans="1:8" x14ac:dyDescent="0.35">
      <c r="A3730">
        <v>13234</v>
      </c>
      <c r="B3730" t="s">
        <v>11</v>
      </c>
      <c r="C3730">
        <v>7</v>
      </c>
      <c r="D3730">
        <v>357</v>
      </c>
      <c r="E3730" t="s">
        <v>8</v>
      </c>
      <c r="F3730" t="s">
        <v>13</v>
      </c>
      <c r="G3730" t="s">
        <v>12</v>
      </c>
      <c r="H3730">
        <v>0</v>
      </c>
    </row>
    <row r="3731" spans="1:8" x14ac:dyDescent="0.35">
      <c r="A3731">
        <v>13273</v>
      </c>
      <c r="B3731" t="s">
        <v>7</v>
      </c>
      <c r="C3731">
        <v>8</v>
      </c>
      <c r="D3731">
        <v>376</v>
      </c>
      <c r="E3731" t="s">
        <v>8</v>
      </c>
      <c r="F3731" t="s">
        <v>9</v>
      </c>
      <c r="G3731" t="s">
        <v>12</v>
      </c>
      <c r="H3731">
        <v>0</v>
      </c>
    </row>
    <row r="3732" spans="1:8" x14ac:dyDescent="0.35">
      <c r="A3732">
        <v>15428</v>
      </c>
      <c r="B3732" t="s">
        <v>7</v>
      </c>
      <c r="C3732">
        <v>4</v>
      </c>
      <c r="D3732">
        <v>203</v>
      </c>
      <c r="E3732" t="s">
        <v>8</v>
      </c>
      <c r="F3732" t="s">
        <v>9</v>
      </c>
      <c r="G3732" t="s">
        <v>12</v>
      </c>
      <c r="H3732">
        <v>0</v>
      </c>
    </row>
    <row r="3733" spans="1:8" x14ac:dyDescent="0.35">
      <c r="A3733">
        <v>14124</v>
      </c>
      <c r="B3733" t="s">
        <v>7</v>
      </c>
      <c r="C3733">
        <v>14</v>
      </c>
      <c r="D3733">
        <v>260</v>
      </c>
      <c r="E3733" t="s">
        <v>8</v>
      </c>
      <c r="F3733" t="s">
        <v>13</v>
      </c>
      <c r="G3733" t="s">
        <v>16</v>
      </c>
      <c r="H3733">
        <v>0</v>
      </c>
    </row>
    <row r="3734" spans="1:8" x14ac:dyDescent="0.35">
      <c r="A3734">
        <v>11920</v>
      </c>
      <c r="B3734" t="s">
        <v>11</v>
      </c>
      <c r="C3734">
        <v>4</v>
      </c>
      <c r="D3734">
        <v>232</v>
      </c>
      <c r="E3734" t="s">
        <v>8</v>
      </c>
      <c r="F3734" t="s">
        <v>9</v>
      </c>
      <c r="G3734" t="s">
        <v>16</v>
      </c>
      <c r="H3734">
        <v>0</v>
      </c>
    </row>
    <row r="3735" spans="1:8" x14ac:dyDescent="0.35">
      <c r="A3735">
        <v>12809</v>
      </c>
      <c r="B3735" t="s">
        <v>11</v>
      </c>
      <c r="C3735">
        <v>11</v>
      </c>
      <c r="D3735">
        <v>135</v>
      </c>
      <c r="E3735" t="s">
        <v>8</v>
      </c>
      <c r="F3735" t="s">
        <v>9</v>
      </c>
      <c r="G3735" t="s">
        <v>16</v>
      </c>
      <c r="H3735">
        <v>0</v>
      </c>
    </row>
    <row r="3736" spans="1:8" x14ac:dyDescent="0.35">
      <c r="A3736">
        <v>13689</v>
      </c>
      <c r="B3736" t="s">
        <v>11</v>
      </c>
      <c r="C3736">
        <v>12</v>
      </c>
      <c r="D3736">
        <v>300</v>
      </c>
      <c r="E3736" t="s">
        <v>8</v>
      </c>
      <c r="F3736" t="s">
        <v>13</v>
      </c>
      <c r="G3736" t="s">
        <v>16</v>
      </c>
      <c r="H3736">
        <v>0</v>
      </c>
    </row>
    <row r="3737" spans="1:8" x14ac:dyDescent="0.35">
      <c r="A3737">
        <v>18811</v>
      </c>
      <c r="B3737" t="s">
        <v>11</v>
      </c>
      <c r="C3737">
        <v>4</v>
      </c>
      <c r="D3737">
        <v>148</v>
      </c>
      <c r="E3737" t="s">
        <v>8</v>
      </c>
      <c r="F3737" t="s">
        <v>13</v>
      </c>
      <c r="G3737" t="s">
        <v>16</v>
      </c>
      <c r="H3737">
        <v>0</v>
      </c>
    </row>
    <row r="3738" spans="1:8" x14ac:dyDescent="0.35">
      <c r="A3738">
        <v>11145</v>
      </c>
      <c r="B3738" t="s">
        <v>11</v>
      </c>
      <c r="C3738">
        <v>6</v>
      </c>
      <c r="D3738">
        <v>356</v>
      </c>
      <c r="E3738" t="s">
        <v>8</v>
      </c>
      <c r="F3738" t="s">
        <v>13</v>
      </c>
      <c r="G3738" t="s">
        <v>10</v>
      </c>
      <c r="H3738">
        <v>0</v>
      </c>
    </row>
    <row r="3739" spans="1:8" x14ac:dyDescent="0.35">
      <c r="A3739">
        <v>16204</v>
      </c>
      <c r="B3739" t="s">
        <v>7</v>
      </c>
      <c r="C3739">
        <v>2</v>
      </c>
      <c r="D3739">
        <v>329</v>
      </c>
      <c r="E3739" t="s">
        <v>8</v>
      </c>
      <c r="F3739" t="s">
        <v>13</v>
      </c>
      <c r="G3739" t="s">
        <v>12</v>
      </c>
      <c r="H3739">
        <v>0</v>
      </c>
    </row>
    <row r="3740" spans="1:8" x14ac:dyDescent="0.35">
      <c r="A3740">
        <v>17875</v>
      </c>
      <c r="B3740" t="s">
        <v>11</v>
      </c>
      <c r="C3740">
        <v>7</v>
      </c>
      <c r="D3740">
        <v>95</v>
      </c>
      <c r="E3740" t="s">
        <v>8</v>
      </c>
      <c r="F3740" t="s">
        <v>13</v>
      </c>
      <c r="G3740" t="s">
        <v>10</v>
      </c>
      <c r="H3740">
        <v>0</v>
      </c>
    </row>
    <row r="3741" spans="1:8" x14ac:dyDescent="0.35">
      <c r="A3741">
        <v>18999</v>
      </c>
      <c r="B3741" t="s">
        <v>11</v>
      </c>
      <c r="C3741">
        <v>4</v>
      </c>
      <c r="D3741">
        <v>141</v>
      </c>
      <c r="E3741" t="s">
        <v>8</v>
      </c>
      <c r="F3741" t="s">
        <v>13</v>
      </c>
      <c r="G3741" t="s">
        <v>14</v>
      </c>
      <c r="H3741">
        <v>0</v>
      </c>
    </row>
    <row r="3742" spans="1:8" x14ac:dyDescent="0.35">
      <c r="A3742">
        <v>19867</v>
      </c>
      <c r="B3742" t="s">
        <v>7</v>
      </c>
      <c r="C3742">
        <v>10</v>
      </c>
      <c r="D3742">
        <v>208</v>
      </c>
      <c r="E3742" t="s">
        <v>8</v>
      </c>
      <c r="F3742" t="s">
        <v>13</v>
      </c>
      <c r="G3742" t="s">
        <v>12</v>
      </c>
      <c r="H3742">
        <v>0</v>
      </c>
    </row>
    <row r="3743" spans="1:8" x14ac:dyDescent="0.35">
      <c r="A3743">
        <v>16079</v>
      </c>
      <c r="B3743" t="s">
        <v>7</v>
      </c>
      <c r="C3743">
        <v>9</v>
      </c>
      <c r="D3743">
        <v>362</v>
      </c>
      <c r="E3743" t="s">
        <v>15</v>
      </c>
      <c r="F3743" t="s">
        <v>13</v>
      </c>
      <c r="G3743" t="s">
        <v>14</v>
      </c>
      <c r="H3743">
        <v>1</v>
      </c>
    </row>
    <row r="3744" spans="1:8" x14ac:dyDescent="0.35">
      <c r="A3744">
        <v>15377</v>
      </c>
      <c r="B3744" t="s">
        <v>7</v>
      </c>
      <c r="C3744">
        <v>7</v>
      </c>
      <c r="D3744">
        <v>238</v>
      </c>
      <c r="E3744" t="s">
        <v>8</v>
      </c>
      <c r="F3744" t="s">
        <v>13</v>
      </c>
      <c r="G3744" t="s">
        <v>16</v>
      </c>
      <c r="H3744">
        <v>0</v>
      </c>
    </row>
    <row r="3745" spans="1:8" x14ac:dyDescent="0.35">
      <c r="A3745">
        <v>19863</v>
      </c>
      <c r="B3745" t="s">
        <v>11</v>
      </c>
      <c r="C3745">
        <v>9</v>
      </c>
      <c r="D3745">
        <v>242</v>
      </c>
      <c r="E3745" t="s">
        <v>8</v>
      </c>
      <c r="F3745" t="s">
        <v>9</v>
      </c>
      <c r="G3745" t="s">
        <v>12</v>
      </c>
      <c r="H3745">
        <v>0</v>
      </c>
    </row>
    <row r="3746" spans="1:8" x14ac:dyDescent="0.35">
      <c r="A3746">
        <v>10526</v>
      </c>
      <c r="B3746" t="s">
        <v>7</v>
      </c>
      <c r="C3746">
        <v>5</v>
      </c>
      <c r="D3746">
        <v>421</v>
      </c>
      <c r="E3746" t="s">
        <v>8</v>
      </c>
      <c r="F3746" t="s">
        <v>13</v>
      </c>
      <c r="G3746" t="s">
        <v>12</v>
      </c>
      <c r="H3746">
        <v>0</v>
      </c>
    </row>
    <row r="3747" spans="1:8" x14ac:dyDescent="0.35">
      <c r="A3747">
        <v>15874</v>
      </c>
      <c r="B3747" t="s">
        <v>7</v>
      </c>
      <c r="C3747">
        <v>1</v>
      </c>
      <c r="D3747">
        <v>394</v>
      </c>
      <c r="E3747" t="s">
        <v>8</v>
      </c>
      <c r="F3747" t="s">
        <v>9</v>
      </c>
      <c r="G3747" t="s">
        <v>16</v>
      </c>
      <c r="H3747">
        <v>0</v>
      </c>
    </row>
    <row r="3748" spans="1:8" x14ac:dyDescent="0.35">
      <c r="A3748">
        <v>12289</v>
      </c>
      <c r="B3748" t="s">
        <v>7</v>
      </c>
      <c r="C3748">
        <v>9</v>
      </c>
      <c r="D3748">
        <v>236</v>
      </c>
      <c r="E3748" t="s">
        <v>15</v>
      </c>
      <c r="F3748" t="s">
        <v>13</v>
      </c>
      <c r="G3748" t="s">
        <v>16</v>
      </c>
      <c r="H3748">
        <v>1</v>
      </c>
    </row>
    <row r="3749" spans="1:8" x14ac:dyDescent="0.35">
      <c r="A3749">
        <v>14295</v>
      </c>
      <c r="B3749" t="s">
        <v>11</v>
      </c>
      <c r="C3749">
        <v>1</v>
      </c>
      <c r="D3749">
        <v>395</v>
      </c>
      <c r="E3749" t="s">
        <v>8</v>
      </c>
      <c r="F3749" t="s">
        <v>13</v>
      </c>
      <c r="G3749" t="s">
        <v>14</v>
      </c>
      <c r="H3749">
        <v>0</v>
      </c>
    </row>
    <row r="3750" spans="1:8" x14ac:dyDescent="0.35">
      <c r="A3750">
        <v>19405</v>
      </c>
      <c r="B3750" t="s">
        <v>11</v>
      </c>
      <c r="C3750">
        <v>3</v>
      </c>
      <c r="D3750">
        <v>439</v>
      </c>
      <c r="E3750" t="s">
        <v>8</v>
      </c>
      <c r="F3750" t="s">
        <v>13</v>
      </c>
      <c r="G3750" t="s">
        <v>12</v>
      </c>
      <c r="H3750">
        <v>0</v>
      </c>
    </row>
    <row r="3751" spans="1:8" x14ac:dyDescent="0.35">
      <c r="A3751">
        <v>14438</v>
      </c>
      <c r="B3751" t="s">
        <v>11</v>
      </c>
      <c r="C3751">
        <v>1</v>
      </c>
      <c r="D3751">
        <v>233</v>
      </c>
      <c r="E3751" t="s">
        <v>8</v>
      </c>
      <c r="F3751" t="s">
        <v>9</v>
      </c>
      <c r="G3751" t="s">
        <v>14</v>
      </c>
      <c r="H3751">
        <v>0</v>
      </c>
    </row>
    <row r="3752" spans="1:8" x14ac:dyDescent="0.35">
      <c r="A3752">
        <v>13199</v>
      </c>
      <c r="B3752" t="s">
        <v>11</v>
      </c>
      <c r="C3752">
        <v>14</v>
      </c>
      <c r="D3752">
        <v>232</v>
      </c>
      <c r="E3752" t="s">
        <v>8</v>
      </c>
      <c r="F3752" t="s">
        <v>9</v>
      </c>
      <c r="G3752" t="s">
        <v>14</v>
      </c>
      <c r="H3752">
        <v>0</v>
      </c>
    </row>
    <row r="3753" spans="1:8" x14ac:dyDescent="0.35">
      <c r="A3753">
        <v>12528</v>
      </c>
      <c r="B3753" t="s">
        <v>11</v>
      </c>
      <c r="C3753">
        <v>2</v>
      </c>
      <c r="D3753">
        <v>285</v>
      </c>
      <c r="E3753" t="s">
        <v>8</v>
      </c>
      <c r="F3753" t="s">
        <v>13</v>
      </c>
      <c r="G3753" t="s">
        <v>16</v>
      </c>
      <c r="H3753">
        <v>0</v>
      </c>
    </row>
    <row r="3754" spans="1:8" x14ac:dyDescent="0.35">
      <c r="A3754">
        <v>16451</v>
      </c>
      <c r="B3754" t="s">
        <v>11</v>
      </c>
      <c r="C3754">
        <v>6</v>
      </c>
      <c r="D3754">
        <v>319</v>
      </c>
      <c r="E3754" t="s">
        <v>8</v>
      </c>
      <c r="F3754" t="s">
        <v>9</v>
      </c>
      <c r="G3754" t="s">
        <v>16</v>
      </c>
      <c r="H3754">
        <v>0</v>
      </c>
    </row>
    <row r="3755" spans="1:8" x14ac:dyDescent="0.35">
      <c r="A3755">
        <v>15358</v>
      </c>
      <c r="B3755" t="s">
        <v>11</v>
      </c>
      <c r="C3755">
        <v>13</v>
      </c>
      <c r="D3755">
        <v>299</v>
      </c>
      <c r="E3755" t="s">
        <v>8</v>
      </c>
      <c r="F3755" t="s">
        <v>13</v>
      </c>
      <c r="G3755" t="s">
        <v>14</v>
      </c>
      <c r="H3755">
        <v>0</v>
      </c>
    </row>
    <row r="3756" spans="1:8" x14ac:dyDescent="0.35">
      <c r="A3756">
        <v>19678</v>
      </c>
      <c r="B3756" t="s">
        <v>7</v>
      </c>
      <c r="C3756">
        <v>11</v>
      </c>
      <c r="D3756">
        <v>219</v>
      </c>
      <c r="E3756" t="s">
        <v>15</v>
      </c>
      <c r="F3756" t="s">
        <v>9</v>
      </c>
      <c r="G3756" t="s">
        <v>14</v>
      </c>
      <c r="H3756">
        <v>1</v>
      </c>
    </row>
    <row r="3757" spans="1:8" x14ac:dyDescent="0.35">
      <c r="A3757">
        <v>19725</v>
      </c>
      <c r="B3757" t="s">
        <v>11</v>
      </c>
      <c r="C3757">
        <v>2</v>
      </c>
      <c r="D3757">
        <v>202</v>
      </c>
      <c r="E3757" t="s">
        <v>8</v>
      </c>
      <c r="F3757" t="s">
        <v>9</v>
      </c>
      <c r="G3757" t="s">
        <v>14</v>
      </c>
      <c r="H3757">
        <v>0</v>
      </c>
    </row>
    <row r="3758" spans="1:8" x14ac:dyDescent="0.35">
      <c r="A3758">
        <v>11509</v>
      </c>
      <c r="B3758" t="s">
        <v>11</v>
      </c>
      <c r="C3758">
        <v>7</v>
      </c>
      <c r="D3758">
        <v>207</v>
      </c>
      <c r="E3758" t="s">
        <v>8</v>
      </c>
      <c r="F3758" t="s">
        <v>9</v>
      </c>
      <c r="G3758" t="s">
        <v>10</v>
      </c>
      <c r="H3758">
        <v>0</v>
      </c>
    </row>
    <row r="3759" spans="1:8" x14ac:dyDescent="0.35">
      <c r="A3759">
        <v>10175</v>
      </c>
      <c r="B3759" t="s">
        <v>7</v>
      </c>
      <c r="C3759">
        <v>11</v>
      </c>
      <c r="D3759">
        <v>181</v>
      </c>
      <c r="E3759" t="s">
        <v>8</v>
      </c>
      <c r="F3759" t="s">
        <v>13</v>
      </c>
      <c r="G3759" t="s">
        <v>12</v>
      </c>
      <c r="H3759">
        <v>0</v>
      </c>
    </row>
    <row r="3760" spans="1:8" x14ac:dyDescent="0.35">
      <c r="A3760">
        <v>18148</v>
      </c>
      <c r="B3760" t="s">
        <v>7</v>
      </c>
      <c r="C3760">
        <v>10</v>
      </c>
      <c r="D3760">
        <v>69</v>
      </c>
      <c r="E3760" t="s">
        <v>8</v>
      </c>
      <c r="F3760" t="s">
        <v>13</v>
      </c>
      <c r="G3760" t="s">
        <v>14</v>
      </c>
      <c r="H3760">
        <v>0</v>
      </c>
    </row>
    <row r="3761" spans="1:8" x14ac:dyDescent="0.35">
      <c r="A3761">
        <v>18905</v>
      </c>
      <c r="B3761" t="s">
        <v>11</v>
      </c>
      <c r="C3761">
        <v>13</v>
      </c>
      <c r="D3761">
        <v>133</v>
      </c>
      <c r="E3761" t="s">
        <v>8</v>
      </c>
      <c r="F3761" t="s">
        <v>9</v>
      </c>
      <c r="G3761" t="s">
        <v>12</v>
      </c>
      <c r="H3761">
        <v>0</v>
      </c>
    </row>
    <row r="3762" spans="1:8" x14ac:dyDescent="0.35">
      <c r="A3762">
        <v>19227</v>
      </c>
      <c r="B3762" t="s">
        <v>7</v>
      </c>
      <c r="C3762">
        <v>3</v>
      </c>
      <c r="D3762">
        <v>245</v>
      </c>
      <c r="E3762" t="s">
        <v>8</v>
      </c>
      <c r="F3762" t="s">
        <v>13</v>
      </c>
      <c r="G3762" t="s">
        <v>12</v>
      </c>
      <c r="H3762">
        <v>0</v>
      </c>
    </row>
    <row r="3763" spans="1:8" x14ac:dyDescent="0.35">
      <c r="A3763">
        <v>13580</v>
      </c>
      <c r="B3763" t="s">
        <v>7</v>
      </c>
      <c r="C3763">
        <v>10</v>
      </c>
      <c r="D3763">
        <v>376</v>
      </c>
      <c r="E3763" t="s">
        <v>8</v>
      </c>
      <c r="F3763" t="s">
        <v>13</v>
      </c>
      <c r="G3763" t="s">
        <v>12</v>
      </c>
      <c r="H3763">
        <v>0</v>
      </c>
    </row>
    <row r="3764" spans="1:8" x14ac:dyDescent="0.35">
      <c r="A3764">
        <v>16723</v>
      </c>
      <c r="B3764" t="s">
        <v>7</v>
      </c>
      <c r="C3764">
        <v>12</v>
      </c>
      <c r="D3764">
        <v>151</v>
      </c>
      <c r="E3764" t="s">
        <v>8</v>
      </c>
      <c r="F3764" t="s">
        <v>13</v>
      </c>
      <c r="G3764" t="s">
        <v>16</v>
      </c>
      <c r="H3764">
        <v>0</v>
      </c>
    </row>
    <row r="3765" spans="1:8" x14ac:dyDescent="0.35">
      <c r="A3765">
        <v>14992</v>
      </c>
      <c r="B3765" t="s">
        <v>7</v>
      </c>
      <c r="C3765">
        <v>6</v>
      </c>
      <c r="D3765">
        <v>250</v>
      </c>
      <c r="E3765" t="s">
        <v>8</v>
      </c>
      <c r="F3765" t="s">
        <v>9</v>
      </c>
      <c r="G3765" t="s">
        <v>10</v>
      </c>
      <c r="H3765">
        <v>0</v>
      </c>
    </row>
    <row r="3766" spans="1:8" x14ac:dyDescent="0.35">
      <c r="A3766">
        <v>18976</v>
      </c>
      <c r="B3766" t="s">
        <v>11</v>
      </c>
      <c r="C3766">
        <v>11</v>
      </c>
      <c r="D3766">
        <v>145</v>
      </c>
      <c r="E3766" t="s">
        <v>8</v>
      </c>
      <c r="F3766" t="s">
        <v>9</v>
      </c>
      <c r="G3766" t="s">
        <v>12</v>
      </c>
      <c r="H3766">
        <v>0</v>
      </c>
    </row>
    <row r="3767" spans="1:8" x14ac:dyDescent="0.35">
      <c r="A3767">
        <v>19827</v>
      </c>
      <c r="B3767" t="s">
        <v>11</v>
      </c>
      <c r="C3767">
        <v>14</v>
      </c>
      <c r="D3767">
        <v>289</v>
      </c>
      <c r="E3767" t="s">
        <v>8</v>
      </c>
      <c r="F3767" t="s">
        <v>9</v>
      </c>
      <c r="G3767" t="s">
        <v>14</v>
      </c>
      <c r="H3767">
        <v>0</v>
      </c>
    </row>
    <row r="3768" spans="1:8" x14ac:dyDescent="0.35">
      <c r="A3768">
        <v>18747</v>
      </c>
      <c r="B3768" t="s">
        <v>11</v>
      </c>
      <c r="C3768">
        <v>12</v>
      </c>
      <c r="D3768">
        <v>413</v>
      </c>
      <c r="E3768" t="s">
        <v>8</v>
      </c>
      <c r="F3768" t="s">
        <v>9</v>
      </c>
      <c r="G3768" t="s">
        <v>16</v>
      </c>
      <c r="H3768">
        <v>0</v>
      </c>
    </row>
    <row r="3769" spans="1:8" x14ac:dyDescent="0.35">
      <c r="A3769">
        <v>18947</v>
      </c>
      <c r="B3769" t="s">
        <v>11</v>
      </c>
      <c r="C3769">
        <v>8</v>
      </c>
      <c r="D3769">
        <v>85</v>
      </c>
      <c r="E3769" t="s">
        <v>8</v>
      </c>
      <c r="F3769" t="s">
        <v>9</v>
      </c>
      <c r="G3769" t="s">
        <v>16</v>
      </c>
      <c r="H3769">
        <v>0</v>
      </c>
    </row>
    <row r="3770" spans="1:8" x14ac:dyDescent="0.35">
      <c r="A3770">
        <v>18375</v>
      </c>
      <c r="B3770" t="s">
        <v>7</v>
      </c>
      <c r="C3770">
        <v>6</v>
      </c>
      <c r="D3770">
        <v>412</v>
      </c>
      <c r="E3770" t="s">
        <v>8</v>
      </c>
      <c r="F3770" t="s">
        <v>13</v>
      </c>
      <c r="G3770" t="s">
        <v>10</v>
      </c>
      <c r="H3770">
        <v>0</v>
      </c>
    </row>
    <row r="3771" spans="1:8" x14ac:dyDescent="0.35">
      <c r="A3771">
        <v>12203</v>
      </c>
      <c r="B3771" t="s">
        <v>7</v>
      </c>
      <c r="C3771">
        <v>3</v>
      </c>
      <c r="D3771">
        <v>190</v>
      </c>
      <c r="E3771" t="s">
        <v>8</v>
      </c>
      <c r="F3771" t="s">
        <v>9</v>
      </c>
      <c r="G3771" t="s">
        <v>12</v>
      </c>
      <c r="H3771">
        <v>0</v>
      </c>
    </row>
    <row r="3772" spans="1:8" x14ac:dyDescent="0.35">
      <c r="A3772">
        <v>17012</v>
      </c>
      <c r="B3772" t="s">
        <v>7</v>
      </c>
      <c r="C3772">
        <v>9</v>
      </c>
      <c r="D3772">
        <v>313</v>
      </c>
      <c r="E3772" t="s">
        <v>15</v>
      </c>
      <c r="F3772" t="s">
        <v>13</v>
      </c>
      <c r="G3772" t="s">
        <v>16</v>
      </c>
      <c r="H3772">
        <v>1</v>
      </c>
    </row>
    <row r="3773" spans="1:8" x14ac:dyDescent="0.35">
      <c r="A3773">
        <v>13830</v>
      </c>
      <c r="B3773" t="s">
        <v>11</v>
      </c>
      <c r="C3773">
        <v>10</v>
      </c>
      <c r="D3773">
        <v>404</v>
      </c>
      <c r="E3773" t="s">
        <v>8</v>
      </c>
      <c r="F3773" t="s">
        <v>13</v>
      </c>
      <c r="G3773" t="s">
        <v>10</v>
      </c>
      <c r="H3773">
        <v>0</v>
      </c>
    </row>
    <row r="3774" spans="1:8" x14ac:dyDescent="0.35">
      <c r="A3774">
        <v>18600</v>
      </c>
      <c r="B3774" t="s">
        <v>11</v>
      </c>
      <c r="C3774">
        <v>13</v>
      </c>
      <c r="D3774">
        <v>432</v>
      </c>
      <c r="E3774" t="s">
        <v>8</v>
      </c>
      <c r="F3774" t="s">
        <v>13</v>
      </c>
      <c r="G3774" t="s">
        <v>14</v>
      </c>
      <c r="H3774">
        <v>0</v>
      </c>
    </row>
    <row r="3775" spans="1:8" x14ac:dyDescent="0.35">
      <c r="A3775">
        <v>19358</v>
      </c>
      <c r="B3775" t="s">
        <v>11</v>
      </c>
      <c r="C3775">
        <v>7</v>
      </c>
      <c r="D3775">
        <v>115</v>
      </c>
      <c r="E3775" t="s">
        <v>8</v>
      </c>
      <c r="F3775" t="s">
        <v>9</v>
      </c>
      <c r="G3775" t="s">
        <v>10</v>
      </c>
      <c r="H3775">
        <v>0</v>
      </c>
    </row>
    <row r="3776" spans="1:8" x14ac:dyDescent="0.35">
      <c r="A3776">
        <v>16801</v>
      </c>
      <c r="B3776" t="s">
        <v>11</v>
      </c>
      <c r="C3776">
        <v>13</v>
      </c>
      <c r="D3776">
        <v>253</v>
      </c>
      <c r="E3776" t="s">
        <v>8</v>
      </c>
      <c r="F3776" t="s">
        <v>13</v>
      </c>
      <c r="G3776" t="s">
        <v>16</v>
      </c>
      <c r="H3776">
        <v>0</v>
      </c>
    </row>
    <row r="3777" spans="1:8" x14ac:dyDescent="0.35">
      <c r="A3777">
        <v>15156</v>
      </c>
      <c r="B3777" t="s">
        <v>11</v>
      </c>
      <c r="C3777">
        <v>13</v>
      </c>
      <c r="D3777">
        <v>417</v>
      </c>
      <c r="E3777" t="s">
        <v>8</v>
      </c>
      <c r="F3777" t="s">
        <v>9</v>
      </c>
      <c r="G3777" t="s">
        <v>14</v>
      </c>
      <c r="H3777">
        <v>0</v>
      </c>
    </row>
    <row r="3778" spans="1:8" x14ac:dyDescent="0.35">
      <c r="A3778">
        <v>11042</v>
      </c>
      <c r="B3778" t="s">
        <v>7</v>
      </c>
      <c r="C3778">
        <v>8</v>
      </c>
      <c r="D3778">
        <v>257</v>
      </c>
      <c r="E3778" t="s">
        <v>8</v>
      </c>
      <c r="F3778" t="s">
        <v>13</v>
      </c>
      <c r="G3778" t="s">
        <v>10</v>
      </c>
      <c r="H3778">
        <v>0</v>
      </c>
    </row>
    <row r="3779" spans="1:8" x14ac:dyDescent="0.35">
      <c r="A3779">
        <v>16334</v>
      </c>
      <c r="B3779" t="s">
        <v>11</v>
      </c>
      <c r="C3779">
        <v>13</v>
      </c>
      <c r="D3779">
        <v>163</v>
      </c>
      <c r="E3779" t="s">
        <v>8</v>
      </c>
      <c r="F3779" t="s">
        <v>13</v>
      </c>
      <c r="G3779" t="s">
        <v>14</v>
      </c>
      <c r="H3779">
        <v>0</v>
      </c>
    </row>
    <row r="3780" spans="1:8" x14ac:dyDescent="0.35">
      <c r="A3780">
        <v>10370</v>
      </c>
      <c r="B3780" t="s">
        <v>7</v>
      </c>
      <c r="C3780">
        <v>2</v>
      </c>
      <c r="D3780">
        <v>86</v>
      </c>
      <c r="E3780" t="s">
        <v>8</v>
      </c>
      <c r="F3780" t="s">
        <v>13</v>
      </c>
      <c r="G3780" t="s">
        <v>12</v>
      </c>
      <c r="H3780">
        <v>0</v>
      </c>
    </row>
    <row r="3781" spans="1:8" x14ac:dyDescent="0.35">
      <c r="A3781">
        <v>11226</v>
      </c>
      <c r="B3781" t="s">
        <v>11</v>
      </c>
      <c r="C3781">
        <v>1</v>
      </c>
      <c r="D3781">
        <v>53</v>
      </c>
      <c r="E3781" t="s">
        <v>8</v>
      </c>
      <c r="F3781" t="s">
        <v>13</v>
      </c>
      <c r="G3781" t="s">
        <v>12</v>
      </c>
      <c r="H3781">
        <v>0</v>
      </c>
    </row>
    <row r="3782" spans="1:8" x14ac:dyDescent="0.35">
      <c r="A3782">
        <v>18486</v>
      </c>
      <c r="B3782" t="s">
        <v>7</v>
      </c>
      <c r="C3782">
        <v>10</v>
      </c>
      <c r="D3782">
        <v>355</v>
      </c>
      <c r="E3782" t="s">
        <v>8</v>
      </c>
      <c r="F3782" t="s">
        <v>13</v>
      </c>
      <c r="G3782" t="s">
        <v>12</v>
      </c>
      <c r="H3782">
        <v>0</v>
      </c>
    </row>
    <row r="3783" spans="1:8" x14ac:dyDescent="0.35">
      <c r="A3783">
        <v>12604</v>
      </c>
      <c r="B3783" t="s">
        <v>7</v>
      </c>
      <c r="C3783">
        <v>9</v>
      </c>
      <c r="D3783">
        <v>187</v>
      </c>
      <c r="E3783" t="s">
        <v>8</v>
      </c>
      <c r="F3783" t="s">
        <v>13</v>
      </c>
      <c r="G3783" t="s">
        <v>10</v>
      </c>
      <c r="H3783">
        <v>0</v>
      </c>
    </row>
    <row r="3784" spans="1:8" x14ac:dyDescent="0.35">
      <c r="A3784">
        <v>19389</v>
      </c>
      <c r="B3784" t="s">
        <v>7</v>
      </c>
      <c r="C3784">
        <v>14</v>
      </c>
      <c r="D3784">
        <v>109</v>
      </c>
      <c r="E3784" t="s">
        <v>8</v>
      </c>
      <c r="F3784" t="s">
        <v>9</v>
      </c>
      <c r="G3784" t="s">
        <v>10</v>
      </c>
      <c r="H3784">
        <v>0</v>
      </c>
    </row>
    <row r="3785" spans="1:8" x14ac:dyDescent="0.35">
      <c r="A3785">
        <v>14111</v>
      </c>
      <c r="B3785" t="s">
        <v>7</v>
      </c>
      <c r="C3785">
        <v>7</v>
      </c>
      <c r="D3785">
        <v>343</v>
      </c>
      <c r="E3785" t="s">
        <v>8</v>
      </c>
      <c r="F3785" t="s">
        <v>9</v>
      </c>
      <c r="G3785" t="s">
        <v>10</v>
      </c>
      <c r="H3785">
        <v>0</v>
      </c>
    </row>
    <row r="3786" spans="1:8" x14ac:dyDescent="0.35">
      <c r="A3786">
        <v>13378</v>
      </c>
      <c r="B3786" t="s">
        <v>11</v>
      </c>
      <c r="C3786">
        <v>1</v>
      </c>
      <c r="D3786">
        <v>113</v>
      </c>
      <c r="E3786" t="s">
        <v>8</v>
      </c>
      <c r="F3786" t="s">
        <v>13</v>
      </c>
      <c r="G3786" t="s">
        <v>12</v>
      </c>
      <c r="H3786">
        <v>0</v>
      </c>
    </row>
    <row r="3787" spans="1:8" x14ac:dyDescent="0.35">
      <c r="A3787">
        <v>13988</v>
      </c>
      <c r="B3787" t="s">
        <v>11</v>
      </c>
      <c r="C3787">
        <v>2</v>
      </c>
      <c r="D3787">
        <v>423</v>
      </c>
      <c r="E3787" t="s">
        <v>8</v>
      </c>
      <c r="F3787" t="s">
        <v>13</v>
      </c>
      <c r="G3787" t="s">
        <v>12</v>
      </c>
      <c r="H3787">
        <v>0</v>
      </c>
    </row>
    <row r="3788" spans="1:8" x14ac:dyDescent="0.35">
      <c r="A3788">
        <v>13904</v>
      </c>
      <c r="B3788" t="s">
        <v>11</v>
      </c>
      <c r="C3788">
        <v>11</v>
      </c>
      <c r="D3788">
        <v>68</v>
      </c>
      <c r="E3788" t="s">
        <v>8</v>
      </c>
      <c r="F3788" t="s">
        <v>9</v>
      </c>
      <c r="G3788" t="s">
        <v>12</v>
      </c>
      <c r="H3788">
        <v>0</v>
      </c>
    </row>
    <row r="3789" spans="1:8" x14ac:dyDescent="0.35">
      <c r="A3789">
        <v>13539</v>
      </c>
      <c r="B3789" t="s">
        <v>11</v>
      </c>
      <c r="C3789">
        <v>10</v>
      </c>
      <c r="D3789">
        <v>266</v>
      </c>
      <c r="E3789" t="s">
        <v>8</v>
      </c>
      <c r="F3789" t="s">
        <v>13</v>
      </c>
      <c r="G3789" t="s">
        <v>16</v>
      </c>
      <c r="H3789">
        <v>0</v>
      </c>
    </row>
    <row r="3790" spans="1:8" x14ac:dyDescent="0.35">
      <c r="A3790">
        <v>14907</v>
      </c>
      <c r="B3790" t="s">
        <v>11</v>
      </c>
      <c r="C3790">
        <v>13</v>
      </c>
      <c r="D3790">
        <v>95</v>
      </c>
      <c r="E3790" t="s">
        <v>8</v>
      </c>
      <c r="F3790" t="s">
        <v>9</v>
      </c>
      <c r="G3790" t="s">
        <v>10</v>
      </c>
      <c r="H3790">
        <v>0</v>
      </c>
    </row>
    <row r="3791" spans="1:8" x14ac:dyDescent="0.35">
      <c r="A3791">
        <v>13408</v>
      </c>
      <c r="B3791" t="s">
        <v>11</v>
      </c>
      <c r="C3791">
        <v>10</v>
      </c>
      <c r="D3791">
        <v>195</v>
      </c>
      <c r="E3791" t="s">
        <v>8</v>
      </c>
      <c r="F3791" t="s">
        <v>9</v>
      </c>
      <c r="G3791" t="s">
        <v>10</v>
      </c>
      <c r="H3791">
        <v>0</v>
      </c>
    </row>
    <row r="3792" spans="1:8" x14ac:dyDescent="0.35">
      <c r="A3792">
        <v>13550</v>
      </c>
      <c r="B3792" t="s">
        <v>7</v>
      </c>
      <c r="C3792">
        <v>1</v>
      </c>
      <c r="D3792">
        <v>385</v>
      </c>
      <c r="E3792" t="s">
        <v>8</v>
      </c>
      <c r="F3792" t="s">
        <v>13</v>
      </c>
      <c r="G3792" t="s">
        <v>14</v>
      </c>
      <c r="H3792">
        <v>0</v>
      </c>
    </row>
    <row r="3793" spans="1:8" x14ac:dyDescent="0.35">
      <c r="A3793">
        <v>10485</v>
      </c>
      <c r="B3793" t="s">
        <v>11</v>
      </c>
      <c r="C3793">
        <v>7</v>
      </c>
      <c r="D3793">
        <v>176</v>
      </c>
      <c r="E3793" t="s">
        <v>8</v>
      </c>
      <c r="F3793" t="s">
        <v>9</v>
      </c>
      <c r="G3793" t="s">
        <v>16</v>
      </c>
      <c r="H3793">
        <v>0</v>
      </c>
    </row>
    <row r="3794" spans="1:8" x14ac:dyDescent="0.35">
      <c r="A3794">
        <v>11629</v>
      </c>
      <c r="B3794" t="s">
        <v>7</v>
      </c>
      <c r="C3794">
        <v>11</v>
      </c>
      <c r="D3794">
        <v>426</v>
      </c>
      <c r="E3794" t="s">
        <v>8</v>
      </c>
      <c r="F3794" t="s">
        <v>13</v>
      </c>
      <c r="G3794" t="s">
        <v>16</v>
      </c>
      <c r="H3794">
        <v>0</v>
      </c>
    </row>
    <row r="3795" spans="1:8" x14ac:dyDescent="0.35">
      <c r="A3795">
        <v>18142</v>
      </c>
      <c r="B3795" t="s">
        <v>11</v>
      </c>
      <c r="C3795">
        <v>11</v>
      </c>
      <c r="D3795">
        <v>418</v>
      </c>
      <c r="E3795" t="s">
        <v>8</v>
      </c>
      <c r="F3795" t="s">
        <v>9</v>
      </c>
      <c r="G3795" t="s">
        <v>16</v>
      </c>
      <c r="H3795">
        <v>0</v>
      </c>
    </row>
    <row r="3796" spans="1:8" x14ac:dyDescent="0.35">
      <c r="A3796">
        <v>13623</v>
      </c>
      <c r="B3796" t="s">
        <v>7</v>
      </c>
      <c r="C3796">
        <v>12</v>
      </c>
      <c r="D3796">
        <v>79</v>
      </c>
      <c r="E3796" t="s">
        <v>8</v>
      </c>
      <c r="F3796" t="s">
        <v>13</v>
      </c>
      <c r="G3796" t="s">
        <v>14</v>
      </c>
      <c r="H3796">
        <v>0</v>
      </c>
    </row>
    <row r="3797" spans="1:8" x14ac:dyDescent="0.35">
      <c r="A3797">
        <v>12214</v>
      </c>
      <c r="B3797" t="s">
        <v>11</v>
      </c>
      <c r="C3797">
        <v>1</v>
      </c>
      <c r="D3797">
        <v>199</v>
      </c>
      <c r="E3797" t="s">
        <v>8</v>
      </c>
      <c r="F3797" t="s">
        <v>9</v>
      </c>
      <c r="G3797" t="s">
        <v>10</v>
      </c>
      <c r="H3797">
        <v>0</v>
      </c>
    </row>
    <row r="3798" spans="1:8" x14ac:dyDescent="0.35">
      <c r="A3798">
        <v>10349</v>
      </c>
      <c r="B3798" t="s">
        <v>7</v>
      </c>
      <c r="C3798">
        <v>2</v>
      </c>
      <c r="D3798">
        <v>447</v>
      </c>
      <c r="E3798" t="s">
        <v>8</v>
      </c>
      <c r="F3798" t="s">
        <v>13</v>
      </c>
      <c r="G3798" t="s">
        <v>12</v>
      </c>
      <c r="H3798">
        <v>0</v>
      </c>
    </row>
    <row r="3799" spans="1:8" x14ac:dyDescent="0.35">
      <c r="A3799">
        <v>18411</v>
      </c>
      <c r="B3799" t="s">
        <v>7</v>
      </c>
      <c r="C3799">
        <v>11</v>
      </c>
      <c r="D3799">
        <v>239</v>
      </c>
      <c r="E3799" t="s">
        <v>8</v>
      </c>
      <c r="F3799" t="s">
        <v>9</v>
      </c>
      <c r="G3799" t="s">
        <v>14</v>
      </c>
      <c r="H3799">
        <v>0</v>
      </c>
    </row>
    <row r="3800" spans="1:8" x14ac:dyDescent="0.35">
      <c r="A3800">
        <v>19397</v>
      </c>
      <c r="B3800" t="s">
        <v>7</v>
      </c>
      <c r="C3800">
        <v>5</v>
      </c>
      <c r="D3800">
        <v>445</v>
      </c>
      <c r="E3800" t="s">
        <v>8</v>
      </c>
      <c r="F3800" t="s">
        <v>13</v>
      </c>
      <c r="G3800" t="s">
        <v>10</v>
      </c>
      <c r="H3800">
        <v>0</v>
      </c>
    </row>
    <row r="3801" spans="1:8" x14ac:dyDescent="0.35">
      <c r="A3801">
        <v>17043</v>
      </c>
      <c r="B3801" t="s">
        <v>11</v>
      </c>
      <c r="C3801">
        <v>7</v>
      </c>
      <c r="D3801">
        <v>171</v>
      </c>
      <c r="E3801" t="s">
        <v>8</v>
      </c>
      <c r="F3801" t="s">
        <v>9</v>
      </c>
      <c r="G3801" t="s">
        <v>10</v>
      </c>
      <c r="H3801">
        <v>0</v>
      </c>
    </row>
    <row r="3802" spans="1:8" x14ac:dyDescent="0.35">
      <c r="A3802">
        <v>18479</v>
      </c>
      <c r="B3802" t="s">
        <v>11</v>
      </c>
      <c r="C3802">
        <v>10</v>
      </c>
      <c r="D3802">
        <v>135</v>
      </c>
      <c r="E3802" t="s">
        <v>8</v>
      </c>
      <c r="F3802" t="s">
        <v>9</v>
      </c>
      <c r="G3802" t="s">
        <v>16</v>
      </c>
      <c r="H3802">
        <v>0</v>
      </c>
    </row>
    <row r="3803" spans="1:8" x14ac:dyDescent="0.35">
      <c r="A3803">
        <v>19363</v>
      </c>
      <c r="B3803" t="s">
        <v>7</v>
      </c>
      <c r="C3803">
        <v>6</v>
      </c>
      <c r="D3803">
        <v>52</v>
      </c>
      <c r="E3803" t="s">
        <v>8</v>
      </c>
      <c r="F3803" t="s">
        <v>13</v>
      </c>
      <c r="G3803" t="s">
        <v>10</v>
      </c>
      <c r="H3803">
        <v>0</v>
      </c>
    </row>
    <row r="3804" spans="1:8" x14ac:dyDescent="0.35">
      <c r="A3804">
        <v>13459</v>
      </c>
      <c r="B3804" t="s">
        <v>11</v>
      </c>
      <c r="C3804">
        <v>10</v>
      </c>
      <c r="D3804">
        <v>103</v>
      </c>
      <c r="E3804" t="s">
        <v>8</v>
      </c>
      <c r="F3804" t="s">
        <v>9</v>
      </c>
      <c r="G3804" t="s">
        <v>10</v>
      </c>
      <c r="H3804">
        <v>0</v>
      </c>
    </row>
    <row r="3805" spans="1:8" x14ac:dyDescent="0.35">
      <c r="A3805">
        <v>11161</v>
      </c>
      <c r="B3805" t="s">
        <v>11</v>
      </c>
      <c r="C3805">
        <v>1</v>
      </c>
      <c r="D3805">
        <v>383</v>
      </c>
      <c r="E3805" t="s">
        <v>8</v>
      </c>
      <c r="F3805" t="s">
        <v>13</v>
      </c>
      <c r="G3805" t="s">
        <v>12</v>
      </c>
      <c r="H3805">
        <v>0</v>
      </c>
    </row>
    <row r="3806" spans="1:8" x14ac:dyDescent="0.35">
      <c r="A3806">
        <v>18924</v>
      </c>
      <c r="B3806" t="s">
        <v>7</v>
      </c>
      <c r="C3806">
        <v>3</v>
      </c>
      <c r="D3806">
        <v>124</v>
      </c>
      <c r="E3806" t="s">
        <v>8</v>
      </c>
      <c r="F3806" t="s">
        <v>9</v>
      </c>
      <c r="G3806" t="s">
        <v>16</v>
      </c>
      <c r="H3806">
        <v>0</v>
      </c>
    </row>
    <row r="3807" spans="1:8" x14ac:dyDescent="0.35">
      <c r="A3807">
        <v>17956</v>
      </c>
      <c r="B3807" t="s">
        <v>7</v>
      </c>
      <c r="C3807">
        <v>2</v>
      </c>
      <c r="D3807">
        <v>383</v>
      </c>
      <c r="E3807" t="s">
        <v>8</v>
      </c>
      <c r="F3807" t="s">
        <v>9</v>
      </c>
      <c r="G3807" t="s">
        <v>14</v>
      </c>
      <c r="H3807">
        <v>0</v>
      </c>
    </row>
    <row r="3808" spans="1:8" x14ac:dyDescent="0.35">
      <c r="A3808">
        <v>19501</v>
      </c>
      <c r="B3808" t="s">
        <v>11</v>
      </c>
      <c r="C3808">
        <v>6</v>
      </c>
      <c r="D3808">
        <v>101</v>
      </c>
      <c r="E3808" t="s">
        <v>8</v>
      </c>
      <c r="F3808" t="s">
        <v>13</v>
      </c>
      <c r="G3808" t="s">
        <v>12</v>
      </c>
      <c r="H3808">
        <v>0</v>
      </c>
    </row>
    <row r="3809" spans="1:8" x14ac:dyDescent="0.35">
      <c r="A3809">
        <v>15275</v>
      </c>
      <c r="B3809" t="s">
        <v>7</v>
      </c>
      <c r="C3809">
        <v>2</v>
      </c>
      <c r="D3809">
        <v>49</v>
      </c>
      <c r="E3809" t="s">
        <v>8</v>
      </c>
      <c r="F3809" t="s">
        <v>9</v>
      </c>
      <c r="G3809" t="s">
        <v>14</v>
      </c>
      <c r="H3809">
        <v>0</v>
      </c>
    </row>
    <row r="3810" spans="1:8" x14ac:dyDescent="0.35">
      <c r="A3810">
        <v>10185</v>
      </c>
      <c r="B3810" t="s">
        <v>11</v>
      </c>
      <c r="C3810">
        <v>13</v>
      </c>
      <c r="D3810">
        <v>170</v>
      </c>
      <c r="E3810" t="s">
        <v>15</v>
      </c>
      <c r="F3810" t="s">
        <v>9</v>
      </c>
      <c r="G3810" t="s">
        <v>16</v>
      </c>
      <c r="H3810">
        <v>1</v>
      </c>
    </row>
    <row r="3811" spans="1:8" x14ac:dyDescent="0.35">
      <c r="A3811">
        <v>17241</v>
      </c>
      <c r="B3811" t="s">
        <v>7</v>
      </c>
      <c r="C3811">
        <v>2</v>
      </c>
      <c r="D3811">
        <v>442</v>
      </c>
      <c r="E3811" t="s">
        <v>8</v>
      </c>
      <c r="F3811" t="s">
        <v>9</v>
      </c>
      <c r="G3811" t="s">
        <v>10</v>
      </c>
      <c r="H3811">
        <v>0</v>
      </c>
    </row>
    <row r="3812" spans="1:8" x14ac:dyDescent="0.35">
      <c r="A3812">
        <v>15531</v>
      </c>
      <c r="B3812" t="s">
        <v>7</v>
      </c>
      <c r="C3812">
        <v>10</v>
      </c>
      <c r="D3812">
        <v>319</v>
      </c>
      <c r="E3812" t="s">
        <v>8</v>
      </c>
      <c r="F3812" t="s">
        <v>13</v>
      </c>
      <c r="G3812" t="s">
        <v>10</v>
      </c>
      <c r="H3812">
        <v>0</v>
      </c>
    </row>
    <row r="3813" spans="1:8" x14ac:dyDescent="0.35">
      <c r="A3813">
        <v>19123</v>
      </c>
      <c r="B3813" t="s">
        <v>7</v>
      </c>
      <c r="C3813">
        <v>6</v>
      </c>
      <c r="D3813">
        <v>294</v>
      </c>
      <c r="E3813" t="s">
        <v>8</v>
      </c>
      <c r="F3813" t="s">
        <v>9</v>
      </c>
      <c r="G3813" t="s">
        <v>16</v>
      </c>
      <c r="H3813">
        <v>0</v>
      </c>
    </row>
    <row r="3814" spans="1:8" x14ac:dyDescent="0.35">
      <c r="A3814">
        <v>15249</v>
      </c>
      <c r="B3814" t="s">
        <v>11</v>
      </c>
      <c r="C3814">
        <v>6</v>
      </c>
      <c r="D3814">
        <v>150</v>
      </c>
      <c r="E3814" t="s">
        <v>8</v>
      </c>
      <c r="F3814" t="s">
        <v>9</v>
      </c>
      <c r="G3814" t="s">
        <v>12</v>
      </c>
      <c r="H3814">
        <v>0</v>
      </c>
    </row>
    <row r="3815" spans="1:8" x14ac:dyDescent="0.35">
      <c r="A3815">
        <v>10619</v>
      </c>
      <c r="B3815" t="s">
        <v>7</v>
      </c>
      <c r="C3815">
        <v>4</v>
      </c>
      <c r="D3815">
        <v>124</v>
      </c>
      <c r="E3815" t="s">
        <v>8</v>
      </c>
      <c r="F3815" t="s">
        <v>13</v>
      </c>
      <c r="G3815" t="s">
        <v>16</v>
      </c>
      <c r="H3815">
        <v>0</v>
      </c>
    </row>
    <row r="3816" spans="1:8" x14ac:dyDescent="0.35">
      <c r="A3816">
        <v>10529</v>
      </c>
      <c r="B3816" t="s">
        <v>7</v>
      </c>
      <c r="C3816">
        <v>6</v>
      </c>
      <c r="D3816">
        <v>316</v>
      </c>
      <c r="E3816" t="s">
        <v>8</v>
      </c>
      <c r="F3816" t="s">
        <v>9</v>
      </c>
      <c r="G3816" t="s">
        <v>14</v>
      </c>
      <c r="H3816">
        <v>0</v>
      </c>
    </row>
    <row r="3817" spans="1:8" x14ac:dyDescent="0.35">
      <c r="A3817">
        <v>19709</v>
      </c>
      <c r="B3817" t="s">
        <v>11</v>
      </c>
      <c r="C3817">
        <v>14</v>
      </c>
      <c r="D3817">
        <v>165</v>
      </c>
      <c r="E3817" t="s">
        <v>8</v>
      </c>
      <c r="F3817" t="s">
        <v>13</v>
      </c>
      <c r="G3817" t="s">
        <v>14</v>
      </c>
      <c r="H3817">
        <v>0</v>
      </c>
    </row>
    <row r="3818" spans="1:8" x14ac:dyDescent="0.35">
      <c r="A3818">
        <v>13201</v>
      </c>
      <c r="B3818" t="s">
        <v>11</v>
      </c>
      <c r="C3818">
        <v>11</v>
      </c>
      <c r="D3818">
        <v>77</v>
      </c>
      <c r="E3818" t="s">
        <v>8</v>
      </c>
      <c r="F3818" t="s">
        <v>9</v>
      </c>
      <c r="G3818" t="s">
        <v>10</v>
      </c>
      <c r="H3818">
        <v>0</v>
      </c>
    </row>
    <row r="3819" spans="1:8" x14ac:dyDescent="0.35">
      <c r="A3819">
        <v>15346</v>
      </c>
      <c r="B3819" t="s">
        <v>11</v>
      </c>
      <c r="C3819">
        <v>13</v>
      </c>
      <c r="D3819">
        <v>51</v>
      </c>
      <c r="E3819" t="s">
        <v>8</v>
      </c>
      <c r="F3819" t="s">
        <v>13</v>
      </c>
      <c r="G3819" t="s">
        <v>16</v>
      </c>
      <c r="H3819">
        <v>0</v>
      </c>
    </row>
    <row r="3820" spans="1:8" x14ac:dyDescent="0.35">
      <c r="A3820">
        <v>12648</v>
      </c>
      <c r="B3820" t="s">
        <v>11</v>
      </c>
      <c r="C3820">
        <v>4</v>
      </c>
      <c r="D3820">
        <v>434</v>
      </c>
      <c r="E3820" t="s">
        <v>8</v>
      </c>
      <c r="F3820" t="s">
        <v>13</v>
      </c>
      <c r="G3820" t="s">
        <v>10</v>
      </c>
      <c r="H3820">
        <v>0</v>
      </c>
    </row>
    <row r="3821" spans="1:8" x14ac:dyDescent="0.35">
      <c r="A3821">
        <v>12393</v>
      </c>
      <c r="B3821" t="s">
        <v>11</v>
      </c>
      <c r="C3821">
        <v>12</v>
      </c>
      <c r="D3821">
        <v>301</v>
      </c>
      <c r="E3821" t="s">
        <v>8</v>
      </c>
      <c r="F3821" t="s">
        <v>9</v>
      </c>
      <c r="G3821" t="s">
        <v>12</v>
      </c>
      <c r="H3821">
        <v>0</v>
      </c>
    </row>
    <row r="3822" spans="1:8" x14ac:dyDescent="0.35">
      <c r="A3822">
        <v>19011</v>
      </c>
      <c r="B3822" t="s">
        <v>11</v>
      </c>
      <c r="C3822">
        <v>2</v>
      </c>
      <c r="D3822">
        <v>246</v>
      </c>
      <c r="E3822" t="s">
        <v>8</v>
      </c>
      <c r="F3822" t="s">
        <v>13</v>
      </c>
      <c r="G3822" t="s">
        <v>14</v>
      </c>
      <c r="H3822">
        <v>0</v>
      </c>
    </row>
    <row r="3823" spans="1:8" x14ac:dyDescent="0.35">
      <c r="A3823">
        <v>18236</v>
      </c>
      <c r="B3823" t="s">
        <v>7</v>
      </c>
      <c r="C3823">
        <v>10</v>
      </c>
      <c r="D3823">
        <v>169</v>
      </c>
      <c r="E3823" t="s">
        <v>8</v>
      </c>
      <c r="F3823" t="s">
        <v>13</v>
      </c>
      <c r="G3823" t="s">
        <v>12</v>
      </c>
      <c r="H3823">
        <v>0</v>
      </c>
    </row>
    <row r="3824" spans="1:8" x14ac:dyDescent="0.35">
      <c r="A3824">
        <v>14796</v>
      </c>
      <c r="B3824" t="s">
        <v>7</v>
      </c>
      <c r="C3824">
        <v>9</v>
      </c>
      <c r="D3824">
        <v>419</v>
      </c>
      <c r="E3824" t="s">
        <v>8</v>
      </c>
      <c r="F3824" t="s">
        <v>9</v>
      </c>
      <c r="G3824" t="s">
        <v>10</v>
      </c>
      <c r="H3824">
        <v>0</v>
      </c>
    </row>
    <row r="3825" spans="1:8" x14ac:dyDescent="0.35">
      <c r="A3825">
        <v>15581</v>
      </c>
      <c r="B3825" t="s">
        <v>7</v>
      </c>
      <c r="C3825">
        <v>14</v>
      </c>
      <c r="D3825">
        <v>190</v>
      </c>
      <c r="E3825" t="s">
        <v>8</v>
      </c>
      <c r="F3825" t="s">
        <v>13</v>
      </c>
      <c r="G3825" t="s">
        <v>16</v>
      </c>
      <c r="H3825">
        <v>0</v>
      </c>
    </row>
    <row r="3826" spans="1:8" x14ac:dyDescent="0.35">
      <c r="A3826">
        <v>16290</v>
      </c>
      <c r="B3826" t="s">
        <v>11</v>
      </c>
      <c r="C3826">
        <v>8</v>
      </c>
      <c r="D3826">
        <v>225</v>
      </c>
      <c r="E3826" t="s">
        <v>8</v>
      </c>
      <c r="F3826" t="s">
        <v>9</v>
      </c>
      <c r="G3826" t="s">
        <v>12</v>
      </c>
      <c r="H3826">
        <v>0</v>
      </c>
    </row>
    <row r="3827" spans="1:8" x14ac:dyDescent="0.35">
      <c r="A3827">
        <v>13778</v>
      </c>
      <c r="B3827" t="s">
        <v>11</v>
      </c>
      <c r="C3827">
        <v>4</v>
      </c>
      <c r="D3827">
        <v>167</v>
      </c>
      <c r="E3827" t="s">
        <v>8</v>
      </c>
      <c r="F3827" t="s">
        <v>9</v>
      </c>
      <c r="G3827" t="s">
        <v>12</v>
      </c>
      <c r="H3827">
        <v>0</v>
      </c>
    </row>
    <row r="3828" spans="1:8" x14ac:dyDescent="0.35">
      <c r="A3828">
        <v>15490</v>
      </c>
      <c r="B3828" t="s">
        <v>7</v>
      </c>
      <c r="C3828">
        <v>11</v>
      </c>
      <c r="D3828">
        <v>344</v>
      </c>
      <c r="E3828" t="s">
        <v>8</v>
      </c>
      <c r="F3828" t="s">
        <v>13</v>
      </c>
      <c r="G3828" t="s">
        <v>14</v>
      </c>
      <c r="H3828">
        <v>0</v>
      </c>
    </row>
    <row r="3829" spans="1:8" x14ac:dyDescent="0.35">
      <c r="A3829">
        <v>16064</v>
      </c>
      <c r="B3829" t="s">
        <v>7</v>
      </c>
      <c r="C3829">
        <v>2</v>
      </c>
      <c r="D3829">
        <v>99</v>
      </c>
      <c r="E3829" t="s">
        <v>8</v>
      </c>
      <c r="F3829" t="s">
        <v>13</v>
      </c>
      <c r="G3829" t="s">
        <v>12</v>
      </c>
      <c r="H3829">
        <v>0</v>
      </c>
    </row>
    <row r="3830" spans="1:8" x14ac:dyDescent="0.35">
      <c r="A3830">
        <v>19541</v>
      </c>
      <c r="B3830" t="s">
        <v>7</v>
      </c>
      <c r="C3830">
        <v>1</v>
      </c>
      <c r="D3830">
        <v>417</v>
      </c>
      <c r="E3830" t="s">
        <v>8</v>
      </c>
      <c r="F3830" t="s">
        <v>13</v>
      </c>
      <c r="G3830" t="s">
        <v>16</v>
      </c>
      <c r="H3830">
        <v>0</v>
      </c>
    </row>
    <row r="3831" spans="1:8" x14ac:dyDescent="0.35">
      <c r="A3831">
        <v>13989</v>
      </c>
      <c r="B3831" t="s">
        <v>11</v>
      </c>
      <c r="C3831">
        <v>6</v>
      </c>
      <c r="D3831">
        <v>417</v>
      </c>
      <c r="E3831" t="s">
        <v>15</v>
      </c>
      <c r="F3831" t="s">
        <v>9</v>
      </c>
      <c r="G3831" t="s">
        <v>16</v>
      </c>
      <c r="H3831">
        <v>1</v>
      </c>
    </row>
    <row r="3832" spans="1:8" x14ac:dyDescent="0.35">
      <c r="A3832">
        <v>12441</v>
      </c>
      <c r="B3832" t="s">
        <v>11</v>
      </c>
      <c r="C3832">
        <v>12</v>
      </c>
      <c r="D3832">
        <v>336</v>
      </c>
      <c r="E3832" t="s">
        <v>8</v>
      </c>
      <c r="F3832" t="s">
        <v>9</v>
      </c>
      <c r="G3832" t="s">
        <v>12</v>
      </c>
      <c r="H3832">
        <v>0</v>
      </c>
    </row>
    <row r="3833" spans="1:8" x14ac:dyDescent="0.35">
      <c r="A3833">
        <v>17636</v>
      </c>
      <c r="B3833" t="s">
        <v>7</v>
      </c>
      <c r="C3833">
        <v>10</v>
      </c>
      <c r="D3833">
        <v>305</v>
      </c>
      <c r="E3833" t="s">
        <v>8</v>
      </c>
      <c r="F3833" t="s">
        <v>9</v>
      </c>
      <c r="G3833" t="s">
        <v>16</v>
      </c>
      <c r="H3833">
        <v>0</v>
      </c>
    </row>
    <row r="3834" spans="1:8" x14ac:dyDescent="0.35">
      <c r="A3834">
        <v>15753</v>
      </c>
      <c r="B3834" t="s">
        <v>11</v>
      </c>
      <c r="C3834">
        <v>7</v>
      </c>
      <c r="D3834">
        <v>298</v>
      </c>
      <c r="E3834" t="s">
        <v>8</v>
      </c>
      <c r="F3834" t="s">
        <v>9</v>
      </c>
      <c r="G3834" t="s">
        <v>16</v>
      </c>
      <c r="H3834">
        <v>0</v>
      </c>
    </row>
    <row r="3835" spans="1:8" x14ac:dyDescent="0.35">
      <c r="A3835">
        <v>19833</v>
      </c>
      <c r="B3835" t="s">
        <v>7</v>
      </c>
      <c r="C3835">
        <v>10</v>
      </c>
      <c r="D3835">
        <v>266</v>
      </c>
      <c r="E3835" t="s">
        <v>8</v>
      </c>
      <c r="F3835" t="s">
        <v>13</v>
      </c>
      <c r="G3835" t="s">
        <v>12</v>
      </c>
      <c r="H3835">
        <v>0</v>
      </c>
    </row>
    <row r="3836" spans="1:8" x14ac:dyDescent="0.35">
      <c r="A3836">
        <v>12020</v>
      </c>
      <c r="B3836" t="s">
        <v>7</v>
      </c>
      <c r="C3836">
        <v>3</v>
      </c>
      <c r="D3836">
        <v>116</v>
      </c>
      <c r="E3836" t="s">
        <v>15</v>
      </c>
      <c r="F3836" t="s">
        <v>13</v>
      </c>
      <c r="G3836" t="s">
        <v>12</v>
      </c>
      <c r="H3836">
        <v>1</v>
      </c>
    </row>
    <row r="3837" spans="1:8" x14ac:dyDescent="0.35">
      <c r="A3837">
        <v>16772</v>
      </c>
      <c r="B3837" t="s">
        <v>11</v>
      </c>
      <c r="C3837">
        <v>6</v>
      </c>
      <c r="D3837">
        <v>100</v>
      </c>
      <c r="E3837" t="s">
        <v>8</v>
      </c>
      <c r="F3837" t="s">
        <v>13</v>
      </c>
      <c r="G3837" t="s">
        <v>10</v>
      </c>
      <c r="H3837">
        <v>0</v>
      </c>
    </row>
    <row r="3838" spans="1:8" x14ac:dyDescent="0.35">
      <c r="A3838">
        <v>14633</v>
      </c>
      <c r="B3838" t="s">
        <v>7</v>
      </c>
      <c r="C3838">
        <v>8</v>
      </c>
      <c r="D3838">
        <v>330</v>
      </c>
      <c r="E3838" t="s">
        <v>8</v>
      </c>
      <c r="F3838" t="s">
        <v>13</v>
      </c>
      <c r="G3838" t="s">
        <v>12</v>
      </c>
      <c r="H3838">
        <v>0</v>
      </c>
    </row>
    <row r="3839" spans="1:8" x14ac:dyDescent="0.35">
      <c r="A3839">
        <v>10639</v>
      </c>
      <c r="B3839" t="s">
        <v>7</v>
      </c>
      <c r="C3839">
        <v>1</v>
      </c>
      <c r="D3839">
        <v>349</v>
      </c>
      <c r="E3839" t="s">
        <v>8</v>
      </c>
      <c r="F3839" t="s">
        <v>13</v>
      </c>
      <c r="G3839" t="s">
        <v>14</v>
      </c>
      <c r="H3839">
        <v>0</v>
      </c>
    </row>
    <row r="3840" spans="1:8" x14ac:dyDescent="0.35">
      <c r="A3840">
        <v>10712</v>
      </c>
      <c r="B3840" t="s">
        <v>7</v>
      </c>
      <c r="C3840">
        <v>10</v>
      </c>
      <c r="D3840">
        <v>81</v>
      </c>
      <c r="E3840" t="s">
        <v>15</v>
      </c>
      <c r="F3840" t="s">
        <v>9</v>
      </c>
      <c r="G3840" t="s">
        <v>14</v>
      </c>
      <c r="H3840">
        <v>1</v>
      </c>
    </row>
    <row r="3841" spans="1:8" x14ac:dyDescent="0.35">
      <c r="A3841">
        <v>15206</v>
      </c>
      <c r="B3841" t="s">
        <v>11</v>
      </c>
      <c r="C3841">
        <v>1</v>
      </c>
      <c r="D3841">
        <v>193</v>
      </c>
      <c r="E3841" t="s">
        <v>8</v>
      </c>
      <c r="F3841" t="s">
        <v>13</v>
      </c>
      <c r="G3841" t="s">
        <v>10</v>
      </c>
      <c r="H3841">
        <v>0</v>
      </c>
    </row>
    <row r="3842" spans="1:8" x14ac:dyDescent="0.35">
      <c r="A3842">
        <v>11712</v>
      </c>
      <c r="B3842" t="s">
        <v>7</v>
      </c>
      <c r="C3842">
        <v>11</v>
      </c>
      <c r="D3842">
        <v>381</v>
      </c>
      <c r="E3842" t="s">
        <v>8</v>
      </c>
      <c r="F3842" t="s">
        <v>9</v>
      </c>
      <c r="G3842" t="s">
        <v>16</v>
      </c>
      <c r="H3842">
        <v>0</v>
      </c>
    </row>
    <row r="3843" spans="1:8" x14ac:dyDescent="0.35">
      <c r="A3843">
        <v>11511</v>
      </c>
      <c r="B3843" t="s">
        <v>7</v>
      </c>
      <c r="C3843">
        <v>4</v>
      </c>
      <c r="D3843">
        <v>121</v>
      </c>
      <c r="E3843" t="s">
        <v>15</v>
      </c>
      <c r="F3843" t="s">
        <v>13</v>
      </c>
      <c r="G3843" t="s">
        <v>10</v>
      </c>
      <c r="H3843">
        <v>1</v>
      </c>
    </row>
    <row r="3844" spans="1:8" x14ac:dyDescent="0.35">
      <c r="A3844">
        <v>11109</v>
      </c>
      <c r="B3844" t="s">
        <v>7</v>
      </c>
      <c r="C3844">
        <v>8</v>
      </c>
      <c r="D3844">
        <v>216</v>
      </c>
      <c r="E3844" t="s">
        <v>8</v>
      </c>
      <c r="F3844" t="s">
        <v>9</v>
      </c>
      <c r="G3844" t="s">
        <v>10</v>
      </c>
      <c r="H3844">
        <v>0</v>
      </c>
    </row>
    <row r="3845" spans="1:8" x14ac:dyDescent="0.35">
      <c r="A3845">
        <v>19392</v>
      </c>
      <c r="B3845" t="s">
        <v>7</v>
      </c>
      <c r="C3845">
        <v>14</v>
      </c>
      <c r="D3845">
        <v>271</v>
      </c>
      <c r="E3845" t="s">
        <v>8</v>
      </c>
      <c r="F3845" t="s">
        <v>13</v>
      </c>
      <c r="G3845" t="s">
        <v>10</v>
      </c>
      <c r="H3845">
        <v>0</v>
      </c>
    </row>
    <row r="3846" spans="1:8" x14ac:dyDescent="0.35">
      <c r="A3846">
        <v>14018</v>
      </c>
      <c r="B3846" t="s">
        <v>11</v>
      </c>
      <c r="C3846">
        <v>5</v>
      </c>
      <c r="D3846">
        <v>383</v>
      </c>
      <c r="E3846" t="s">
        <v>8</v>
      </c>
      <c r="F3846" t="s">
        <v>13</v>
      </c>
      <c r="G3846" t="s">
        <v>10</v>
      </c>
      <c r="H3846">
        <v>0</v>
      </c>
    </row>
    <row r="3847" spans="1:8" x14ac:dyDescent="0.35">
      <c r="A3847">
        <v>13956</v>
      </c>
      <c r="B3847" t="s">
        <v>11</v>
      </c>
      <c r="C3847">
        <v>3</v>
      </c>
      <c r="D3847">
        <v>113</v>
      </c>
      <c r="E3847" t="s">
        <v>8</v>
      </c>
      <c r="F3847" t="s">
        <v>13</v>
      </c>
      <c r="G3847" t="s">
        <v>10</v>
      </c>
      <c r="H3847">
        <v>0</v>
      </c>
    </row>
    <row r="3848" spans="1:8" x14ac:dyDescent="0.35">
      <c r="A3848">
        <v>12014</v>
      </c>
      <c r="B3848" t="s">
        <v>11</v>
      </c>
      <c r="C3848">
        <v>13</v>
      </c>
      <c r="D3848">
        <v>365</v>
      </c>
      <c r="E3848" t="s">
        <v>8</v>
      </c>
      <c r="F3848" t="s">
        <v>9</v>
      </c>
      <c r="G3848" t="s">
        <v>12</v>
      </c>
      <c r="H3848">
        <v>0</v>
      </c>
    </row>
    <row r="3849" spans="1:8" x14ac:dyDescent="0.35">
      <c r="A3849">
        <v>16287</v>
      </c>
      <c r="B3849" t="s">
        <v>11</v>
      </c>
      <c r="C3849">
        <v>1</v>
      </c>
      <c r="D3849">
        <v>46</v>
      </c>
      <c r="E3849" t="s">
        <v>8</v>
      </c>
      <c r="F3849" t="s">
        <v>13</v>
      </c>
      <c r="G3849" t="s">
        <v>10</v>
      </c>
      <c r="H3849">
        <v>0</v>
      </c>
    </row>
    <row r="3850" spans="1:8" x14ac:dyDescent="0.35">
      <c r="A3850">
        <v>11802</v>
      </c>
      <c r="B3850" t="s">
        <v>11</v>
      </c>
      <c r="C3850">
        <v>13</v>
      </c>
      <c r="D3850">
        <v>391</v>
      </c>
      <c r="E3850" t="s">
        <v>8</v>
      </c>
      <c r="F3850" t="s">
        <v>13</v>
      </c>
      <c r="G3850" t="s">
        <v>16</v>
      </c>
      <c r="H3850">
        <v>0</v>
      </c>
    </row>
    <row r="3851" spans="1:8" x14ac:dyDescent="0.35">
      <c r="A3851">
        <v>17639</v>
      </c>
      <c r="B3851" t="s">
        <v>7</v>
      </c>
      <c r="C3851">
        <v>1</v>
      </c>
      <c r="D3851">
        <v>200</v>
      </c>
      <c r="E3851" t="s">
        <v>8</v>
      </c>
      <c r="F3851" t="s">
        <v>13</v>
      </c>
      <c r="G3851" t="s">
        <v>10</v>
      </c>
      <c r="H3851">
        <v>0</v>
      </c>
    </row>
    <row r="3852" spans="1:8" x14ac:dyDescent="0.35">
      <c r="A3852">
        <v>18252</v>
      </c>
      <c r="B3852" t="s">
        <v>7</v>
      </c>
      <c r="C3852">
        <v>13</v>
      </c>
      <c r="D3852">
        <v>280</v>
      </c>
      <c r="E3852" t="s">
        <v>8</v>
      </c>
      <c r="F3852" t="s">
        <v>13</v>
      </c>
      <c r="G3852" t="s">
        <v>12</v>
      </c>
      <c r="H3852">
        <v>0</v>
      </c>
    </row>
    <row r="3853" spans="1:8" x14ac:dyDescent="0.35">
      <c r="A3853">
        <v>13882</v>
      </c>
      <c r="B3853" t="s">
        <v>11</v>
      </c>
      <c r="C3853">
        <v>14</v>
      </c>
      <c r="D3853">
        <v>300</v>
      </c>
      <c r="E3853" t="s">
        <v>15</v>
      </c>
      <c r="F3853" t="s">
        <v>13</v>
      </c>
      <c r="G3853" t="s">
        <v>16</v>
      </c>
      <c r="H3853">
        <v>1</v>
      </c>
    </row>
    <row r="3854" spans="1:8" x14ac:dyDescent="0.35">
      <c r="A3854">
        <v>19839</v>
      </c>
      <c r="B3854" t="s">
        <v>7</v>
      </c>
      <c r="C3854">
        <v>14</v>
      </c>
      <c r="D3854">
        <v>394</v>
      </c>
      <c r="E3854" t="s">
        <v>8</v>
      </c>
      <c r="F3854" t="s">
        <v>9</v>
      </c>
      <c r="G3854" t="s">
        <v>10</v>
      </c>
      <c r="H3854">
        <v>0</v>
      </c>
    </row>
    <row r="3855" spans="1:8" x14ac:dyDescent="0.35">
      <c r="A3855">
        <v>11862</v>
      </c>
      <c r="B3855" t="s">
        <v>7</v>
      </c>
      <c r="C3855">
        <v>11</v>
      </c>
      <c r="D3855">
        <v>105</v>
      </c>
      <c r="E3855" t="s">
        <v>8</v>
      </c>
      <c r="F3855" t="s">
        <v>13</v>
      </c>
      <c r="G3855" t="s">
        <v>10</v>
      </c>
      <c r="H3855">
        <v>0</v>
      </c>
    </row>
    <row r="3856" spans="1:8" x14ac:dyDescent="0.35">
      <c r="A3856">
        <v>11228</v>
      </c>
      <c r="B3856" t="s">
        <v>7</v>
      </c>
      <c r="C3856">
        <v>10</v>
      </c>
      <c r="D3856">
        <v>436</v>
      </c>
      <c r="E3856" t="s">
        <v>8</v>
      </c>
      <c r="F3856" t="s">
        <v>13</v>
      </c>
      <c r="G3856" t="s">
        <v>16</v>
      </c>
      <c r="H3856">
        <v>0</v>
      </c>
    </row>
    <row r="3857" spans="1:8" x14ac:dyDescent="0.35">
      <c r="A3857">
        <v>13322</v>
      </c>
      <c r="B3857" t="s">
        <v>7</v>
      </c>
      <c r="C3857">
        <v>7</v>
      </c>
      <c r="D3857">
        <v>339</v>
      </c>
      <c r="E3857" t="s">
        <v>8</v>
      </c>
      <c r="F3857" t="s">
        <v>9</v>
      </c>
      <c r="G3857" t="s">
        <v>14</v>
      </c>
      <c r="H3857">
        <v>0</v>
      </c>
    </row>
    <row r="3858" spans="1:8" x14ac:dyDescent="0.35">
      <c r="A3858">
        <v>10258</v>
      </c>
      <c r="B3858" t="s">
        <v>7</v>
      </c>
      <c r="C3858">
        <v>2</v>
      </c>
      <c r="D3858">
        <v>209</v>
      </c>
      <c r="E3858" t="s">
        <v>8</v>
      </c>
      <c r="F3858" t="s">
        <v>9</v>
      </c>
      <c r="G3858" t="s">
        <v>16</v>
      </c>
      <c r="H3858">
        <v>0</v>
      </c>
    </row>
    <row r="3859" spans="1:8" x14ac:dyDescent="0.35">
      <c r="A3859">
        <v>11645</v>
      </c>
      <c r="B3859" t="s">
        <v>7</v>
      </c>
      <c r="C3859">
        <v>5</v>
      </c>
      <c r="D3859">
        <v>80</v>
      </c>
      <c r="E3859" t="s">
        <v>8</v>
      </c>
      <c r="F3859" t="s">
        <v>9</v>
      </c>
      <c r="G3859" t="s">
        <v>10</v>
      </c>
      <c r="H3859">
        <v>0</v>
      </c>
    </row>
    <row r="3860" spans="1:8" x14ac:dyDescent="0.35">
      <c r="A3860">
        <v>16114</v>
      </c>
      <c r="B3860" t="s">
        <v>7</v>
      </c>
      <c r="C3860">
        <v>10</v>
      </c>
      <c r="D3860">
        <v>103</v>
      </c>
      <c r="E3860" t="s">
        <v>8</v>
      </c>
      <c r="F3860" t="s">
        <v>9</v>
      </c>
      <c r="G3860" t="s">
        <v>12</v>
      </c>
      <c r="H3860">
        <v>0</v>
      </c>
    </row>
    <row r="3861" spans="1:8" x14ac:dyDescent="0.35">
      <c r="A3861">
        <v>10750</v>
      </c>
      <c r="B3861" t="s">
        <v>11</v>
      </c>
      <c r="C3861">
        <v>5</v>
      </c>
      <c r="D3861">
        <v>398</v>
      </c>
      <c r="E3861" t="s">
        <v>8</v>
      </c>
      <c r="F3861" t="s">
        <v>9</v>
      </c>
      <c r="G3861" t="s">
        <v>10</v>
      </c>
      <c r="H3861">
        <v>0</v>
      </c>
    </row>
    <row r="3862" spans="1:8" x14ac:dyDescent="0.35">
      <c r="A3862">
        <v>13698</v>
      </c>
      <c r="B3862" t="s">
        <v>11</v>
      </c>
      <c r="C3862">
        <v>9</v>
      </c>
      <c r="D3862">
        <v>213</v>
      </c>
      <c r="E3862" t="s">
        <v>8</v>
      </c>
      <c r="F3862" t="s">
        <v>9</v>
      </c>
      <c r="G3862" t="s">
        <v>16</v>
      </c>
      <c r="H3862">
        <v>0</v>
      </c>
    </row>
    <row r="3863" spans="1:8" x14ac:dyDescent="0.35">
      <c r="A3863">
        <v>12503</v>
      </c>
      <c r="B3863" t="s">
        <v>7</v>
      </c>
      <c r="C3863">
        <v>4</v>
      </c>
      <c r="D3863">
        <v>267</v>
      </c>
      <c r="E3863" t="s">
        <v>8</v>
      </c>
      <c r="F3863" t="s">
        <v>13</v>
      </c>
      <c r="G3863" t="s">
        <v>14</v>
      </c>
      <c r="H3863">
        <v>0</v>
      </c>
    </row>
    <row r="3864" spans="1:8" x14ac:dyDescent="0.35">
      <c r="A3864">
        <v>15336</v>
      </c>
      <c r="B3864" t="s">
        <v>11</v>
      </c>
      <c r="C3864">
        <v>2</v>
      </c>
      <c r="D3864">
        <v>155</v>
      </c>
      <c r="E3864" t="s">
        <v>8</v>
      </c>
      <c r="F3864" t="s">
        <v>9</v>
      </c>
      <c r="G3864" t="s">
        <v>10</v>
      </c>
      <c r="H3864">
        <v>0</v>
      </c>
    </row>
    <row r="3865" spans="1:8" x14ac:dyDescent="0.35">
      <c r="A3865">
        <v>12270</v>
      </c>
      <c r="B3865" t="s">
        <v>11</v>
      </c>
      <c r="C3865">
        <v>8</v>
      </c>
      <c r="D3865">
        <v>301</v>
      </c>
      <c r="E3865" t="s">
        <v>8</v>
      </c>
      <c r="F3865" t="s">
        <v>9</v>
      </c>
      <c r="G3865" t="s">
        <v>14</v>
      </c>
      <c r="H3865">
        <v>0</v>
      </c>
    </row>
    <row r="3866" spans="1:8" x14ac:dyDescent="0.35">
      <c r="A3866">
        <v>16976</v>
      </c>
      <c r="B3866" t="s">
        <v>11</v>
      </c>
      <c r="C3866">
        <v>7</v>
      </c>
      <c r="D3866">
        <v>51</v>
      </c>
      <c r="E3866" t="s">
        <v>8</v>
      </c>
      <c r="F3866" t="s">
        <v>13</v>
      </c>
      <c r="G3866" t="s">
        <v>10</v>
      </c>
      <c r="H3866">
        <v>0</v>
      </c>
    </row>
    <row r="3867" spans="1:8" x14ac:dyDescent="0.35">
      <c r="A3867">
        <v>16533</v>
      </c>
      <c r="B3867" t="s">
        <v>7</v>
      </c>
      <c r="C3867">
        <v>4</v>
      </c>
      <c r="D3867">
        <v>143</v>
      </c>
      <c r="E3867" t="s">
        <v>8</v>
      </c>
      <c r="F3867" t="s">
        <v>9</v>
      </c>
      <c r="G3867" t="s">
        <v>16</v>
      </c>
      <c r="H3867">
        <v>0</v>
      </c>
    </row>
    <row r="3868" spans="1:8" x14ac:dyDescent="0.35">
      <c r="A3868">
        <v>14828</v>
      </c>
      <c r="B3868" t="s">
        <v>11</v>
      </c>
      <c r="C3868">
        <v>1</v>
      </c>
      <c r="D3868">
        <v>75</v>
      </c>
      <c r="E3868" t="s">
        <v>8</v>
      </c>
      <c r="F3868" t="s">
        <v>13</v>
      </c>
      <c r="G3868" t="s">
        <v>14</v>
      </c>
      <c r="H3868">
        <v>0</v>
      </c>
    </row>
    <row r="3869" spans="1:8" x14ac:dyDescent="0.35">
      <c r="A3869">
        <v>14542</v>
      </c>
      <c r="B3869" t="s">
        <v>11</v>
      </c>
      <c r="C3869">
        <v>14</v>
      </c>
      <c r="D3869">
        <v>384</v>
      </c>
      <c r="E3869" t="s">
        <v>8</v>
      </c>
      <c r="F3869" t="s">
        <v>9</v>
      </c>
      <c r="G3869" t="s">
        <v>16</v>
      </c>
      <c r="H3869">
        <v>0</v>
      </c>
    </row>
    <row r="3870" spans="1:8" x14ac:dyDescent="0.35">
      <c r="A3870">
        <v>10238</v>
      </c>
      <c r="B3870" t="s">
        <v>11</v>
      </c>
      <c r="C3870">
        <v>5</v>
      </c>
      <c r="D3870">
        <v>125</v>
      </c>
      <c r="E3870" t="s">
        <v>8</v>
      </c>
      <c r="F3870" t="s">
        <v>9</v>
      </c>
      <c r="G3870" t="s">
        <v>14</v>
      </c>
      <c r="H3870">
        <v>0</v>
      </c>
    </row>
    <row r="3871" spans="1:8" x14ac:dyDescent="0.35">
      <c r="A3871">
        <v>19681</v>
      </c>
      <c r="B3871" t="s">
        <v>7</v>
      </c>
      <c r="C3871">
        <v>4</v>
      </c>
      <c r="D3871">
        <v>138</v>
      </c>
      <c r="E3871" t="s">
        <v>8</v>
      </c>
      <c r="F3871" t="s">
        <v>13</v>
      </c>
      <c r="G3871" t="s">
        <v>14</v>
      </c>
      <c r="H3871">
        <v>0</v>
      </c>
    </row>
    <row r="3872" spans="1:8" x14ac:dyDescent="0.35">
      <c r="A3872">
        <v>13028</v>
      </c>
      <c r="B3872" t="s">
        <v>11</v>
      </c>
      <c r="C3872">
        <v>6</v>
      </c>
      <c r="D3872">
        <v>63</v>
      </c>
      <c r="E3872" t="s">
        <v>8</v>
      </c>
      <c r="F3872" t="s">
        <v>13</v>
      </c>
      <c r="G3872" t="s">
        <v>12</v>
      </c>
      <c r="H3872">
        <v>0</v>
      </c>
    </row>
    <row r="3873" spans="1:8" x14ac:dyDescent="0.35">
      <c r="A3873">
        <v>12791</v>
      </c>
      <c r="B3873" t="s">
        <v>7</v>
      </c>
      <c r="C3873">
        <v>11</v>
      </c>
      <c r="D3873">
        <v>312</v>
      </c>
      <c r="E3873" t="s">
        <v>8</v>
      </c>
      <c r="F3873" t="s">
        <v>9</v>
      </c>
      <c r="G3873" t="s">
        <v>16</v>
      </c>
      <c r="H3873">
        <v>0</v>
      </c>
    </row>
    <row r="3874" spans="1:8" x14ac:dyDescent="0.35">
      <c r="A3874">
        <v>15575</v>
      </c>
      <c r="B3874" t="s">
        <v>7</v>
      </c>
      <c r="C3874">
        <v>9</v>
      </c>
      <c r="D3874">
        <v>121</v>
      </c>
      <c r="E3874" t="s">
        <v>8</v>
      </c>
      <c r="F3874" t="s">
        <v>9</v>
      </c>
      <c r="G3874" t="s">
        <v>14</v>
      </c>
      <c r="H3874">
        <v>0</v>
      </c>
    </row>
    <row r="3875" spans="1:8" x14ac:dyDescent="0.35">
      <c r="A3875">
        <v>10584</v>
      </c>
      <c r="B3875" t="s">
        <v>11</v>
      </c>
      <c r="C3875">
        <v>2</v>
      </c>
      <c r="D3875">
        <v>302</v>
      </c>
      <c r="E3875" t="s">
        <v>8</v>
      </c>
      <c r="F3875" t="s">
        <v>13</v>
      </c>
      <c r="G3875" t="s">
        <v>10</v>
      </c>
      <c r="H3875">
        <v>0</v>
      </c>
    </row>
    <row r="3876" spans="1:8" x14ac:dyDescent="0.35">
      <c r="A3876">
        <v>17738</v>
      </c>
      <c r="B3876" t="s">
        <v>11</v>
      </c>
      <c r="C3876">
        <v>9</v>
      </c>
      <c r="D3876">
        <v>260</v>
      </c>
      <c r="E3876" t="s">
        <v>8</v>
      </c>
      <c r="F3876" t="s">
        <v>9</v>
      </c>
      <c r="G3876" t="s">
        <v>12</v>
      </c>
      <c r="H3876">
        <v>0</v>
      </c>
    </row>
    <row r="3877" spans="1:8" x14ac:dyDescent="0.35">
      <c r="A3877">
        <v>13258</v>
      </c>
      <c r="B3877" t="s">
        <v>7</v>
      </c>
      <c r="C3877">
        <v>4</v>
      </c>
      <c r="D3877">
        <v>152</v>
      </c>
      <c r="E3877" t="s">
        <v>8</v>
      </c>
      <c r="F3877" t="s">
        <v>13</v>
      </c>
      <c r="G3877" t="s">
        <v>14</v>
      </c>
      <c r="H3877">
        <v>0</v>
      </c>
    </row>
    <row r="3878" spans="1:8" x14ac:dyDescent="0.35">
      <c r="A3878">
        <v>19796</v>
      </c>
      <c r="B3878" t="s">
        <v>7</v>
      </c>
      <c r="C3878">
        <v>7</v>
      </c>
      <c r="D3878">
        <v>424</v>
      </c>
      <c r="E3878" t="s">
        <v>15</v>
      </c>
      <c r="F3878" t="s">
        <v>9</v>
      </c>
      <c r="G3878" t="s">
        <v>12</v>
      </c>
      <c r="H3878">
        <v>1</v>
      </c>
    </row>
    <row r="3879" spans="1:8" x14ac:dyDescent="0.35">
      <c r="A3879">
        <v>15661</v>
      </c>
      <c r="B3879" t="s">
        <v>11</v>
      </c>
      <c r="C3879">
        <v>7</v>
      </c>
      <c r="D3879">
        <v>301</v>
      </c>
      <c r="E3879" t="s">
        <v>8</v>
      </c>
      <c r="F3879" t="s">
        <v>9</v>
      </c>
      <c r="G3879" t="s">
        <v>16</v>
      </c>
      <c r="H3879">
        <v>0</v>
      </c>
    </row>
    <row r="3880" spans="1:8" x14ac:dyDescent="0.35">
      <c r="A3880">
        <v>11596</v>
      </c>
      <c r="B3880" t="s">
        <v>11</v>
      </c>
      <c r="C3880">
        <v>12</v>
      </c>
      <c r="D3880">
        <v>379</v>
      </c>
      <c r="E3880" t="s">
        <v>8</v>
      </c>
      <c r="F3880" t="s">
        <v>13</v>
      </c>
      <c r="G3880" t="s">
        <v>10</v>
      </c>
      <c r="H3880">
        <v>0</v>
      </c>
    </row>
    <row r="3881" spans="1:8" x14ac:dyDescent="0.35">
      <c r="A3881">
        <v>17240</v>
      </c>
      <c r="B3881" t="s">
        <v>11</v>
      </c>
      <c r="C3881">
        <v>10</v>
      </c>
      <c r="D3881">
        <v>293</v>
      </c>
      <c r="E3881" t="s">
        <v>8</v>
      </c>
      <c r="F3881" t="s">
        <v>9</v>
      </c>
      <c r="G3881" t="s">
        <v>10</v>
      </c>
      <c r="H3881">
        <v>0</v>
      </c>
    </row>
    <row r="3882" spans="1:8" x14ac:dyDescent="0.35">
      <c r="A3882">
        <v>18122</v>
      </c>
      <c r="B3882" t="s">
        <v>7</v>
      </c>
      <c r="C3882">
        <v>4</v>
      </c>
      <c r="D3882">
        <v>383</v>
      </c>
      <c r="E3882" t="s">
        <v>8</v>
      </c>
      <c r="F3882" t="s">
        <v>9</v>
      </c>
      <c r="G3882" t="s">
        <v>10</v>
      </c>
      <c r="H3882">
        <v>0</v>
      </c>
    </row>
    <row r="3883" spans="1:8" x14ac:dyDescent="0.35">
      <c r="A3883">
        <v>17843</v>
      </c>
      <c r="B3883" t="s">
        <v>7</v>
      </c>
      <c r="C3883">
        <v>12</v>
      </c>
      <c r="D3883">
        <v>122</v>
      </c>
      <c r="E3883" t="s">
        <v>8</v>
      </c>
      <c r="F3883" t="s">
        <v>9</v>
      </c>
      <c r="G3883" t="s">
        <v>10</v>
      </c>
      <c r="H3883">
        <v>0</v>
      </c>
    </row>
    <row r="3884" spans="1:8" x14ac:dyDescent="0.35">
      <c r="A3884">
        <v>15209</v>
      </c>
      <c r="B3884" t="s">
        <v>7</v>
      </c>
      <c r="C3884">
        <v>6</v>
      </c>
      <c r="D3884">
        <v>422</v>
      </c>
      <c r="E3884" t="s">
        <v>8</v>
      </c>
      <c r="F3884" t="s">
        <v>9</v>
      </c>
      <c r="G3884" t="s">
        <v>12</v>
      </c>
      <c r="H3884">
        <v>0</v>
      </c>
    </row>
    <row r="3885" spans="1:8" x14ac:dyDescent="0.35">
      <c r="A3885">
        <v>15043</v>
      </c>
      <c r="B3885" t="s">
        <v>7</v>
      </c>
      <c r="C3885">
        <v>13</v>
      </c>
      <c r="D3885">
        <v>377</v>
      </c>
      <c r="E3885" t="s">
        <v>8</v>
      </c>
      <c r="F3885" t="s">
        <v>13</v>
      </c>
      <c r="G3885" t="s">
        <v>10</v>
      </c>
      <c r="H3885">
        <v>0</v>
      </c>
    </row>
    <row r="3886" spans="1:8" x14ac:dyDescent="0.35">
      <c r="A3886">
        <v>13294</v>
      </c>
      <c r="B3886" t="s">
        <v>11</v>
      </c>
      <c r="C3886">
        <v>4</v>
      </c>
      <c r="D3886">
        <v>148</v>
      </c>
      <c r="E3886" t="s">
        <v>8</v>
      </c>
      <c r="F3886" t="s">
        <v>13</v>
      </c>
      <c r="G3886" t="s">
        <v>10</v>
      </c>
      <c r="H3886">
        <v>0</v>
      </c>
    </row>
    <row r="3887" spans="1:8" x14ac:dyDescent="0.35">
      <c r="A3887">
        <v>11078</v>
      </c>
      <c r="B3887" t="s">
        <v>7</v>
      </c>
      <c r="C3887">
        <v>11</v>
      </c>
      <c r="D3887">
        <v>130</v>
      </c>
      <c r="E3887" t="s">
        <v>8</v>
      </c>
      <c r="F3887" t="s">
        <v>13</v>
      </c>
      <c r="G3887" t="s">
        <v>10</v>
      </c>
      <c r="H3887">
        <v>0</v>
      </c>
    </row>
    <row r="3888" spans="1:8" x14ac:dyDescent="0.35">
      <c r="A3888">
        <v>15139</v>
      </c>
      <c r="B3888" t="s">
        <v>11</v>
      </c>
      <c r="C3888">
        <v>11</v>
      </c>
      <c r="D3888">
        <v>186</v>
      </c>
      <c r="E3888" t="s">
        <v>8</v>
      </c>
      <c r="F3888" t="s">
        <v>9</v>
      </c>
      <c r="G3888" t="s">
        <v>16</v>
      </c>
      <c r="H3888">
        <v>0</v>
      </c>
    </row>
    <row r="3889" spans="1:8" x14ac:dyDescent="0.35">
      <c r="A3889">
        <v>11587</v>
      </c>
      <c r="B3889" t="s">
        <v>11</v>
      </c>
      <c r="C3889">
        <v>5</v>
      </c>
      <c r="D3889">
        <v>190</v>
      </c>
      <c r="E3889" t="s">
        <v>8</v>
      </c>
      <c r="F3889" t="s">
        <v>9</v>
      </c>
      <c r="G3889" t="s">
        <v>16</v>
      </c>
      <c r="H3889">
        <v>0</v>
      </c>
    </row>
    <row r="3890" spans="1:8" x14ac:dyDescent="0.35">
      <c r="A3890">
        <v>16996</v>
      </c>
      <c r="B3890" t="s">
        <v>7</v>
      </c>
      <c r="C3890">
        <v>6</v>
      </c>
      <c r="D3890">
        <v>256</v>
      </c>
      <c r="E3890" t="s">
        <v>8</v>
      </c>
      <c r="F3890" t="s">
        <v>13</v>
      </c>
      <c r="G3890" t="s">
        <v>10</v>
      </c>
      <c r="H3890">
        <v>0</v>
      </c>
    </row>
    <row r="3891" spans="1:8" x14ac:dyDescent="0.35">
      <c r="A3891">
        <v>18414</v>
      </c>
      <c r="B3891" t="s">
        <v>7</v>
      </c>
      <c r="C3891">
        <v>10</v>
      </c>
      <c r="D3891">
        <v>196</v>
      </c>
      <c r="E3891" t="s">
        <v>15</v>
      </c>
      <c r="F3891" t="s">
        <v>13</v>
      </c>
      <c r="G3891" t="s">
        <v>12</v>
      </c>
      <c r="H3891">
        <v>1</v>
      </c>
    </row>
    <row r="3892" spans="1:8" x14ac:dyDescent="0.35">
      <c r="A3892">
        <v>12583</v>
      </c>
      <c r="B3892" t="s">
        <v>11</v>
      </c>
      <c r="C3892">
        <v>3</v>
      </c>
      <c r="D3892">
        <v>61</v>
      </c>
      <c r="E3892" t="s">
        <v>8</v>
      </c>
      <c r="F3892" t="s">
        <v>9</v>
      </c>
      <c r="G3892" t="s">
        <v>14</v>
      </c>
      <c r="H3892">
        <v>0</v>
      </c>
    </row>
    <row r="3893" spans="1:8" x14ac:dyDescent="0.35">
      <c r="A3893">
        <v>19929</v>
      </c>
      <c r="B3893" t="s">
        <v>11</v>
      </c>
      <c r="C3893">
        <v>2</v>
      </c>
      <c r="D3893">
        <v>164</v>
      </c>
      <c r="E3893" t="s">
        <v>8</v>
      </c>
      <c r="F3893" t="s">
        <v>13</v>
      </c>
      <c r="G3893" t="s">
        <v>16</v>
      </c>
      <c r="H3893">
        <v>0</v>
      </c>
    </row>
    <row r="3894" spans="1:8" x14ac:dyDescent="0.35">
      <c r="A3894">
        <v>19948</v>
      </c>
      <c r="B3894" t="s">
        <v>7</v>
      </c>
      <c r="C3894">
        <v>12</v>
      </c>
      <c r="D3894">
        <v>423</v>
      </c>
      <c r="E3894" t="s">
        <v>8</v>
      </c>
      <c r="F3894" t="s">
        <v>9</v>
      </c>
      <c r="G3894" t="s">
        <v>16</v>
      </c>
      <c r="H3894">
        <v>0</v>
      </c>
    </row>
    <row r="3895" spans="1:8" x14ac:dyDescent="0.35">
      <c r="A3895">
        <v>17481</v>
      </c>
      <c r="B3895" t="s">
        <v>7</v>
      </c>
      <c r="C3895">
        <v>7</v>
      </c>
      <c r="D3895">
        <v>90</v>
      </c>
      <c r="E3895" t="s">
        <v>8</v>
      </c>
      <c r="F3895" t="s">
        <v>9</v>
      </c>
      <c r="G3895" t="s">
        <v>16</v>
      </c>
      <c r="H3895">
        <v>0</v>
      </c>
    </row>
    <row r="3896" spans="1:8" x14ac:dyDescent="0.35">
      <c r="A3896">
        <v>19922</v>
      </c>
      <c r="B3896" t="s">
        <v>11</v>
      </c>
      <c r="C3896">
        <v>7</v>
      </c>
      <c r="D3896">
        <v>249</v>
      </c>
      <c r="E3896" t="s">
        <v>8</v>
      </c>
      <c r="F3896" t="s">
        <v>9</v>
      </c>
      <c r="G3896" t="s">
        <v>16</v>
      </c>
      <c r="H3896">
        <v>0</v>
      </c>
    </row>
    <row r="3897" spans="1:8" x14ac:dyDescent="0.35">
      <c r="A3897">
        <v>17687</v>
      </c>
      <c r="B3897" t="s">
        <v>11</v>
      </c>
      <c r="C3897">
        <v>9</v>
      </c>
      <c r="D3897">
        <v>155</v>
      </c>
      <c r="E3897" t="s">
        <v>8</v>
      </c>
      <c r="F3897" t="s">
        <v>13</v>
      </c>
      <c r="G3897" t="s">
        <v>12</v>
      </c>
      <c r="H3897">
        <v>0</v>
      </c>
    </row>
    <row r="3898" spans="1:8" x14ac:dyDescent="0.35">
      <c r="A3898">
        <v>17044</v>
      </c>
      <c r="B3898" t="s">
        <v>11</v>
      </c>
      <c r="C3898">
        <v>1</v>
      </c>
      <c r="D3898">
        <v>49</v>
      </c>
      <c r="E3898" t="s">
        <v>8</v>
      </c>
      <c r="F3898" t="s">
        <v>13</v>
      </c>
      <c r="G3898" t="s">
        <v>14</v>
      </c>
      <c r="H3898">
        <v>0</v>
      </c>
    </row>
    <row r="3899" spans="1:8" x14ac:dyDescent="0.35">
      <c r="A3899">
        <v>18283</v>
      </c>
      <c r="B3899" t="s">
        <v>7</v>
      </c>
      <c r="C3899">
        <v>8</v>
      </c>
      <c r="D3899">
        <v>143</v>
      </c>
      <c r="E3899" t="s">
        <v>15</v>
      </c>
      <c r="F3899" t="s">
        <v>9</v>
      </c>
      <c r="G3899" t="s">
        <v>10</v>
      </c>
      <c r="H3899">
        <v>1</v>
      </c>
    </row>
    <row r="3900" spans="1:8" x14ac:dyDescent="0.35">
      <c r="A3900">
        <v>11103</v>
      </c>
      <c r="B3900" t="s">
        <v>11</v>
      </c>
      <c r="C3900">
        <v>11</v>
      </c>
      <c r="D3900">
        <v>377</v>
      </c>
      <c r="E3900" t="s">
        <v>8</v>
      </c>
      <c r="F3900" t="s">
        <v>9</v>
      </c>
      <c r="G3900" t="s">
        <v>10</v>
      </c>
      <c r="H3900">
        <v>0</v>
      </c>
    </row>
    <row r="3901" spans="1:8" x14ac:dyDescent="0.35">
      <c r="A3901">
        <v>19639</v>
      </c>
      <c r="B3901" t="s">
        <v>7</v>
      </c>
      <c r="C3901">
        <v>6</v>
      </c>
      <c r="D3901">
        <v>156</v>
      </c>
      <c r="E3901" t="s">
        <v>8</v>
      </c>
      <c r="F3901" t="s">
        <v>9</v>
      </c>
      <c r="G3901" t="s">
        <v>10</v>
      </c>
      <c r="H3901">
        <v>0</v>
      </c>
    </row>
    <row r="3902" spans="1:8" x14ac:dyDescent="0.35">
      <c r="A3902">
        <v>18972</v>
      </c>
      <c r="B3902" t="s">
        <v>7</v>
      </c>
      <c r="C3902">
        <v>11</v>
      </c>
      <c r="D3902">
        <v>285</v>
      </c>
      <c r="E3902" t="s">
        <v>8</v>
      </c>
      <c r="F3902" t="s">
        <v>9</v>
      </c>
      <c r="G3902" t="s">
        <v>16</v>
      </c>
      <c r="H3902">
        <v>0</v>
      </c>
    </row>
    <row r="3903" spans="1:8" x14ac:dyDescent="0.35">
      <c r="A3903">
        <v>14708</v>
      </c>
      <c r="B3903" t="s">
        <v>7</v>
      </c>
      <c r="C3903">
        <v>3</v>
      </c>
      <c r="D3903">
        <v>276</v>
      </c>
      <c r="E3903" t="s">
        <v>8</v>
      </c>
      <c r="F3903" t="s">
        <v>9</v>
      </c>
      <c r="G3903" t="s">
        <v>16</v>
      </c>
      <c r="H3903">
        <v>0</v>
      </c>
    </row>
    <row r="3904" spans="1:8" x14ac:dyDescent="0.35">
      <c r="A3904">
        <v>12212</v>
      </c>
      <c r="B3904" t="s">
        <v>11</v>
      </c>
      <c r="C3904">
        <v>2</v>
      </c>
      <c r="D3904">
        <v>188</v>
      </c>
      <c r="E3904" t="s">
        <v>8</v>
      </c>
      <c r="F3904" t="s">
        <v>13</v>
      </c>
      <c r="G3904" t="s">
        <v>14</v>
      </c>
      <c r="H3904">
        <v>0</v>
      </c>
    </row>
    <row r="3905" spans="1:8" x14ac:dyDescent="0.35">
      <c r="A3905">
        <v>11940</v>
      </c>
      <c r="B3905" t="s">
        <v>7</v>
      </c>
      <c r="C3905">
        <v>6</v>
      </c>
      <c r="D3905">
        <v>137</v>
      </c>
      <c r="E3905" t="s">
        <v>8</v>
      </c>
      <c r="F3905" t="s">
        <v>9</v>
      </c>
      <c r="G3905" t="s">
        <v>12</v>
      </c>
      <c r="H3905">
        <v>0</v>
      </c>
    </row>
    <row r="3906" spans="1:8" x14ac:dyDescent="0.35">
      <c r="A3906">
        <v>14270</v>
      </c>
      <c r="B3906" t="s">
        <v>7</v>
      </c>
      <c r="C3906">
        <v>8</v>
      </c>
      <c r="D3906">
        <v>169</v>
      </c>
      <c r="E3906" t="s">
        <v>8</v>
      </c>
      <c r="F3906" t="s">
        <v>13</v>
      </c>
      <c r="G3906" t="s">
        <v>12</v>
      </c>
      <c r="H3906">
        <v>0</v>
      </c>
    </row>
    <row r="3907" spans="1:8" x14ac:dyDescent="0.35">
      <c r="A3907">
        <v>19258</v>
      </c>
      <c r="B3907" t="s">
        <v>7</v>
      </c>
      <c r="C3907">
        <v>3</v>
      </c>
      <c r="D3907">
        <v>254</v>
      </c>
      <c r="E3907" t="s">
        <v>8</v>
      </c>
      <c r="F3907" t="s">
        <v>9</v>
      </c>
      <c r="G3907" t="s">
        <v>12</v>
      </c>
      <c r="H3907">
        <v>0</v>
      </c>
    </row>
    <row r="3908" spans="1:8" x14ac:dyDescent="0.35">
      <c r="A3908">
        <v>13329</v>
      </c>
      <c r="B3908" t="s">
        <v>7</v>
      </c>
      <c r="C3908">
        <v>3</v>
      </c>
      <c r="D3908">
        <v>250</v>
      </c>
      <c r="E3908" t="s">
        <v>8</v>
      </c>
      <c r="F3908" t="s">
        <v>13</v>
      </c>
      <c r="G3908" t="s">
        <v>16</v>
      </c>
      <c r="H3908">
        <v>0</v>
      </c>
    </row>
    <row r="3909" spans="1:8" x14ac:dyDescent="0.35">
      <c r="A3909">
        <v>12055</v>
      </c>
      <c r="B3909" t="s">
        <v>11</v>
      </c>
      <c r="C3909">
        <v>4</v>
      </c>
      <c r="D3909">
        <v>170</v>
      </c>
      <c r="E3909" t="s">
        <v>8</v>
      </c>
      <c r="F3909" t="s">
        <v>13</v>
      </c>
      <c r="G3909" t="s">
        <v>14</v>
      </c>
      <c r="H3909">
        <v>0</v>
      </c>
    </row>
    <row r="3910" spans="1:8" x14ac:dyDescent="0.35">
      <c r="A3910">
        <v>13500</v>
      </c>
      <c r="B3910" t="s">
        <v>11</v>
      </c>
      <c r="C3910">
        <v>5</v>
      </c>
      <c r="D3910">
        <v>322</v>
      </c>
      <c r="E3910" t="s">
        <v>8</v>
      </c>
      <c r="F3910" t="s">
        <v>13</v>
      </c>
      <c r="G3910" t="s">
        <v>16</v>
      </c>
      <c r="H3910">
        <v>0</v>
      </c>
    </row>
    <row r="3911" spans="1:8" x14ac:dyDescent="0.35">
      <c r="A3911">
        <v>16878</v>
      </c>
      <c r="B3911" t="s">
        <v>7</v>
      </c>
      <c r="C3911">
        <v>2</v>
      </c>
      <c r="D3911">
        <v>95</v>
      </c>
      <c r="E3911" t="s">
        <v>8</v>
      </c>
      <c r="F3911" t="s">
        <v>9</v>
      </c>
      <c r="G3911" t="s">
        <v>10</v>
      </c>
      <c r="H3911">
        <v>0</v>
      </c>
    </row>
    <row r="3912" spans="1:8" x14ac:dyDescent="0.35">
      <c r="A3912">
        <v>13146</v>
      </c>
      <c r="B3912" t="s">
        <v>11</v>
      </c>
      <c r="C3912">
        <v>13</v>
      </c>
      <c r="D3912">
        <v>163</v>
      </c>
      <c r="E3912" t="s">
        <v>8</v>
      </c>
      <c r="F3912" t="s">
        <v>13</v>
      </c>
      <c r="G3912" t="s">
        <v>10</v>
      </c>
      <c r="H3912">
        <v>0</v>
      </c>
    </row>
    <row r="3913" spans="1:8" x14ac:dyDescent="0.35">
      <c r="A3913">
        <v>15645</v>
      </c>
      <c r="B3913" t="s">
        <v>7</v>
      </c>
      <c r="C3913">
        <v>7</v>
      </c>
      <c r="D3913">
        <v>245</v>
      </c>
      <c r="E3913" t="s">
        <v>15</v>
      </c>
      <c r="F3913" t="s">
        <v>13</v>
      </c>
      <c r="G3913" t="s">
        <v>10</v>
      </c>
      <c r="H3913">
        <v>1</v>
      </c>
    </row>
    <row r="3914" spans="1:8" x14ac:dyDescent="0.35">
      <c r="A3914">
        <v>11526</v>
      </c>
      <c r="B3914" t="s">
        <v>11</v>
      </c>
      <c r="C3914">
        <v>1</v>
      </c>
      <c r="D3914">
        <v>87</v>
      </c>
      <c r="E3914" t="s">
        <v>8</v>
      </c>
      <c r="F3914" t="s">
        <v>9</v>
      </c>
      <c r="G3914" t="s">
        <v>12</v>
      </c>
      <c r="H3914">
        <v>0</v>
      </c>
    </row>
    <row r="3915" spans="1:8" x14ac:dyDescent="0.35">
      <c r="A3915">
        <v>15270</v>
      </c>
      <c r="B3915" t="s">
        <v>11</v>
      </c>
      <c r="C3915">
        <v>2</v>
      </c>
      <c r="D3915">
        <v>391</v>
      </c>
      <c r="E3915" t="s">
        <v>8</v>
      </c>
      <c r="F3915" t="s">
        <v>13</v>
      </c>
      <c r="G3915" t="s">
        <v>14</v>
      </c>
      <c r="H3915">
        <v>0</v>
      </c>
    </row>
    <row r="3916" spans="1:8" x14ac:dyDescent="0.35">
      <c r="A3916">
        <v>15843</v>
      </c>
      <c r="B3916" t="s">
        <v>11</v>
      </c>
      <c r="C3916">
        <v>12</v>
      </c>
      <c r="D3916">
        <v>348</v>
      </c>
      <c r="E3916" t="s">
        <v>8</v>
      </c>
      <c r="F3916" t="s">
        <v>9</v>
      </c>
      <c r="G3916" t="s">
        <v>12</v>
      </c>
      <c r="H3916">
        <v>0</v>
      </c>
    </row>
    <row r="3917" spans="1:8" x14ac:dyDescent="0.35">
      <c r="A3917">
        <v>12738</v>
      </c>
      <c r="B3917" t="s">
        <v>7</v>
      </c>
      <c r="C3917">
        <v>10</v>
      </c>
      <c r="D3917">
        <v>159</v>
      </c>
      <c r="E3917" t="s">
        <v>8</v>
      </c>
      <c r="F3917" t="s">
        <v>13</v>
      </c>
      <c r="G3917" t="s">
        <v>10</v>
      </c>
      <c r="H3917">
        <v>0</v>
      </c>
    </row>
    <row r="3918" spans="1:8" x14ac:dyDescent="0.35">
      <c r="A3918">
        <v>10587</v>
      </c>
      <c r="B3918" t="s">
        <v>11</v>
      </c>
      <c r="C3918">
        <v>11</v>
      </c>
      <c r="D3918">
        <v>308</v>
      </c>
      <c r="E3918" t="s">
        <v>8</v>
      </c>
      <c r="F3918" t="s">
        <v>13</v>
      </c>
      <c r="G3918" t="s">
        <v>14</v>
      </c>
      <c r="H3918">
        <v>0</v>
      </c>
    </row>
    <row r="3919" spans="1:8" x14ac:dyDescent="0.35">
      <c r="A3919">
        <v>19804</v>
      </c>
      <c r="B3919" t="s">
        <v>11</v>
      </c>
      <c r="C3919">
        <v>2</v>
      </c>
      <c r="D3919">
        <v>61</v>
      </c>
      <c r="E3919" t="s">
        <v>8</v>
      </c>
      <c r="F3919" t="s">
        <v>9</v>
      </c>
      <c r="G3919" t="s">
        <v>10</v>
      </c>
      <c r="H3919">
        <v>0</v>
      </c>
    </row>
    <row r="3920" spans="1:8" x14ac:dyDescent="0.35">
      <c r="A3920">
        <v>19005</v>
      </c>
      <c r="B3920" t="s">
        <v>7</v>
      </c>
      <c r="C3920">
        <v>6</v>
      </c>
      <c r="D3920">
        <v>382</v>
      </c>
      <c r="E3920" t="s">
        <v>8</v>
      </c>
      <c r="F3920" t="s">
        <v>13</v>
      </c>
      <c r="G3920" t="s">
        <v>12</v>
      </c>
      <c r="H3920">
        <v>0</v>
      </c>
    </row>
    <row r="3921" spans="1:8" x14ac:dyDescent="0.35">
      <c r="A3921">
        <v>15667</v>
      </c>
      <c r="B3921" t="s">
        <v>11</v>
      </c>
      <c r="C3921">
        <v>5</v>
      </c>
      <c r="D3921">
        <v>446</v>
      </c>
      <c r="E3921" t="s">
        <v>8</v>
      </c>
      <c r="F3921" t="s">
        <v>13</v>
      </c>
      <c r="G3921" t="s">
        <v>14</v>
      </c>
      <c r="H3921">
        <v>0</v>
      </c>
    </row>
    <row r="3922" spans="1:8" x14ac:dyDescent="0.35">
      <c r="A3922">
        <v>16983</v>
      </c>
      <c r="B3922" t="s">
        <v>11</v>
      </c>
      <c r="C3922">
        <v>3</v>
      </c>
      <c r="D3922">
        <v>213</v>
      </c>
      <c r="E3922" t="s">
        <v>8</v>
      </c>
      <c r="F3922" t="s">
        <v>13</v>
      </c>
      <c r="G3922" t="s">
        <v>12</v>
      </c>
      <c r="H3922">
        <v>0</v>
      </c>
    </row>
    <row r="3923" spans="1:8" x14ac:dyDescent="0.35">
      <c r="A3923">
        <v>17621</v>
      </c>
      <c r="B3923" t="s">
        <v>11</v>
      </c>
      <c r="C3923">
        <v>14</v>
      </c>
      <c r="D3923">
        <v>186</v>
      </c>
      <c r="E3923" t="s">
        <v>8</v>
      </c>
      <c r="F3923" t="s">
        <v>13</v>
      </c>
      <c r="G3923" t="s">
        <v>10</v>
      </c>
      <c r="H3923">
        <v>0</v>
      </c>
    </row>
    <row r="3924" spans="1:8" x14ac:dyDescent="0.35">
      <c r="A3924">
        <v>10467</v>
      </c>
      <c r="B3924" t="s">
        <v>7</v>
      </c>
      <c r="C3924">
        <v>4</v>
      </c>
      <c r="D3924">
        <v>324</v>
      </c>
      <c r="E3924" t="s">
        <v>8</v>
      </c>
      <c r="F3924" t="s">
        <v>13</v>
      </c>
      <c r="G3924" t="s">
        <v>14</v>
      </c>
      <c r="H3924">
        <v>0</v>
      </c>
    </row>
    <row r="3925" spans="1:8" x14ac:dyDescent="0.35">
      <c r="A3925">
        <v>14116</v>
      </c>
      <c r="B3925" t="s">
        <v>7</v>
      </c>
      <c r="C3925">
        <v>9</v>
      </c>
      <c r="D3925">
        <v>140</v>
      </c>
      <c r="E3925" t="s">
        <v>8</v>
      </c>
      <c r="F3925" t="s">
        <v>13</v>
      </c>
      <c r="G3925" t="s">
        <v>12</v>
      </c>
      <c r="H3925">
        <v>0</v>
      </c>
    </row>
    <row r="3926" spans="1:8" x14ac:dyDescent="0.35">
      <c r="A3926">
        <v>12718</v>
      </c>
      <c r="B3926" t="s">
        <v>11</v>
      </c>
      <c r="C3926">
        <v>8</v>
      </c>
      <c r="D3926">
        <v>422</v>
      </c>
      <c r="E3926" t="s">
        <v>8</v>
      </c>
      <c r="F3926" t="s">
        <v>13</v>
      </c>
      <c r="G3926" t="s">
        <v>10</v>
      </c>
      <c r="H3926">
        <v>0</v>
      </c>
    </row>
    <row r="3927" spans="1:8" x14ac:dyDescent="0.35">
      <c r="A3927">
        <v>14516</v>
      </c>
      <c r="B3927" t="s">
        <v>7</v>
      </c>
      <c r="C3927">
        <v>3</v>
      </c>
      <c r="D3927">
        <v>136</v>
      </c>
      <c r="E3927" t="s">
        <v>8</v>
      </c>
      <c r="F3927" t="s">
        <v>9</v>
      </c>
      <c r="G3927" t="s">
        <v>16</v>
      </c>
      <c r="H3927">
        <v>0</v>
      </c>
    </row>
    <row r="3928" spans="1:8" x14ac:dyDescent="0.35">
      <c r="A3928">
        <v>17669</v>
      </c>
      <c r="B3928" t="s">
        <v>7</v>
      </c>
      <c r="C3928">
        <v>9</v>
      </c>
      <c r="D3928">
        <v>359</v>
      </c>
      <c r="E3928" t="s">
        <v>8</v>
      </c>
      <c r="F3928" t="s">
        <v>13</v>
      </c>
      <c r="G3928" t="s">
        <v>14</v>
      </c>
      <c r="H3928">
        <v>0</v>
      </c>
    </row>
    <row r="3929" spans="1:8" x14ac:dyDescent="0.35">
      <c r="A3929">
        <v>11574</v>
      </c>
      <c r="B3929" t="s">
        <v>7</v>
      </c>
      <c r="C3929">
        <v>14</v>
      </c>
      <c r="D3929">
        <v>49</v>
      </c>
      <c r="E3929" t="s">
        <v>8</v>
      </c>
      <c r="F3929" t="s">
        <v>13</v>
      </c>
      <c r="G3929" t="s">
        <v>14</v>
      </c>
      <c r="H3929">
        <v>0</v>
      </c>
    </row>
    <row r="3930" spans="1:8" x14ac:dyDescent="0.35">
      <c r="A3930">
        <v>11058</v>
      </c>
      <c r="B3930" t="s">
        <v>7</v>
      </c>
      <c r="C3930">
        <v>4</v>
      </c>
      <c r="D3930">
        <v>287</v>
      </c>
      <c r="E3930" t="s">
        <v>8</v>
      </c>
      <c r="F3930" t="s">
        <v>13</v>
      </c>
      <c r="G3930" t="s">
        <v>10</v>
      </c>
      <c r="H3930">
        <v>0</v>
      </c>
    </row>
    <row r="3931" spans="1:8" x14ac:dyDescent="0.35">
      <c r="A3931">
        <v>11026</v>
      </c>
      <c r="B3931" t="s">
        <v>7</v>
      </c>
      <c r="C3931">
        <v>14</v>
      </c>
      <c r="D3931">
        <v>449</v>
      </c>
      <c r="E3931" t="s">
        <v>15</v>
      </c>
      <c r="F3931" t="s">
        <v>9</v>
      </c>
      <c r="G3931" t="s">
        <v>14</v>
      </c>
      <c r="H3931">
        <v>1</v>
      </c>
    </row>
    <row r="3932" spans="1:8" x14ac:dyDescent="0.35">
      <c r="A3932">
        <v>14591</v>
      </c>
      <c r="B3932" t="s">
        <v>7</v>
      </c>
      <c r="C3932">
        <v>12</v>
      </c>
      <c r="D3932">
        <v>54</v>
      </c>
      <c r="E3932" t="s">
        <v>8</v>
      </c>
      <c r="F3932" t="s">
        <v>9</v>
      </c>
      <c r="G3932" t="s">
        <v>10</v>
      </c>
      <c r="H3932">
        <v>0</v>
      </c>
    </row>
    <row r="3933" spans="1:8" x14ac:dyDescent="0.35">
      <c r="A3933">
        <v>10782</v>
      </c>
      <c r="B3933" t="s">
        <v>11</v>
      </c>
      <c r="C3933">
        <v>9</v>
      </c>
      <c r="D3933">
        <v>327</v>
      </c>
      <c r="E3933" t="s">
        <v>8</v>
      </c>
      <c r="F3933" t="s">
        <v>9</v>
      </c>
      <c r="G3933" t="s">
        <v>16</v>
      </c>
      <c r="H3933">
        <v>0</v>
      </c>
    </row>
    <row r="3934" spans="1:8" x14ac:dyDescent="0.35">
      <c r="A3934">
        <v>16293</v>
      </c>
      <c r="B3934" t="s">
        <v>11</v>
      </c>
      <c r="C3934">
        <v>5</v>
      </c>
      <c r="D3934">
        <v>285</v>
      </c>
      <c r="E3934" t="s">
        <v>8</v>
      </c>
      <c r="F3934" t="s">
        <v>9</v>
      </c>
      <c r="G3934" t="s">
        <v>12</v>
      </c>
      <c r="H3934">
        <v>0</v>
      </c>
    </row>
    <row r="3935" spans="1:8" x14ac:dyDescent="0.35">
      <c r="A3935">
        <v>13409</v>
      </c>
      <c r="B3935" t="s">
        <v>11</v>
      </c>
      <c r="C3935">
        <v>7</v>
      </c>
      <c r="D3935">
        <v>147</v>
      </c>
      <c r="E3935" t="s">
        <v>8</v>
      </c>
      <c r="F3935" t="s">
        <v>13</v>
      </c>
      <c r="G3935" t="s">
        <v>12</v>
      </c>
      <c r="H3935">
        <v>0</v>
      </c>
    </row>
    <row r="3936" spans="1:8" x14ac:dyDescent="0.35">
      <c r="A3936">
        <v>15602</v>
      </c>
      <c r="B3936" t="s">
        <v>11</v>
      </c>
      <c r="C3936">
        <v>2</v>
      </c>
      <c r="D3936">
        <v>440</v>
      </c>
      <c r="E3936" t="s">
        <v>8</v>
      </c>
      <c r="F3936" t="s">
        <v>9</v>
      </c>
      <c r="G3936" t="s">
        <v>14</v>
      </c>
      <c r="H3936">
        <v>0</v>
      </c>
    </row>
    <row r="3937" spans="1:8" x14ac:dyDescent="0.35">
      <c r="A3937">
        <v>19618</v>
      </c>
      <c r="B3937" t="s">
        <v>11</v>
      </c>
      <c r="C3937">
        <v>14</v>
      </c>
      <c r="D3937">
        <v>70</v>
      </c>
      <c r="E3937" t="s">
        <v>8</v>
      </c>
      <c r="F3937" t="s">
        <v>9</v>
      </c>
      <c r="G3937" t="s">
        <v>16</v>
      </c>
      <c r="H3937">
        <v>0</v>
      </c>
    </row>
    <row r="3938" spans="1:8" x14ac:dyDescent="0.35">
      <c r="A3938">
        <v>17285</v>
      </c>
      <c r="B3938" t="s">
        <v>11</v>
      </c>
      <c r="C3938">
        <v>8</v>
      </c>
      <c r="D3938">
        <v>435</v>
      </c>
      <c r="E3938" t="s">
        <v>8</v>
      </c>
      <c r="F3938" t="s">
        <v>9</v>
      </c>
      <c r="G3938" t="s">
        <v>12</v>
      </c>
      <c r="H3938">
        <v>0</v>
      </c>
    </row>
    <row r="3939" spans="1:8" x14ac:dyDescent="0.35">
      <c r="A3939">
        <v>13061</v>
      </c>
      <c r="B3939" t="s">
        <v>7</v>
      </c>
      <c r="C3939">
        <v>8</v>
      </c>
      <c r="D3939">
        <v>408</v>
      </c>
      <c r="E3939" t="s">
        <v>8</v>
      </c>
      <c r="F3939" t="s">
        <v>9</v>
      </c>
      <c r="G3939" t="s">
        <v>12</v>
      </c>
      <c r="H3939">
        <v>0</v>
      </c>
    </row>
    <row r="3940" spans="1:8" x14ac:dyDescent="0.35">
      <c r="A3940">
        <v>13080</v>
      </c>
      <c r="B3940" t="s">
        <v>11</v>
      </c>
      <c r="C3940">
        <v>12</v>
      </c>
      <c r="D3940">
        <v>297</v>
      </c>
      <c r="E3940" t="s">
        <v>8</v>
      </c>
      <c r="F3940" t="s">
        <v>13</v>
      </c>
      <c r="G3940" t="s">
        <v>10</v>
      </c>
      <c r="H3940">
        <v>0</v>
      </c>
    </row>
    <row r="3941" spans="1:8" x14ac:dyDescent="0.35">
      <c r="A3941">
        <v>15015</v>
      </c>
      <c r="B3941" t="s">
        <v>11</v>
      </c>
      <c r="C3941">
        <v>1</v>
      </c>
      <c r="D3941">
        <v>325</v>
      </c>
      <c r="E3941" t="s">
        <v>8</v>
      </c>
      <c r="F3941" t="s">
        <v>9</v>
      </c>
      <c r="G3941" t="s">
        <v>10</v>
      </c>
      <c r="H3941">
        <v>0</v>
      </c>
    </row>
    <row r="3942" spans="1:8" x14ac:dyDescent="0.35">
      <c r="A3942">
        <v>15539</v>
      </c>
      <c r="B3942" t="s">
        <v>7</v>
      </c>
      <c r="C3942">
        <v>8</v>
      </c>
      <c r="D3942">
        <v>433</v>
      </c>
      <c r="E3942" t="s">
        <v>8</v>
      </c>
      <c r="F3942" t="s">
        <v>13</v>
      </c>
      <c r="G3942" t="s">
        <v>16</v>
      </c>
      <c r="H3942">
        <v>0</v>
      </c>
    </row>
    <row r="3943" spans="1:8" x14ac:dyDescent="0.35">
      <c r="A3943">
        <v>16171</v>
      </c>
      <c r="B3943" t="s">
        <v>11</v>
      </c>
      <c r="C3943">
        <v>8</v>
      </c>
      <c r="D3943">
        <v>191</v>
      </c>
      <c r="E3943" t="s">
        <v>8</v>
      </c>
      <c r="F3943" t="s">
        <v>9</v>
      </c>
      <c r="G3943" t="s">
        <v>10</v>
      </c>
      <c r="H3943">
        <v>0</v>
      </c>
    </row>
    <row r="3944" spans="1:8" x14ac:dyDescent="0.35">
      <c r="A3944">
        <v>12402</v>
      </c>
      <c r="B3944" t="s">
        <v>11</v>
      </c>
      <c r="C3944">
        <v>2</v>
      </c>
      <c r="D3944">
        <v>435</v>
      </c>
      <c r="E3944" t="s">
        <v>8</v>
      </c>
      <c r="F3944" t="s">
        <v>13</v>
      </c>
      <c r="G3944" t="s">
        <v>14</v>
      </c>
      <c r="H3944">
        <v>0</v>
      </c>
    </row>
    <row r="3945" spans="1:8" x14ac:dyDescent="0.35">
      <c r="A3945">
        <v>16085</v>
      </c>
      <c r="B3945" t="s">
        <v>11</v>
      </c>
      <c r="C3945">
        <v>8</v>
      </c>
      <c r="D3945">
        <v>298</v>
      </c>
      <c r="E3945" t="s">
        <v>8</v>
      </c>
      <c r="F3945" t="s">
        <v>13</v>
      </c>
      <c r="G3945" t="s">
        <v>14</v>
      </c>
      <c r="H3945">
        <v>0</v>
      </c>
    </row>
    <row r="3946" spans="1:8" x14ac:dyDescent="0.35">
      <c r="A3946">
        <v>19471</v>
      </c>
      <c r="B3946" t="s">
        <v>11</v>
      </c>
      <c r="C3946">
        <v>3</v>
      </c>
      <c r="D3946">
        <v>304</v>
      </c>
      <c r="E3946" t="s">
        <v>8</v>
      </c>
      <c r="F3946" t="s">
        <v>9</v>
      </c>
      <c r="G3946" t="s">
        <v>14</v>
      </c>
      <c r="H3946">
        <v>0</v>
      </c>
    </row>
    <row r="3947" spans="1:8" x14ac:dyDescent="0.35">
      <c r="A3947">
        <v>10633</v>
      </c>
      <c r="B3947" t="s">
        <v>11</v>
      </c>
      <c r="C3947">
        <v>1</v>
      </c>
      <c r="D3947">
        <v>50</v>
      </c>
      <c r="E3947" t="s">
        <v>8</v>
      </c>
      <c r="F3947" t="s">
        <v>9</v>
      </c>
      <c r="G3947" t="s">
        <v>12</v>
      </c>
      <c r="H3947">
        <v>0</v>
      </c>
    </row>
    <row r="3948" spans="1:8" x14ac:dyDescent="0.35">
      <c r="A3948">
        <v>11825</v>
      </c>
      <c r="B3948" t="s">
        <v>11</v>
      </c>
      <c r="C3948">
        <v>13</v>
      </c>
      <c r="D3948">
        <v>423</v>
      </c>
      <c r="E3948" t="s">
        <v>8</v>
      </c>
      <c r="F3948" t="s">
        <v>13</v>
      </c>
      <c r="G3948" t="s">
        <v>16</v>
      </c>
      <c r="H3948">
        <v>0</v>
      </c>
    </row>
    <row r="3949" spans="1:8" x14ac:dyDescent="0.35">
      <c r="A3949">
        <v>14974</v>
      </c>
      <c r="B3949" t="s">
        <v>11</v>
      </c>
      <c r="C3949">
        <v>13</v>
      </c>
      <c r="D3949">
        <v>292</v>
      </c>
      <c r="E3949" t="s">
        <v>8</v>
      </c>
      <c r="F3949" t="s">
        <v>9</v>
      </c>
      <c r="G3949" t="s">
        <v>10</v>
      </c>
      <c r="H3949">
        <v>0</v>
      </c>
    </row>
    <row r="3950" spans="1:8" x14ac:dyDescent="0.35">
      <c r="A3950">
        <v>10539</v>
      </c>
      <c r="B3950" t="s">
        <v>7</v>
      </c>
      <c r="C3950">
        <v>1</v>
      </c>
      <c r="D3950">
        <v>442</v>
      </c>
      <c r="E3950" t="s">
        <v>8</v>
      </c>
      <c r="F3950" t="s">
        <v>9</v>
      </c>
      <c r="G3950" t="s">
        <v>16</v>
      </c>
      <c r="H3950">
        <v>0</v>
      </c>
    </row>
    <row r="3951" spans="1:8" x14ac:dyDescent="0.35">
      <c r="A3951">
        <v>10451</v>
      </c>
      <c r="B3951" t="s">
        <v>11</v>
      </c>
      <c r="C3951">
        <v>4</v>
      </c>
      <c r="D3951">
        <v>261</v>
      </c>
      <c r="E3951" t="s">
        <v>8</v>
      </c>
      <c r="F3951" t="s">
        <v>9</v>
      </c>
      <c r="G3951" t="s">
        <v>14</v>
      </c>
      <c r="H3951">
        <v>0</v>
      </c>
    </row>
    <row r="3952" spans="1:8" x14ac:dyDescent="0.35">
      <c r="A3952">
        <v>10322</v>
      </c>
      <c r="B3952" t="s">
        <v>11</v>
      </c>
      <c r="C3952">
        <v>2</v>
      </c>
      <c r="D3952">
        <v>155</v>
      </c>
      <c r="E3952" t="s">
        <v>8</v>
      </c>
      <c r="F3952" t="s">
        <v>13</v>
      </c>
      <c r="G3952" t="s">
        <v>12</v>
      </c>
      <c r="H3952">
        <v>0</v>
      </c>
    </row>
    <row r="3953" spans="1:8" x14ac:dyDescent="0.35">
      <c r="A3953">
        <v>11544</v>
      </c>
      <c r="B3953" t="s">
        <v>7</v>
      </c>
      <c r="C3953">
        <v>10</v>
      </c>
      <c r="D3953">
        <v>417</v>
      </c>
      <c r="E3953" t="s">
        <v>8</v>
      </c>
      <c r="F3953" t="s">
        <v>13</v>
      </c>
      <c r="G3953" t="s">
        <v>12</v>
      </c>
      <c r="H3953">
        <v>0</v>
      </c>
    </row>
    <row r="3954" spans="1:8" x14ac:dyDescent="0.35">
      <c r="A3954">
        <v>13434</v>
      </c>
      <c r="B3954" t="s">
        <v>11</v>
      </c>
      <c r="C3954">
        <v>8</v>
      </c>
      <c r="D3954">
        <v>115</v>
      </c>
      <c r="E3954" t="s">
        <v>8</v>
      </c>
      <c r="F3954" t="s">
        <v>13</v>
      </c>
      <c r="G3954" t="s">
        <v>14</v>
      </c>
      <c r="H3954">
        <v>0</v>
      </c>
    </row>
    <row r="3955" spans="1:8" x14ac:dyDescent="0.35">
      <c r="A3955">
        <v>16291</v>
      </c>
      <c r="B3955" t="s">
        <v>11</v>
      </c>
      <c r="C3955">
        <v>8</v>
      </c>
      <c r="D3955">
        <v>304</v>
      </c>
      <c r="E3955" t="s">
        <v>8</v>
      </c>
      <c r="F3955" t="s">
        <v>13</v>
      </c>
      <c r="G3955" t="s">
        <v>14</v>
      </c>
      <c r="H3955">
        <v>0</v>
      </c>
    </row>
    <row r="3956" spans="1:8" x14ac:dyDescent="0.35">
      <c r="A3956">
        <v>11208</v>
      </c>
      <c r="B3956" t="s">
        <v>7</v>
      </c>
      <c r="C3956">
        <v>5</v>
      </c>
      <c r="D3956">
        <v>164</v>
      </c>
      <c r="E3956" t="s">
        <v>8</v>
      </c>
      <c r="F3956" t="s">
        <v>13</v>
      </c>
      <c r="G3956" t="s">
        <v>10</v>
      </c>
      <c r="H3956">
        <v>0</v>
      </c>
    </row>
    <row r="3957" spans="1:8" x14ac:dyDescent="0.35">
      <c r="A3957">
        <v>15024</v>
      </c>
      <c r="B3957" t="s">
        <v>7</v>
      </c>
      <c r="C3957">
        <v>10</v>
      </c>
      <c r="D3957">
        <v>318</v>
      </c>
      <c r="E3957" t="s">
        <v>15</v>
      </c>
      <c r="F3957" t="s">
        <v>13</v>
      </c>
      <c r="G3957" t="s">
        <v>12</v>
      </c>
      <c r="H3957">
        <v>1</v>
      </c>
    </row>
    <row r="3958" spans="1:8" x14ac:dyDescent="0.35">
      <c r="A3958">
        <v>17395</v>
      </c>
      <c r="B3958" t="s">
        <v>11</v>
      </c>
      <c r="C3958">
        <v>7</v>
      </c>
      <c r="D3958">
        <v>80</v>
      </c>
      <c r="E3958" t="s">
        <v>8</v>
      </c>
      <c r="F3958" t="s">
        <v>13</v>
      </c>
      <c r="G3958" t="s">
        <v>10</v>
      </c>
      <c r="H3958">
        <v>0</v>
      </c>
    </row>
    <row r="3959" spans="1:8" x14ac:dyDescent="0.35">
      <c r="A3959">
        <v>16829</v>
      </c>
      <c r="B3959" t="s">
        <v>11</v>
      </c>
      <c r="C3959">
        <v>12</v>
      </c>
      <c r="D3959">
        <v>273</v>
      </c>
      <c r="E3959" t="s">
        <v>8</v>
      </c>
      <c r="F3959" t="s">
        <v>13</v>
      </c>
      <c r="G3959" t="s">
        <v>14</v>
      </c>
      <c r="H3959">
        <v>0</v>
      </c>
    </row>
    <row r="3960" spans="1:8" x14ac:dyDescent="0.35">
      <c r="A3960">
        <v>15737</v>
      </c>
      <c r="B3960" t="s">
        <v>7</v>
      </c>
      <c r="C3960">
        <v>12</v>
      </c>
      <c r="D3960">
        <v>181</v>
      </c>
      <c r="E3960" t="s">
        <v>8</v>
      </c>
      <c r="F3960" t="s">
        <v>13</v>
      </c>
      <c r="G3960" t="s">
        <v>10</v>
      </c>
      <c r="H3960">
        <v>0</v>
      </c>
    </row>
    <row r="3961" spans="1:8" x14ac:dyDescent="0.35">
      <c r="A3961">
        <v>10101</v>
      </c>
      <c r="B3961" t="s">
        <v>7</v>
      </c>
      <c r="C3961">
        <v>1</v>
      </c>
      <c r="D3961">
        <v>139</v>
      </c>
      <c r="E3961" t="s">
        <v>8</v>
      </c>
      <c r="F3961" t="s">
        <v>13</v>
      </c>
      <c r="G3961" t="s">
        <v>14</v>
      </c>
      <c r="H3961">
        <v>0</v>
      </c>
    </row>
    <row r="3962" spans="1:8" x14ac:dyDescent="0.35">
      <c r="A3962">
        <v>10738</v>
      </c>
      <c r="B3962" t="s">
        <v>11</v>
      </c>
      <c r="C3962">
        <v>1</v>
      </c>
      <c r="D3962">
        <v>326</v>
      </c>
      <c r="E3962" t="s">
        <v>8</v>
      </c>
      <c r="F3962" t="s">
        <v>9</v>
      </c>
      <c r="G3962" t="s">
        <v>12</v>
      </c>
      <c r="H3962">
        <v>0</v>
      </c>
    </row>
    <row r="3963" spans="1:8" x14ac:dyDescent="0.35">
      <c r="A3963">
        <v>17433</v>
      </c>
      <c r="B3963" t="s">
        <v>11</v>
      </c>
      <c r="C3963">
        <v>2</v>
      </c>
      <c r="D3963">
        <v>379</v>
      </c>
      <c r="E3963" t="s">
        <v>8</v>
      </c>
      <c r="F3963" t="s">
        <v>9</v>
      </c>
      <c r="G3963" t="s">
        <v>14</v>
      </c>
      <c r="H3963">
        <v>0</v>
      </c>
    </row>
    <row r="3964" spans="1:8" x14ac:dyDescent="0.35">
      <c r="A3964">
        <v>11935</v>
      </c>
      <c r="B3964" t="s">
        <v>7</v>
      </c>
      <c r="C3964">
        <v>11</v>
      </c>
      <c r="D3964">
        <v>73</v>
      </c>
      <c r="E3964" t="s">
        <v>8</v>
      </c>
      <c r="F3964" t="s">
        <v>9</v>
      </c>
      <c r="G3964" t="s">
        <v>10</v>
      </c>
      <c r="H3964">
        <v>0</v>
      </c>
    </row>
    <row r="3965" spans="1:8" x14ac:dyDescent="0.35">
      <c r="A3965">
        <v>14887</v>
      </c>
      <c r="B3965" t="s">
        <v>11</v>
      </c>
      <c r="C3965">
        <v>4</v>
      </c>
      <c r="D3965">
        <v>82</v>
      </c>
      <c r="E3965" t="s">
        <v>8</v>
      </c>
      <c r="F3965" t="s">
        <v>13</v>
      </c>
      <c r="G3965" t="s">
        <v>14</v>
      </c>
      <c r="H3965">
        <v>0</v>
      </c>
    </row>
    <row r="3966" spans="1:8" x14ac:dyDescent="0.35">
      <c r="A3966">
        <v>17546</v>
      </c>
      <c r="B3966" t="s">
        <v>11</v>
      </c>
      <c r="C3966">
        <v>1</v>
      </c>
      <c r="D3966">
        <v>236</v>
      </c>
      <c r="E3966" t="s">
        <v>8</v>
      </c>
      <c r="F3966" t="s">
        <v>9</v>
      </c>
      <c r="G3966" t="s">
        <v>16</v>
      </c>
      <c r="H3966">
        <v>0</v>
      </c>
    </row>
    <row r="3967" spans="1:8" x14ac:dyDescent="0.35">
      <c r="A3967">
        <v>15140</v>
      </c>
      <c r="B3967" t="s">
        <v>7</v>
      </c>
      <c r="C3967">
        <v>8</v>
      </c>
      <c r="D3967">
        <v>420</v>
      </c>
      <c r="E3967" t="s">
        <v>15</v>
      </c>
      <c r="F3967" t="s">
        <v>13</v>
      </c>
      <c r="G3967" t="s">
        <v>16</v>
      </c>
      <c r="H3967">
        <v>1</v>
      </c>
    </row>
    <row r="3968" spans="1:8" x14ac:dyDescent="0.35">
      <c r="A3968">
        <v>12058</v>
      </c>
      <c r="B3968" t="s">
        <v>11</v>
      </c>
      <c r="C3968">
        <v>1</v>
      </c>
      <c r="D3968">
        <v>159</v>
      </c>
      <c r="E3968" t="s">
        <v>8</v>
      </c>
      <c r="F3968" t="s">
        <v>13</v>
      </c>
      <c r="G3968" t="s">
        <v>16</v>
      </c>
      <c r="H3968">
        <v>0</v>
      </c>
    </row>
    <row r="3969" spans="1:8" x14ac:dyDescent="0.35">
      <c r="A3969">
        <v>14804</v>
      </c>
      <c r="B3969" t="s">
        <v>7</v>
      </c>
      <c r="C3969">
        <v>2</v>
      </c>
      <c r="D3969">
        <v>276</v>
      </c>
      <c r="E3969" t="s">
        <v>8</v>
      </c>
      <c r="F3969" t="s">
        <v>9</v>
      </c>
      <c r="G3969" t="s">
        <v>14</v>
      </c>
      <c r="H3969">
        <v>0</v>
      </c>
    </row>
    <row r="3970" spans="1:8" x14ac:dyDescent="0.35">
      <c r="A3970">
        <v>12959</v>
      </c>
      <c r="B3970" t="s">
        <v>11</v>
      </c>
      <c r="C3970">
        <v>11</v>
      </c>
      <c r="D3970">
        <v>318</v>
      </c>
      <c r="E3970" t="s">
        <v>8</v>
      </c>
      <c r="F3970" t="s">
        <v>13</v>
      </c>
      <c r="G3970" t="s">
        <v>16</v>
      </c>
      <c r="H3970">
        <v>0</v>
      </c>
    </row>
    <row r="3971" spans="1:8" x14ac:dyDescent="0.35">
      <c r="A3971">
        <v>11324</v>
      </c>
      <c r="B3971" t="s">
        <v>11</v>
      </c>
      <c r="C3971">
        <v>7</v>
      </c>
      <c r="D3971">
        <v>406</v>
      </c>
      <c r="E3971" t="s">
        <v>8</v>
      </c>
      <c r="F3971" t="s">
        <v>9</v>
      </c>
      <c r="G3971" t="s">
        <v>12</v>
      </c>
      <c r="H3971">
        <v>0</v>
      </c>
    </row>
    <row r="3972" spans="1:8" x14ac:dyDescent="0.35">
      <c r="A3972">
        <v>12128</v>
      </c>
      <c r="B3972" t="s">
        <v>7</v>
      </c>
      <c r="C3972">
        <v>8</v>
      </c>
      <c r="D3972">
        <v>105</v>
      </c>
      <c r="E3972" t="s">
        <v>8</v>
      </c>
      <c r="F3972" t="s">
        <v>13</v>
      </c>
      <c r="G3972" t="s">
        <v>12</v>
      </c>
      <c r="H3972">
        <v>0</v>
      </c>
    </row>
    <row r="3973" spans="1:8" x14ac:dyDescent="0.35">
      <c r="A3973">
        <v>19249</v>
      </c>
      <c r="B3973" t="s">
        <v>7</v>
      </c>
      <c r="C3973">
        <v>4</v>
      </c>
      <c r="D3973">
        <v>268</v>
      </c>
      <c r="E3973" t="s">
        <v>8</v>
      </c>
      <c r="F3973" t="s">
        <v>13</v>
      </c>
      <c r="G3973" t="s">
        <v>14</v>
      </c>
      <c r="H3973">
        <v>0</v>
      </c>
    </row>
    <row r="3974" spans="1:8" x14ac:dyDescent="0.35">
      <c r="A3974">
        <v>17164</v>
      </c>
      <c r="B3974" t="s">
        <v>11</v>
      </c>
      <c r="C3974">
        <v>14</v>
      </c>
      <c r="D3974">
        <v>57</v>
      </c>
      <c r="E3974" t="s">
        <v>8</v>
      </c>
      <c r="F3974" t="s">
        <v>13</v>
      </c>
      <c r="G3974" t="s">
        <v>14</v>
      </c>
      <c r="H3974">
        <v>0</v>
      </c>
    </row>
    <row r="3975" spans="1:8" x14ac:dyDescent="0.35">
      <c r="A3975">
        <v>17377</v>
      </c>
      <c r="B3975" t="s">
        <v>11</v>
      </c>
      <c r="C3975">
        <v>11</v>
      </c>
      <c r="D3975">
        <v>222</v>
      </c>
      <c r="E3975" t="s">
        <v>8</v>
      </c>
      <c r="F3975" t="s">
        <v>9</v>
      </c>
      <c r="G3975" t="s">
        <v>10</v>
      </c>
      <c r="H3975">
        <v>0</v>
      </c>
    </row>
    <row r="3976" spans="1:8" x14ac:dyDescent="0.35">
      <c r="A3976">
        <v>15460</v>
      </c>
      <c r="B3976" t="s">
        <v>7</v>
      </c>
      <c r="C3976">
        <v>3</v>
      </c>
      <c r="D3976">
        <v>79</v>
      </c>
      <c r="E3976" t="s">
        <v>8</v>
      </c>
      <c r="F3976" t="s">
        <v>13</v>
      </c>
      <c r="G3976" t="s">
        <v>12</v>
      </c>
      <c r="H3976">
        <v>0</v>
      </c>
    </row>
    <row r="3977" spans="1:8" x14ac:dyDescent="0.35">
      <c r="A3977">
        <v>14819</v>
      </c>
      <c r="B3977" t="s">
        <v>11</v>
      </c>
      <c r="C3977">
        <v>12</v>
      </c>
      <c r="D3977">
        <v>148</v>
      </c>
      <c r="E3977" t="s">
        <v>8</v>
      </c>
      <c r="F3977" t="s">
        <v>9</v>
      </c>
      <c r="G3977" t="s">
        <v>12</v>
      </c>
      <c r="H3977">
        <v>0</v>
      </c>
    </row>
    <row r="3978" spans="1:8" x14ac:dyDescent="0.35">
      <c r="A3978">
        <v>11665</v>
      </c>
      <c r="B3978" t="s">
        <v>7</v>
      </c>
      <c r="C3978">
        <v>10</v>
      </c>
      <c r="D3978">
        <v>368</v>
      </c>
      <c r="E3978" t="s">
        <v>8</v>
      </c>
      <c r="F3978" t="s">
        <v>13</v>
      </c>
      <c r="G3978" t="s">
        <v>16</v>
      </c>
      <c r="H3978">
        <v>0</v>
      </c>
    </row>
    <row r="3979" spans="1:8" x14ac:dyDescent="0.35">
      <c r="A3979">
        <v>18891</v>
      </c>
      <c r="B3979" t="s">
        <v>7</v>
      </c>
      <c r="C3979">
        <v>10</v>
      </c>
      <c r="D3979">
        <v>255</v>
      </c>
      <c r="E3979" t="s">
        <v>8</v>
      </c>
      <c r="F3979" t="s">
        <v>9</v>
      </c>
      <c r="G3979" t="s">
        <v>16</v>
      </c>
      <c r="H3979">
        <v>0</v>
      </c>
    </row>
    <row r="3980" spans="1:8" x14ac:dyDescent="0.35">
      <c r="A3980">
        <v>11672</v>
      </c>
      <c r="B3980" t="s">
        <v>7</v>
      </c>
      <c r="C3980">
        <v>14</v>
      </c>
      <c r="D3980">
        <v>334</v>
      </c>
      <c r="E3980" t="s">
        <v>8</v>
      </c>
      <c r="F3980" t="s">
        <v>9</v>
      </c>
      <c r="G3980" t="s">
        <v>12</v>
      </c>
      <c r="H3980">
        <v>0</v>
      </c>
    </row>
    <row r="3981" spans="1:8" x14ac:dyDescent="0.35">
      <c r="A3981">
        <v>15699</v>
      </c>
      <c r="B3981" t="s">
        <v>7</v>
      </c>
      <c r="C3981">
        <v>9</v>
      </c>
      <c r="D3981">
        <v>204</v>
      </c>
      <c r="E3981" t="s">
        <v>8</v>
      </c>
      <c r="F3981" t="s">
        <v>13</v>
      </c>
      <c r="G3981" t="s">
        <v>12</v>
      </c>
      <c r="H3981">
        <v>0</v>
      </c>
    </row>
    <row r="3982" spans="1:8" x14ac:dyDescent="0.35">
      <c r="A3982">
        <v>17870</v>
      </c>
      <c r="B3982" t="s">
        <v>11</v>
      </c>
      <c r="C3982">
        <v>6</v>
      </c>
      <c r="D3982">
        <v>128</v>
      </c>
      <c r="E3982" t="s">
        <v>8</v>
      </c>
      <c r="F3982" t="s">
        <v>9</v>
      </c>
      <c r="G3982" t="s">
        <v>12</v>
      </c>
      <c r="H3982">
        <v>0</v>
      </c>
    </row>
    <row r="3983" spans="1:8" x14ac:dyDescent="0.35">
      <c r="A3983">
        <v>10358</v>
      </c>
      <c r="B3983" t="s">
        <v>7</v>
      </c>
      <c r="C3983">
        <v>7</v>
      </c>
      <c r="D3983">
        <v>234</v>
      </c>
      <c r="E3983" t="s">
        <v>8</v>
      </c>
      <c r="F3983" t="s">
        <v>9</v>
      </c>
      <c r="G3983" t="s">
        <v>14</v>
      </c>
      <c r="H3983">
        <v>0</v>
      </c>
    </row>
    <row r="3984" spans="1:8" x14ac:dyDescent="0.35">
      <c r="A3984">
        <v>12596</v>
      </c>
      <c r="B3984" t="s">
        <v>7</v>
      </c>
      <c r="C3984">
        <v>9</v>
      </c>
      <c r="D3984">
        <v>73</v>
      </c>
      <c r="E3984" t="s">
        <v>8</v>
      </c>
      <c r="F3984" t="s">
        <v>9</v>
      </c>
      <c r="G3984" t="s">
        <v>16</v>
      </c>
      <c r="H3984">
        <v>0</v>
      </c>
    </row>
    <row r="3985" spans="1:8" x14ac:dyDescent="0.35">
      <c r="A3985">
        <v>12363</v>
      </c>
      <c r="B3985" t="s">
        <v>7</v>
      </c>
      <c r="C3985">
        <v>1</v>
      </c>
      <c r="D3985">
        <v>292</v>
      </c>
      <c r="E3985" t="s">
        <v>8</v>
      </c>
      <c r="F3985" t="s">
        <v>9</v>
      </c>
      <c r="G3985" t="s">
        <v>10</v>
      </c>
      <c r="H3985">
        <v>0</v>
      </c>
    </row>
    <row r="3986" spans="1:8" x14ac:dyDescent="0.35">
      <c r="A3986">
        <v>12318</v>
      </c>
      <c r="B3986" t="s">
        <v>7</v>
      </c>
      <c r="C3986">
        <v>2</v>
      </c>
      <c r="D3986">
        <v>93</v>
      </c>
      <c r="E3986" t="s">
        <v>8</v>
      </c>
      <c r="F3986" t="s">
        <v>9</v>
      </c>
      <c r="G3986" t="s">
        <v>12</v>
      </c>
      <c r="H3986">
        <v>0</v>
      </c>
    </row>
    <row r="3987" spans="1:8" x14ac:dyDescent="0.35">
      <c r="A3987">
        <v>14338</v>
      </c>
      <c r="B3987" t="s">
        <v>7</v>
      </c>
      <c r="C3987">
        <v>12</v>
      </c>
      <c r="D3987">
        <v>176</v>
      </c>
      <c r="E3987" t="s">
        <v>8</v>
      </c>
      <c r="F3987" t="s">
        <v>9</v>
      </c>
      <c r="G3987" t="s">
        <v>14</v>
      </c>
      <c r="H3987">
        <v>0</v>
      </c>
    </row>
    <row r="3988" spans="1:8" x14ac:dyDescent="0.35">
      <c r="A3988">
        <v>18207</v>
      </c>
      <c r="B3988" t="s">
        <v>7</v>
      </c>
      <c r="C3988">
        <v>8</v>
      </c>
      <c r="D3988">
        <v>68</v>
      </c>
      <c r="E3988" t="s">
        <v>8</v>
      </c>
      <c r="F3988" t="s">
        <v>13</v>
      </c>
      <c r="G3988" t="s">
        <v>16</v>
      </c>
      <c r="H3988">
        <v>0</v>
      </c>
    </row>
    <row r="3989" spans="1:8" x14ac:dyDescent="0.35">
      <c r="A3989">
        <v>10597</v>
      </c>
      <c r="B3989" t="s">
        <v>7</v>
      </c>
      <c r="C3989">
        <v>2</v>
      </c>
      <c r="D3989">
        <v>405</v>
      </c>
      <c r="E3989" t="s">
        <v>8</v>
      </c>
      <c r="F3989" t="s">
        <v>13</v>
      </c>
      <c r="G3989" t="s">
        <v>14</v>
      </c>
      <c r="H3989">
        <v>0</v>
      </c>
    </row>
    <row r="3990" spans="1:8" x14ac:dyDescent="0.35">
      <c r="A3990">
        <v>12651</v>
      </c>
      <c r="B3990" t="s">
        <v>7</v>
      </c>
      <c r="C3990">
        <v>10</v>
      </c>
      <c r="D3990">
        <v>194</v>
      </c>
      <c r="E3990" t="s">
        <v>8</v>
      </c>
      <c r="F3990" t="s">
        <v>9</v>
      </c>
      <c r="G3990" t="s">
        <v>16</v>
      </c>
      <c r="H3990">
        <v>0</v>
      </c>
    </row>
    <row r="3991" spans="1:8" x14ac:dyDescent="0.35">
      <c r="A3991">
        <v>12433</v>
      </c>
      <c r="B3991" t="s">
        <v>11</v>
      </c>
      <c r="C3991">
        <v>13</v>
      </c>
      <c r="D3991">
        <v>60</v>
      </c>
      <c r="E3991" t="s">
        <v>8</v>
      </c>
      <c r="F3991" t="s">
        <v>9</v>
      </c>
      <c r="G3991" t="s">
        <v>12</v>
      </c>
      <c r="H3991">
        <v>0</v>
      </c>
    </row>
    <row r="3992" spans="1:8" x14ac:dyDescent="0.35">
      <c r="A3992">
        <v>18099</v>
      </c>
      <c r="B3992" t="s">
        <v>11</v>
      </c>
      <c r="C3992">
        <v>14</v>
      </c>
      <c r="D3992">
        <v>388</v>
      </c>
      <c r="E3992" t="s">
        <v>8</v>
      </c>
      <c r="F3992" t="s">
        <v>9</v>
      </c>
      <c r="G3992" t="s">
        <v>12</v>
      </c>
      <c r="H3992">
        <v>0</v>
      </c>
    </row>
    <row r="3993" spans="1:8" x14ac:dyDescent="0.35">
      <c r="A3993">
        <v>16066</v>
      </c>
      <c r="B3993" t="s">
        <v>7</v>
      </c>
      <c r="C3993">
        <v>3</v>
      </c>
      <c r="D3993">
        <v>313</v>
      </c>
      <c r="E3993" t="s">
        <v>8</v>
      </c>
      <c r="F3993" t="s">
        <v>13</v>
      </c>
      <c r="G3993" t="s">
        <v>16</v>
      </c>
      <c r="H3993">
        <v>0</v>
      </c>
    </row>
    <row r="3994" spans="1:8" x14ac:dyDescent="0.35">
      <c r="A3994">
        <v>16131</v>
      </c>
      <c r="B3994" t="s">
        <v>7</v>
      </c>
      <c r="C3994">
        <v>6</v>
      </c>
      <c r="D3994">
        <v>353</v>
      </c>
      <c r="E3994" t="s">
        <v>15</v>
      </c>
      <c r="F3994" t="s">
        <v>13</v>
      </c>
      <c r="G3994" t="s">
        <v>12</v>
      </c>
      <c r="H3994">
        <v>1</v>
      </c>
    </row>
    <row r="3995" spans="1:8" x14ac:dyDescent="0.35">
      <c r="A3995">
        <v>11726</v>
      </c>
      <c r="B3995" t="s">
        <v>11</v>
      </c>
      <c r="C3995">
        <v>4</v>
      </c>
      <c r="D3995">
        <v>65</v>
      </c>
      <c r="E3995" t="s">
        <v>8</v>
      </c>
      <c r="F3995" t="s">
        <v>9</v>
      </c>
      <c r="G3995" t="s">
        <v>10</v>
      </c>
      <c r="H3995">
        <v>0</v>
      </c>
    </row>
    <row r="3996" spans="1:8" x14ac:dyDescent="0.35">
      <c r="A3996">
        <v>12778</v>
      </c>
      <c r="B3996" t="s">
        <v>11</v>
      </c>
      <c r="C3996">
        <v>6</v>
      </c>
      <c r="D3996">
        <v>146</v>
      </c>
      <c r="E3996" t="s">
        <v>8</v>
      </c>
      <c r="F3996" t="s">
        <v>9</v>
      </c>
      <c r="G3996" t="s">
        <v>10</v>
      </c>
      <c r="H3996">
        <v>0</v>
      </c>
    </row>
    <row r="3997" spans="1:8" x14ac:dyDescent="0.35">
      <c r="A3997">
        <v>12344</v>
      </c>
      <c r="B3997" t="s">
        <v>11</v>
      </c>
      <c r="C3997">
        <v>13</v>
      </c>
      <c r="D3997">
        <v>383</v>
      </c>
      <c r="E3997" t="s">
        <v>8</v>
      </c>
      <c r="F3997" t="s">
        <v>9</v>
      </c>
      <c r="G3997" t="s">
        <v>12</v>
      </c>
      <c r="H3997">
        <v>0</v>
      </c>
    </row>
    <row r="3998" spans="1:8" x14ac:dyDescent="0.35">
      <c r="A3998">
        <v>16528</v>
      </c>
      <c r="B3998" t="s">
        <v>7</v>
      </c>
      <c r="C3998">
        <v>11</v>
      </c>
      <c r="D3998">
        <v>182</v>
      </c>
      <c r="E3998" t="s">
        <v>8</v>
      </c>
      <c r="F3998" t="s">
        <v>13</v>
      </c>
      <c r="G3998" t="s">
        <v>12</v>
      </c>
      <c r="H3998">
        <v>0</v>
      </c>
    </row>
    <row r="3999" spans="1:8" x14ac:dyDescent="0.35">
      <c r="A3999">
        <v>16750</v>
      </c>
      <c r="B3999" t="s">
        <v>11</v>
      </c>
      <c r="C3999">
        <v>1</v>
      </c>
      <c r="D3999">
        <v>137</v>
      </c>
      <c r="E3999" t="s">
        <v>8</v>
      </c>
      <c r="F3999" t="s">
        <v>9</v>
      </c>
      <c r="G3999" t="s">
        <v>12</v>
      </c>
      <c r="H3999">
        <v>0</v>
      </c>
    </row>
    <row r="4000" spans="1:8" x14ac:dyDescent="0.35">
      <c r="A4000">
        <v>11757</v>
      </c>
      <c r="B4000" t="s">
        <v>11</v>
      </c>
      <c r="C4000">
        <v>6</v>
      </c>
      <c r="D4000">
        <v>116</v>
      </c>
      <c r="E4000" t="s">
        <v>8</v>
      </c>
      <c r="F4000" t="s">
        <v>13</v>
      </c>
      <c r="G4000" t="s">
        <v>10</v>
      </c>
      <c r="H4000">
        <v>0</v>
      </c>
    </row>
    <row r="4001" spans="1:8" x14ac:dyDescent="0.35">
      <c r="A4001">
        <v>16739</v>
      </c>
      <c r="B4001" t="s">
        <v>7</v>
      </c>
      <c r="C4001">
        <v>6</v>
      </c>
      <c r="D4001">
        <v>50</v>
      </c>
      <c r="E4001" t="s">
        <v>8</v>
      </c>
      <c r="F4001" t="s">
        <v>9</v>
      </c>
      <c r="G4001" t="s">
        <v>10</v>
      </c>
      <c r="H4001">
        <v>0</v>
      </c>
    </row>
    <row r="4002" spans="1:8" x14ac:dyDescent="0.35">
      <c r="A4002">
        <v>16137</v>
      </c>
      <c r="B4002" t="s">
        <v>7</v>
      </c>
      <c r="C4002">
        <v>9</v>
      </c>
      <c r="D4002">
        <v>68</v>
      </c>
      <c r="E4002" t="s">
        <v>8</v>
      </c>
      <c r="F4002" t="s">
        <v>13</v>
      </c>
      <c r="G4002" t="s">
        <v>16</v>
      </c>
      <c r="H4002">
        <v>0</v>
      </c>
    </row>
    <row r="4003" spans="1:8" x14ac:dyDescent="0.35">
      <c r="A4003">
        <v>12428</v>
      </c>
      <c r="B4003" t="s">
        <v>7</v>
      </c>
      <c r="C4003">
        <v>13</v>
      </c>
      <c r="D4003">
        <v>248</v>
      </c>
      <c r="E4003" t="s">
        <v>8</v>
      </c>
      <c r="F4003" t="s">
        <v>9</v>
      </c>
      <c r="G4003" t="s">
        <v>14</v>
      </c>
      <c r="H4003">
        <v>0</v>
      </c>
    </row>
    <row r="4004" spans="1:8" x14ac:dyDescent="0.35">
      <c r="A4004">
        <v>12486</v>
      </c>
      <c r="B4004" t="s">
        <v>11</v>
      </c>
      <c r="C4004">
        <v>6</v>
      </c>
      <c r="D4004">
        <v>140</v>
      </c>
      <c r="E4004" t="s">
        <v>8</v>
      </c>
      <c r="F4004" t="s">
        <v>9</v>
      </c>
      <c r="G4004" t="s">
        <v>14</v>
      </c>
      <c r="H4004">
        <v>0</v>
      </c>
    </row>
    <row r="4005" spans="1:8" x14ac:dyDescent="0.35">
      <c r="A4005">
        <v>11749</v>
      </c>
      <c r="B4005" t="s">
        <v>7</v>
      </c>
      <c r="C4005">
        <v>5</v>
      </c>
      <c r="D4005">
        <v>65</v>
      </c>
      <c r="E4005" t="s">
        <v>8</v>
      </c>
      <c r="F4005" t="s">
        <v>9</v>
      </c>
      <c r="G4005" t="s">
        <v>12</v>
      </c>
      <c r="H4005">
        <v>0</v>
      </c>
    </row>
    <row r="4006" spans="1:8" x14ac:dyDescent="0.35">
      <c r="A4006">
        <v>18756</v>
      </c>
      <c r="B4006" t="s">
        <v>7</v>
      </c>
      <c r="C4006">
        <v>2</v>
      </c>
      <c r="D4006">
        <v>120</v>
      </c>
      <c r="E4006" t="s">
        <v>15</v>
      </c>
      <c r="F4006" t="s">
        <v>9</v>
      </c>
      <c r="G4006" t="s">
        <v>16</v>
      </c>
      <c r="H4006">
        <v>1</v>
      </c>
    </row>
    <row r="4007" spans="1:8" x14ac:dyDescent="0.35">
      <c r="A4007">
        <v>10735</v>
      </c>
      <c r="B4007" t="s">
        <v>7</v>
      </c>
      <c r="C4007">
        <v>12</v>
      </c>
      <c r="D4007">
        <v>80</v>
      </c>
      <c r="E4007" t="s">
        <v>8</v>
      </c>
      <c r="F4007" t="s">
        <v>9</v>
      </c>
      <c r="G4007" t="s">
        <v>12</v>
      </c>
      <c r="H4007">
        <v>0</v>
      </c>
    </row>
    <row r="4008" spans="1:8" x14ac:dyDescent="0.35">
      <c r="A4008">
        <v>12076</v>
      </c>
      <c r="B4008" t="s">
        <v>7</v>
      </c>
      <c r="C4008">
        <v>14</v>
      </c>
      <c r="D4008">
        <v>112</v>
      </c>
      <c r="E4008" t="s">
        <v>8</v>
      </c>
      <c r="F4008" t="s">
        <v>13</v>
      </c>
      <c r="G4008" t="s">
        <v>12</v>
      </c>
      <c r="H4008">
        <v>0</v>
      </c>
    </row>
    <row r="4009" spans="1:8" x14ac:dyDescent="0.35">
      <c r="A4009">
        <v>14993</v>
      </c>
      <c r="B4009" t="s">
        <v>7</v>
      </c>
      <c r="C4009">
        <v>14</v>
      </c>
      <c r="D4009">
        <v>360</v>
      </c>
      <c r="E4009" t="s">
        <v>8</v>
      </c>
      <c r="F4009" t="s">
        <v>9</v>
      </c>
      <c r="G4009" t="s">
        <v>14</v>
      </c>
      <c r="H4009">
        <v>0</v>
      </c>
    </row>
    <row r="4010" spans="1:8" x14ac:dyDescent="0.35">
      <c r="A4010">
        <v>15800</v>
      </c>
      <c r="B4010" t="s">
        <v>11</v>
      </c>
      <c r="C4010">
        <v>12</v>
      </c>
      <c r="D4010">
        <v>154</v>
      </c>
      <c r="E4010" t="s">
        <v>8</v>
      </c>
      <c r="F4010" t="s">
        <v>9</v>
      </c>
      <c r="G4010" t="s">
        <v>16</v>
      </c>
      <c r="H4010">
        <v>0</v>
      </c>
    </row>
    <row r="4011" spans="1:8" x14ac:dyDescent="0.35">
      <c r="A4011">
        <v>14037</v>
      </c>
      <c r="B4011" t="s">
        <v>7</v>
      </c>
      <c r="C4011">
        <v>1</v>
      </c>
      <c r="D4011">
        <v>312</v>
      </c>
      <c r="E4011" t="s">
        <v>8</v>
      </c>
      <c r="F4011" t="s">
        <v>9</v>
      </c>
      <c r="G4011" t="s">
        <v>10</v>
      </c>
      <c r="H4011">
        <v>0</v>
      </c>
    </row>
    <row r="4012" spans="1:8" x14ac:dyDescent="0.35">
      <c r="A4012">
        <v>14596</v>
      </c>
      <c r="B4012" t="s">
        <v>7</v>
      </c>
      <c r="C4012">
        <v>3</v>
      </c>
      <c r="D4012">
        <v>392</v>
      </c>
      <c r="E4012" t="s">
        <v>8</v>
      </c>
      <c r="F4012" t="s">
        <v>9</v>
      </c>
      <c r="G4012" t="s">
        <v>16</v>
      </c>
      <c r="H4012">
        <v>0</v>
      </c>
    </row>
    <row r="4013" spans="1:8" x14ac:dyDescent="0.35">
      <c r="A4013">
        <v>14009</v>
      </c>
      <c r="B4013" t="s">
        <v>11</v>
      </c>
      <c r="C4013">
        <v>8</v>
      </c>
      <c r="D4013">
        <v>128</v>
      </c>
      <c r="E4013" t="s">
        <v>15</v>
      </c>
      <c r="F4013" t="s">
        <v>13</v>
      </c>
      <c r="G4013" t="s">
        <v>14</v>
      </c>
      <c r="H4013">
        <v>1</v>
      </c>
    </row>
    <row r="4014" spans="1:8" x14ac:dyDescent="0.35">
      <c r="A4014">
        <v>10624</v>
      </c>
      <c r="B4014" t="s">
        <v>7</v>
      </c>
      <c r="C4014">
        <v>8</v>
      </c>
      <c r="D4014">
        <v>151</v>
      </c>
      <c r="E4014" t="s">
        <v>8</v>
      </c>
      <c r="F4014" t="s">
        <v>13</v>
      </c>
      <c r="G4014" t="s">
        <v>14</v>
      </c>
      <c r="H4014">
        <v>0</v>
      </c>
    </row>
    <row r="4015" spans="1:8" x14ac:dyDescent="0.35">
      <c r="A4015">
        <v>15494</v>
      </c>
      <c r="B4015" t="s">
        <v>11</v>
      </c>
      <c r="C4015">
        <v>14</v>
      </c>
      <c r="D4015">
        <v>260</v>
      </c>
      <c r="E4015" t="s">
        <v>8</v>
      </c>
      <c r="F4015" t="s">
        <v>13</v>
      </c>
      <c r="G4015" t="s">
        <v>12</v>
      </c>
      <c r="H4015">
        <v>0</v>
      </c>
    </row>
    <row r="4016" spans="1:8" x14ac:dyDescent="0.35">
      <c r="A4016">
        <v>17900</v>
      </c>
      <c r="B4016" t="s">
        <v>7</v>
      </c>
      <c r="C4016">
        <v>10</v>
      </c>
      <c r="D4016">
        <v>321</v>
      </c>
      <c r="E4016" t="s">
        <v>15</v>
      </c>
      <c r="F4016" t="s">
        <v>9</v>
      </c>
      <c r="G4016" t="s">
        <v>14</v>
      </c>
      <c r="H4016">
        <v>1</v>
      </c>
    </row>
    <row r="4017" spans="1:8" x14ac:dyDescent="0.35">
      <c r="A4017">
        <v>18216</v>
      </c>
      <c r="B4017" t="s">
        <v>7</v>
      </c>
      <c r="C4017">
        <v>12</v>
      </c>
      <c r="D4017">
        <v>210</v>
      </c>
      <c r="E4017" t="s">
        <v>8</v>
      </c>
      <c r="F4017" t="s">
        <v>9</v>
      </c>
      <c r="G4017" t="s">
        <v>10</v>
      </c>
      <c r="H4017">
        <v>0</v>
      </c>
    </row>
    <row r="4018" spans="1:8" x14ac:dyDescent="0.35">
      <c r="A4018">
        <v>13376</v>
      </c>
      <c r="B4018" t="s">
        <v>7</v>
      </c>
      <c r="C4018">
        <v>11</v>
      </c>
      <c r="D4018">
        <v>136</v>
      </c>
      <c r="E4018" t="s">
        <v>8</v>
      </c>
      <c r="F4018" t="s">
        <v>9</v>
      </c>
      <c r="G4018" t="s">
        <v>12</v>
      </c>
      <c r="H4018">
        <v>0</v>
      </c>
    </row>
    <row r="4019" spans="1:8" x14ac:dyDescent="0.35">
      <c r="A4019">
        <v>10089</v>
      </c>
      <c r="B4019" t="s">
        <v>7</v>
      </c>
      <c r="C4019">
        <v>7</v>
      </c>
      <c r="D4019">
        <v>433</v>
      </c>
      <c r="E4019" t="s">
        <v>8</v>
      </c>
      <c r="F4019" t="s">
        <v>9</v>
      </c>
      <c r="G4019" t="s">
        <v>12</v>
      </c>
      <c r="H4019">
        <v>0</v>
      </c>
    </row>
    <row r="4020" spans="1:8" x14ac:dyDescent="0.35">
      <c r="A4020">
        <v>10975</v>
      </c>
      <c r="B4020" t="s">
        <v>7</v>
      </c>
      <c r="C4020">
        <v>2</v>
      </c>
      <c r="D4020">
        <v>105</v>
      </c>
      <c r="E4020" t="s">
        <v>8</v>
      </c>
      <c r="F4020" t="s">
        <v>13</v>
      </c>
      <c r="G4020" t="s">
        <v>16</v>
      </c>
      <c r="H4020">
        <v>0</v>
      </c>
    </row>
    <row r="4021" spans="1:8" x14ac:dyDescent="0.35">
      <c r="A4021">
        <v>11035</v>
      </c>
      <c r="B4021" t="s">
        <v>7</v>
      </c>
      <c r="C4021">
        <v>6</v>
      </c>
      <c r="D4021">
        <v>147</v>
      </c>
      <c r="E4021" t="s">
        <v>8</v>
      </c>
      <c r="F4021" t="s">
        <v>13</v>
      </c>
      <c r="G4021" t="s">
        <v>12</v>
      </c>
      <c r="H4021">
        <v>0</v>
      </c>
    </row>
    <row r="4022" spans="1:8" x14ac:dyDescent="0.35">
      <c r="A4022">
        <v>19326</v>
      </c>
      <c r="B4022" t="s">
        <v>7</v>
      </c>
      <c r="C4022">
        <v>11</v>
      </c>
      <c r="D4022">
        <v>54</v>
      </c>
      <c r="E4022" t="s">
        <v>8</v>
      </c>
      <c r="F4022" t="s">
        <v>9</v>
      </c>
      <c r="G4022" t="s">
        <v>14</v>
      </c>
      <c r="H4022">
        <v>0</v>
      </c>
    </row>
    <row r="4023" spans="1:8" x14ac:dyDescent="0.35">
      <c r="A4023">
        <v>19716</v>
      </c>
      <c r="B4023" t="s">
        <v>11</v>
      </c>
      <c r="C4023">
        <v>10</v>
      </c>
      <c r="D4023">
        <v>98</v>
      </c>
      <c r="E4023" t="s">
        <v>8</v>
      </c>
      <c r="F4023" t="s">
        <v>13</v>
      </c>
      <c r="G4023" t="s">
        <v>10</v>
      </c>
      <c r="H4023">
        <v>0</v>
      </c>
    </row>
    <row r="4024" spans="1:8" x14ac:dyDescent="0.35">
      <c r="A4024">
        <v>10609</v>
      </c>
      <c r="B4024" t="s">
        <v>11</v>
      </c>
      <c r="C4024">
        <v>1</v>
      </c>
      <c r="D4024">
        <v>255</v>
      </c>
      <c r="E4024" t="s">
        <v>8</v>
      </c>
      <c r="F4024" t="s">
        <v>9</v>
      </c>
      <c r="G4024" t="s">
        <v>12</v>
      </c>
      <c r="H4024">
        <v>0</v>
      </c>
    </row>
    <row r="4025" spans="1:8" x14ac:dyDescent="0.35">
      <c r="A4025">
        <v>15515</v>
      </c>
      <c r="B4025" t="s">
        <v>7</v>
      </c>
      <c r="C4025">
        <v>1</v>
      </c>
      <c r="D4025">
        <v>437</v>
      </c>
      <c r="E4025" t="s">
        <v>8</v>
      </c>
      <c r="F4025" t="s">
        <v>9</v>
      </c>
      <c r="G4025" t="s">
        <v>10</v>
      </c>
      <c r="H4025">
        <v>0</v>
      </c>
    </row>
    <row r="4026" spans="1:8" x14ac:dyDescent="0.35">
      <c r="A4026">
        <v>10717</v>
      </c>
      <c r="B4026" t="s">
        <v>7</v>
      </c>
      <c r="C4026">
        <v>10</v>
      </c>
      <c r="D4026">
        <v>394</v>
      </c>
      <c r="E4026" t="s">
        <v>8</v>
      </c>
      <c r="F4026" t="s">
        <v>13</v>
      </c>
      <c r="G4026" t="s">
        <v>12</v>
      </c>
      <c r="H4026">
        <v>0</v>
      </c>
    </row>
    <row r="4027" spans="1:8" x14ac:dyDescent="0.35">
      <c r="A4027">
        <v>10011</v>
      </c>
      <c r="B4027" t="s">
        <v>11</v>
      </c>
      <c r="C4027">
        <v>6</v>
      </c>
      <c r="D4027">
        <v>183</v>
      </c>
      <c r="E4027" t="s">
        <v>8</v>
      </c>
      <c r="F4027" t="s">
        <v>13</v>
      </c>
      <c r="G4027" t="s">
        <v>14</v>
      </c>
      <c r="H4027">
        <v>0</v>
      </c>
    </row>
    <row r="4028" spans="1:8" x14ac:dyDescent="0.35">
      <c r="A4028">
        <v>12496</v>
      </c>
      <c r="B4028" t="s">
        <v>7</v>
      </c>
      <c r="C4028">
        <v>12</v>
      </c>
      <c r="D4028">
        <v>311</v>
      </c>
      <c r="E4028" t="s">
        <v>8</v>
      </c>
      <c r="F4028" t="s">
        <v>13</v>
      </c>
      <c r="G4028" t="s">
        <v>10</v>
      </c>
      <c r="H4028">
        <v>0</v>
      </c>
    </row>
    <row r="4029" spans="1:8" x14ac:dyDescent="0.35">
      <c r="A4029">
        <v>18958</v>
      </c>
      <c r="B4029" t="s">
        <v>7</v>
      </c>
      <c r="C4029">
        <v>10</v>
      </c>
      <c r="D4029">
        <v>153</v>
      </c>
      <c r="E4029" t="s">
        <v>8</v>
      </c>
      <c r="F4029" t="s">
        <v>9</v>
      </c>
      <c r="G4029" t="s">
        <v>14</v>
      </c>
      <c r="H4029">
        <v>0</v>
      </c>
    </row>
    <row r="4030" spans="1:8" x14ac:dyDescent="0.35">
      <c r="A4030">
        <v>13875</v>
      </c>
      <c r="B4030" t="s">
        <v>7</v>
      </c>
      <c r="C4030">
        <v>1</v>
      </c>
      <c r="D4030">
        <v>59</v>
      </c>
      <c r="E4030" t="s">
        <v>15</v>
      </c>
      <c r="F4030" t="s">
        <v>9</v>
      </c>
      <c r="G4030" t="s">
        <v>12</v>
      </c>
      <c r="H4030">
        <v>1</v>
      </c>
    </row>
    <row r="4031" spans="1:8" x14ac:dyDescent="0.35">
      <c r="A4031">
        <v>13894</v>
      </c>
      <c r="B4031" t="s">
        <v>7</v>
      </c>
      <c r="C4031">
        <v>7</v>
      </c>
      <c r="D4031">
        <v>149</v>
      </c>
      <c r="E4031" t="s">
        <v>8</v>
      </c>
      <c r="F4031" t="s">
        <v>9</v>
      </c>
      <c r="G4031" t="s">
        <v>16</v>
      </c>
      <c r="H4031">
        <v>0</v>
      </c>
    </row>
    <row r="4032" spans="1:8" x14ac:dyDescent="0.35">
      <c r="A4032">
        <v>11294</v>
      </c>
      <c r="B4032" t="s">
        <v>7</v>
      </c>
      <c r="C4032">
        <v>2</v>
      </c>
      <c r="D4032">
        <v>404</v>
      </c>
      <c r="E4032" t="s">
        <v>8</v>
      </c>
      <c r="F4032" t="s">
        <v>9</v>
      </c>
      <c r="G4032" t="s">
        <v>16</v>
      </c>
      <c r="H4032">
        <v>0</v>
      </c>
    </row>
    <row r="4033" spans="1:8" x14ac:dyDescent="0.35">
      <c r="A4033">
        <v>12349</v>
      </c>
      <c r="B4033" t="s">
        <v>7</v>
      </c>
      <c r="C4033">
        <v>13</v>
      </c>
      <c r="D4033">
        <v>274</v>
      </c>
      <c r="E4033" t="s">
        <v>8</v>
      </c>
      <c r="F4033" t="s">
        <v>9</v>
      </c>
      <c r="G4033" t="s">
        <v>10</v>
      </c>
      <c r="H4033">
        <v>0</v>
      </c>
    </row>
    <row r="4034" spans="1:8" x14ac:dyDescent="0.35">
      <c r="A4034">
        <v>13966</v>
      </c>
      <c r="B4034" t="s">
        <v>11</v>
      </c>
      <c r="C4034">
        <v>10</v>
      </c>
      <c r="D4034">
        <v>332</v>
      </c>
      <c r="E4034" t="s">
        <v>8</v>
      </c>
      <c r="F4034" t="s">
        <v>9</v>
      </c>
      <c r="G4034" t="s">
        <v>10</v>
      </c>
      <c r="H4034">
        <v>0</v>
      </c>
    </row>
    <row r="4035" spans="1:8" x14ac:dyDescent="0.35">
      <c r="A4035">
        <v>12513</v>
      </c>
      <c r="B4035" t="s">
        <v>11</v>
      </c>
      <c r="C4035">
        <v>8</v>
      </c>
      <c r="D4035">
        <v>367</v>
      </c>
      <c r="E4035" t="s">
        <v>8</v>
      </c>
      <c r="F4035" t="s">
        <v>13</v>
      </c>
      <c r="G4035" t="s">
        <v>10</v>
      </c>
      <c r="H4035">
        <v>0</v>
      </c>
    </row>
    <row r="4036" spans="1:8" x14ac:dyDescent="0.35">
      <c r="A4036">
        <v>19890</v>
      </c>
      <c r="B4036" t="s">
        <v>7</v>
      </c>
      <c r="C4036">
        <v>9</v>
      </c>
      <c r="D4036">
        <v>77</v>
      </c>
      <c r="E4036" t="s">
        <v>8</v>
      </c>
      <c r="F4036" t="s">
        <v>13</v>
      </c>
      <c r="G4036" t="s">
        <v>10</v>
      </c>
      <c r="H4036">
        <v>0</v>
      </c>
    </row>
    <row r="4037" spans="1:8" x14ac:dyDescent="0.35">
      <c r="A4037">
        <v>14209</v>
      </c>
      <c r="B4037" t="s">
        <v>7</v>
      </c>
      <c r="C4037">
        <v>13</v>
      </c>
      <c r="D4037">
        <v>234</v>
      </c>
      <c r="E4037" t="s">
        <v>8</v>
      </c>
      <c r="F4037" t="s">
        <v>13</v>
      </c>
      <c r="G4037" t="s">
        <v>10</v>
      </c>
      <c r="H4037">
        <v>0</v>
      </c>
    </row>
    <row r="4038" spans="1:8" x14ac:dyDescent="0.35">
      <c r="A4038">
        <v>10826</v>
      </c>
      <c r="B4038" t="s">
        <v>7</v>
      </c>
      <c r="C4038">
        <v>4</v>
      </c>
      <c r="D4038">
        <v>220</v>
      </c>
      <c r="E4038" t="s">
        <v>8</v>
      </c>
      <c r="F4038" t="s">
        <v>9</v>
      </c>
      <c r="G4038" t="s">
        <v>12</v>
      </c>
      <c r="H4038">
        <v>0</v>
      </c>
    </row>
    <row r="4039" spans="1:8" x14ac:dyDescent="0.35">
      <c r="A4039">
        <v>12757</v>
      </c>
      <c r="B4039" t="s">
        <v>7</v>
      </c>
      <c r="C4039">
        <v>7</v>
      </c>
      <c r="D4039">
        <v>356</v>
      </c>
      <c r="E4039" t="s">
        <v>15</v>
      </c>
      <c r="F4039" t="s">
        <v>9</v>
      </c>
      <c r="G4039" t="s">
        <v>16</v>
      </c>
      <c r="H4039">
        <v>1</v>
      </c>
    </row>
    <row r="4040" spans="1:8" x14ac:dyDescent="0.35">
      <c r="A4040">
        <v>16324</v>
      </c>
      <c r="B4040" t="s">
        <v>7</v>
      </c>
      <c r="C4040">
        <v>3</v>
      </c>
      <c r="D4040">
        <v>94</v>
      </c>
      <c r="E4040" t="s">
        <v>8</v>
      </c>
      <c r="F4040" t="s">
        <v>13</v>
      </c>
      <c r="G4040" t="s">
        <v>14</v>
      </c>
      <c r="H4040">
        <v>0</v>
      </c>
    </row>
    <row r="4041" spans="1:8" x14ac:dyDescent="0.35">
      <c r="A4041">
        <v>18018</v>
      </c>
      <c r="B4041" t="s">
        <v>7</v>
      </c>
      <c r="C4041">
        <v>7</v>
      </c>
      <c r="D4041">
        <v>426</v>
      </c>
      <c r="E4041" t="s">
        <v>8</v>
      </c>
      <c r="F4041" t="s">
        <v>13</v>
      </c>
      <c r="G4041" t="s">
        <v>10</v>
      </c>
      <c r="H4041">
        <v>0</v>
      </c>
    </row>
    <row r="4042" spans="1:8" x14ac:dyDescent="0.35">
      <c r="A4042">
        <v>16044</v>
      </c>
      <c r="B4042" t="s">
        <v>7</v>
      </c>
      <c r="C4042">
        <v>12</v>
      </c>
      <c r="D4042">
        <v>427</v>
      </c>
      <c r="E4042" t="s">
        <v>8</v>
      </c>
      <c r="F4042" t="s">
        <v>13</v>
      </c>
      <c r="G4042" t="s">
        <v>14</v>
      </c>
      <c r="H4042">
        <v>0</v>
      </c>
    </row>
    <row r="4043" spans="1:8" x14ac:dyDescent="0.35">
      <c r="A4043">
        <v>17559</v>
      </c>
      <c r="B4043" t="s">
        <v>11</v>
      </c>
      <c r="C4043">
        <v>10</v>
      </c>
      <c r="D4043">
        <v>377</v>
      </c>
      <c r="E4043" t="s">
        <v>8</v>
      </c>
      <c r="F4043" t="s">
        <v>9</v>
      </c>
      <c r="G4043" t="s">
        <v>14</v>
      </c>
      <c r="H4043">
        <v>0</v>
      </c>
    </row>
    <row r="4044" spans="1:8" x14ac:dyDescent="0.35">
      <c r="A4044">
        <v>11162</v>
      </c>
      <c r="B4044" t="s">
        <v>11</v>
      </c>
      <c r="C4044">
        <v>11</v>
      </c>
      <c r="D4044">
        <v>387</v>
      </c>
      <c r="E4044" t="s">
        <v>8</v>
      </c>
      <c r="F4044" t="s">
        <v>9</v>
      </c>
      <c r="G4044" t="s">
        <v>14</v>
      </c>
      <c r="H4044">
        <v>0</v>
      </c>
    </row>
    <row r="4045" spans="1:8" x14ac:dyDescent="0.35">
      <c r="A4045">
        <v>18006</v>
      </c>
      <c r="B4045" t="s">
        <v>11</v>
      </c>
      <c r="C4045">
        <v>1</v>
      </c>
      <c r="D4045">
        <v>248</v>
      </c>
      <c r="E4045" t="s">
        <v>8</v>
      </c>
      <c r="F4045" t="s">
        <v>9</v>
      </c>
      <c r="G4045" t="s">
        <v>10</v>
      </c>
      <c r="H4045">
        <v>0</v>
      </c>
    </row>
    <row r="4046" spans="1:8" x14ac:dyDescent="0.35">
      <c r="A4046">
        <v>12630</v>
      </c>
      <c r="B4046" t="s">
        <v>7</v>
      </c>
      <c r="C4046">
        <v>11</v>
      </c>
      <c r="D4046">
        <v>349</v>
      </c>
      <c r="E4046" t="s">
        <v>8</v>
      </c>
      <c r="F4046" t="s">
        <v>13</v>
      </c>
      <c r="G4046" t="s">
        <v>16</v>
      </c>
      <c r="H4046">
        <v>0</v>
      </c>
    </row>
    <row r="4047" spans="1:8" x14ac:dyDescent="0.35">
      <c r="A4047">
        <v>15475</v>
      </c>
      <c r="B4047" t="s">
        <v>11</v>
      </c>
      <c r="C4047">
        <v>7</v>
      </c>
      <c r="D4047">
        <v>164</v>
      </c>
      <c r="E4047" t="s">
        <v>8</v>
      </c>
      <c r="F4047" t="s">
        <v>9</v>
      </c>
      <c r="G4047" t="s">
        <v>16</v>
      </c>
      <c r="H4047">
        <v>0</v>
      </c>
    </row>
    <row r="4048" spans="1:8" x14ac:dyDescent="0.35">
      <c r="A4048">
        <v>19463</v>
      </c>
      <c r="B4048" t="s">
        <v>7</v>
      </c>
      <c r="C4048">
        <v>10</v>
      </c>
      <c r="D4048">
        <v>331</v>
      </c>
      <c r="E4048" t="s">
        <v>8</v>
      </c>
      <c r="F4048" t="s">
        <v>9</v>
      </c>
      <c r="G4048" t="s">
        <v>14</v>
      </c>
      <c r="H4048">
        <v>0</v>
      </c>
    </row>
    <row r="4049" spans="1:8" x14ac:dyDescent="0.35">
      <c r="A4049">
        <v>18687</v>
      </c>
      <c r="B4049" t="s">
        <v>11</v>
      </c>
      <c r="C4049">
        <v>6</v>
      </c>
      <c r="D4049">
        <v>215</v>
      </c>
      <c r="E4049" t="s">
        <v>8</v>
      </c>
      <c r="F4049" t="s">
        <v>9</v>
      </c>
      <c r="G4049" t="s">
        <v>10</v>
      </c>
      <c r="H4049">
        <v>0</v>
      </c>
    </row>
    <row r="4050" spans="1:8" x14ac:dyDescent="0.35">
      <c r="A4050">
        <v>19377</v>
      </c>
      <c r="B4050" t="s">
        <v>11</v>
      </c>
      <c r="C4050">
        <v>12</v>
      </c>
      <c r="D4050">
        <v>158</v>
      </c>
      <c r="E4050" t="s">
        <v>8</v>
      </c>
      <c r="F4050" t="s">
        <v>9</v>
      </c>
      <c r="G4050" t="s">
        <v>14</v>
      </c>
      <c r="H4050">
        <v>0</v>
      </c>
    </row>
    <row r="4051" spans="1:8" x14ac:dyDescent="0.35">
      <c r="A4051">
        <v>11769</v>
      </c>
      <c r="B4051" t="s">
        <v>7</v>
      </c>
      <c r="C4051">
        <v>11</v>
      </c>
      <c r="D4051">
        <v>225</v>
      </c>
      <c r="E4051" t="s">
        <v>8</v>
      </c>
      <c r="F4051" t="s">
        <v>9</v>
      </c>
      <c r="G4051" t="s">
        <v>16</v>
      </c>
      <c r="H4051">
        <v>0</v>
      </c>
    </row>
    <row r="4052" spans="1:8" x14ac:dyDescent="0.35">
      <c r="A4052">
        <v>11044</v>
      </c>
      <c r="B4052" t="s">
        <v>11</v>
      </c>
      <c r="C4052">
        <v>1</v>
      </c>
      <c r="D4052">
        <v>431</v>
      </c>
      <c r="E4052" t="s">
        <v>8</v>
      </c>
      <c r="F4052" t="s">
        <v>9</v>
      </c>
      <c r="G4052" t="s">
        <v>16</v>
      </c>
      <c r="H4052">
        <v>0</v>
      </c>
    </row>
    <row r="4053" spans="1:8" x14ac:dyDescent="0.35">
      <c r="A4053">
        <v>11502</v>
      </c>
      <c r="B4053" t="s">
        <v>7</v>
      </c>
      <c r="C4053">
        <v>13</v>
      </c>
      <c r="D4053">
        <v>285</v>
      </c>
      <c r="E4053" t="s">
        <v>15</v>
      </c>
      <c r="F4053" t="s">
        <v>9</v>
      </c>
      <c r="G4053" t="s">
        <v>14</v>
      </c>
      <c r="H4053">
        <v>1</v>
      </c>
    </row>
    <row r="4054" spans="1:8" x14ac:dyDescent="0.35">
      <c r="A4054">
        <v>12673</v>
      </c>
      <c r="B4054" t="s">
        <v>11</v>
      </c>
      <c r="C4054">
        <v>2</v>
      </c>
      <c r="D4054">
        <v>121</v>
      </c>
      <c r="E4054" t="s">
        <v>8</v>
      </c>
      <c r="F4054" t="s">
        <v>13</v>
      </c>
      <c r="G4054" t="s">
        <v>12</v>
      </c>
      <c r="H4054">
        <v>0</v>
      </c>
    </row>
    <row r="4055" spans="1:8" x14ac:dyDescent="0.35">
      <c r="A4055">
        <v>19179</v>
      </c>
      <c r="B4055" t="s">
        <v>7</v>
      </c>
      <c r="C4055">
        <v>12</v>
      </c>
      <c r="D4055">
        <v>217</v>
      </c>
      <c r="E4055" t="s">
        <v>8</v>
      </c>
      <c r="F4055" t="s">
        <v>9</v>
      </c>
      <c r="G4055" t="s">
        <v>12</v>
      </c>
      <c r="H4055">
        <v>0</v>
      </c>
    </row>
    <row r="4056" spans="1:8" x14ac:dyDescent="0.35">
      <c r="A4056">
        <v>10552</v>
      </c>
      <c r="B4056" t="s">
        <v>7</v>
      </c>
      <c r="C4056">
        <v>8</v>
      </c>
      <c r="D4056">
        <v>148</v>
      </c>
      <c r="E4056" t="s">
        <v>8</v>
      </c>
      <c r="F4056" t="s">
        <v>13</v>
      </c>
      <c r="G4056" t="s">
        <v>16</v>
      </c>
      <c r="H4056">
        <v>0</v>
      </c>
    </row>
    <row r="4057" spans="1:8" x14ac:dyDescent="0.35">
      <c r="A4057">
        <v>14238</v>
      </c>
      <c r="B4057" t="s">
        <v>11</v>
      </c>
      <c r="C4057">
        <v>8</v>
      </c>
      <c r="D4057">
        <v>45</v>
      </c>
      <c r="E4057" t="s">
        <v>8</v>
      </c>
      <c r="F4057" t="s">
        <v>13</v>
      </c>
      <c r="G4057" t="s">
        <v>14</v>
      </c>
      <c r="H4057">
        <v>0</v>
      </c>
    </row>
    <row r="4058" spans="1:8" x14ac:dyDescent="0.35">
      <c r="A4058">
        <v>15609</v>
      </c>
      <c r="B4058" t="s">
        <v>11</v>
      </c>
      <c r="C4058">
        <v>6</v>
      </c>
      <c r="D4058">
        <v>393</v>
      </c>
      <c r="E4058" t="s">
        <v>8</v>
      </c>
      <c r="F4058" t="s">
        <v>9</v>
      </c>
      <c r="G4058" t="s">
        <v>12</v>
      </c>
      <c r="H4058">
        <v>0</v>
      </c>
    </row>
    <row r="4059" spans="1:8" x14ac:dyDescent="0.35">
      <c r="A4059">
        <v>19235</v>
      </c>
      <c r="B4059" t="s">
        <v>11</v>
      </c>
      <c r="C4059">
        <v>4</v>
      </c>
      <c r="D4059">
        <v>128</v>
      </c>
      <c r="E4059" t="s">
        <v>8</v>
      </c>
      <c r="F4059" t="s">
        <v>9</v>
      </c>
      <c r="G4059" t="s">
        <v>16</v>
      </c>
      <c r="H4059">
        <v>0</v>
      </c>
    </row>
    <row r="4060" spans="1:8" x14ac:dyDescent="0.35">
      <c r="A4060">
        <v>19701</v>
      </c>
      <c r="B4060" t="s">
        <v>11</v>
      </c>
      <c r="C4060">
        <v>5</v>
      </c>
      <c r="D4060">
        <v>128</v>
      </c>
      <c r="E4060" t="s">
        <v>8</v>
      </c>
      <c r="F4060" t="s">
        <v>9</v>
      </c>
      <c r="G4060" t="s">
        <v>12</v>
      </c>
      <c r="H4060">
        <v>0</v>
      </c>
    </row>
    <row r="4061" spans="1:8" x14ac:dyDescent="0.35">
      <c r="A4061">
        <v>15342</v>
      </c>
      <c r="B4061" t="s">
        <v>11</v>
      </c>
      <c r="C4061">
        <v>9</v>
      </c>
      <c r="D4061">
        <v>291</v>
      </c>
      <c r="E4061" t="s">
        <v>8</v>
      </c>
      <c r="F4061" t="s">
        <v>13</v>
      </c>
      <c r="G4061" t="s">
        <v>10</v>
      </c>
      <c r="H4061">
        <v>0</v>
      </c>
    </row>
    <row r="4062" spans="1:8" x14ac:dyDescent="0.35">
      <c r="A4062">
        <v>17504</v>
      </c>
      <c r="B4062" t="s">
        <v>11</v>
      </c>
      <c r="C4062">
        <v>10</v>
      </c>
      <c r="D4062">
        <v>429</v>
      </c>
      <c r="E4062" t="s">
        <v>8</v>
      </c>
      <c r="F4062" t="s">
        <v>9</v>
      </c>
      <c r="G4062" t="s">
        <v>12</v>
      </c>
      <c r="H4062">
        <v>0</v>
      </c>
    </row>
    <row r="4063" spans="1:8" x14ac:dyDescent="0.35">
      <c r="A4063">
        <v>12906</v>
      </c>
      <c r="B4063" t="s">
        <v>7</v>
      </c>
      <c r="C4063">
        <v>6</v>
      </c>
      <c r="D4063">
        <v>69</v>
      </c>
      <c r="E4063" t="s">
        <v>8</v>
      </c>
      <c r="F4063" t="s">
        <v>13</v>
      </c>
      <c r="G4063" t="s">
        <v>16</v>
      </c>
      <c r="H4063">
        <v>0</v>
      </c>
    </row>
    <row r="4064" spans="1:8" x14ac:dyDescent="0.35">
      <c r="A4064">
        <v>14815</v>
      </c>
      <c r="B4064" t="s">
        <v>7</v>
      </c>
      <c r="C4064">
        <v>6</v>
      </c>
      <c r="D4064">
        <v>232</v>
      </c>
      <c r="E4064" t="s">
        <v>15</v>
      </c>
      <c r="F4064" t="s">
        <v>9</v>
      </c>
      <c r="G4064" t="s">
        <v>10</v>
      </c>
      <c r="H4064">
        <v>1</v>
      </c>
    </row>
    <row r="4065" spans="1:8" x14ac:dyDescent="0.35">
      <c r="A4065">
        <v>14539</v>
      </c>
      <c r="B4065" t="s">
        <v>11</v>
      </c>
      <c r="C4065">
        <v>14</v>
      </c>
      <c r="D4065">
        <v>158</v>
      </c>
      <c r="E4065" t="s">
        <v>15</v>
      </c>
      <c r="F4065" t="s">
        <v>9</v>
      </c>
      <c r="G4065" t="s">
        <v>10</v>
      </c>
      <c r="H4065">
        <v>1</v>
      </c>
    </row>
    <row r="4066" spans="1:8" x14ac:dyDescent="0.35">
      <c r="A4066">
        <v>15083</v>
      </c>
      <c r="B4066" t="s">
        <v>11</v>
      </c>
      <c r="C4066">
        <v>4</v>
      </c>
      <c r="D4066">
        <v>226</v>
      </c>
      <c r="E4066" t="s">
        <v>8</v>
      </c>
      <c r="F4066" t="s">
        <v>9</v>
      </c>
      <c r="G4066" t="s">
        <v>10</v>
      </c>
      <c r="H4066">
        <v>0</v>
      </c>
    </row>
    <row r="4067" spans="1:8" x14ac:dyDescent="0.35">
      <c r="A4067">
        <v>16821</v>
      </c>
      <c r="B4067" t="s">
        <v>7</v>
      </c>
      <c r="C4067">
        <v>13</v>
      </c>
      <c r="D4067">
        <v>88</v>
      </c>
      <c r="E4067" t="s">
        <v>8</v>
      </c>
      <c r="F4067" t="s">
        <v>9</v>
      </c>
      <c r="G4067" t="s">
        <v>14</v>
      </c>
      <c r="H4067">
        <v>0</v>
      </c>
    </row>
    <row r="4068" spans="1:8" x14ac:dyDescent="0.35">
      <c r="A4068">
        <v>10464</v>
      </c>
      <c r="B4068" t="s">
        <v>7</v>
      </c>
      <c r="C4068">
        <v>12</v>
      </c>
      <c r="D4068">
        <v>341</v>
      </c>
      <c r="E4068" t="s">
        <v>8</v>
      </c>
      <c r="F4068" t="s">
        <v>9</v>
      </c>
      <c r="G4068" t="s">
        <v>12</v>
      </c>
      <c r="H4068">
        <v>0</v>
      </c>
    </row>
    <row r="4069" spans="1:8" x14ac:dyDescent="0.35">
      <c r="A4069">
        <v>10818</v>
      </c>
      <c r="B4069" t="s">
        <v>7</v>
      </c>
      <c r="C4069">
        <v>8</v>
      </c>
      <c r="D4069">
        <v>338</v>
      </c>
      <c r="E4069" t="s">
        <v>8</v>
      </c>
      <c r="F4069" t="s">
        <v>13</v>
      </c>
      <c r="G4069" t="s">
        <v>10</v>
      </c>
      <c r="H4069">
        <v>0</v>
      </c>
    </row>
    <row r="4070" spans="1:8" x14ac:dyDescent="0.35">
      <c r="A4070">
        <v>16737</v>
      </c>
      <c r="B4070" t="s">
        <v>7</v>
      </c>
      <c r="C4070">
        <v>2</v>
      </c>
      <c r="D4070">
        <v>423</v>
      </c>
      <c r="E4070" t="s">
        <v>8</v>
      </c>
      <c r="F4070" t="s">
        <v>9</v>
      </c>
      <c r="G4070" t="s">
        <v>12</v>
      </c>
      <c r="H4070">
        <v>0</v>
      </c>
    </row>
    <row r="4071" spans="1:8" x14ac:dyDescent="0.35">
      <c r="A4071">
        <v>18262</v>
      </c>
      <c r="B4071" t="s">
        <v>11</v>
      </c>
      <c r="C4071">
        <v>11</v>
      </c>
      <c r="D4071">
        <v>234</v>
      </c>
      <c r="E4071" t="s">
        <v>8</v>
      </c>
      <c r="F4071" t="s">
        <v>13</v>
      </c>
      <c r="G4071" t="s">
        <v>12</v>
      </c>
      <c r="H4071">
        <v>0</v>
      </c>
    </row>
    <row r="4072" spans="1:8" x14ac:dyDescent="0.35">
      <c r="A4072">
        <v>14400</v>
      </c>
      <c r="B4072" t="s">
        <v>11</v>
      </c>
      <c r="C4072">
        <v>1</v>
      </c>
      <c r="D4072">
        <v>178</v>
      </c>
      <c r="E4072" t="s">
        <v>8</v>
      </c>
      <c r="F4072" t="s">
        <v>9</v>
      </c>
      <c r="G4072" t="s">
        <v>14</v>
      </c>
      <c r="H4072">
        <v>0</v>
      </c>
    </row>
    <row r="4073" spans="1:8" x14ac:dyDescent="0.35">
      <c r="A4073">
        <v>17703</v>
      </c>
      <c r="B4073" t="s">
        <v>7</v>
      </c>
      <c r="C4073">
        <v>6</v>
      </c>
      <c r="D4073">
        <v>106</v>
      </c>
      <c r="E4073" t="s">
        <v>8</v>
      </c>
      <c r="F4073" t="s">
        <v>13</v>
      </c>
      <c r="G4073" t="s">
        <v>14</v>
      </c>
      <c r="H4073">
        <v>0</v>
      </c>
    </row>
    <row r="4074" spans="1:8" x14ac:dyDescent="0.35">
      <c r="A4074">
        <v>13267</v>
      </c>
      <c r="B4074" t="s">
        <v>7</v>
      </c>
      <c r="C4074">
        <v>7</v>
      </c>
      <c r="D4074">
        <v>42</v>
      </c>
      <c r="E4074" t="s">
        <v>8</v>
      </c>
      <c r="F4074" t="s">
        <v>9</v>
      </c>
      <c r="G4074" t="s">
        <v>16</v>
      </c>
      <c r="H4074">
        <v>0</v>
      </c>
    </row>
    <row r="4075" spans="1:8" x14ac:dyDescent="0.35">
      <c r="A4075">
        <v>11140</v>
      </c>
      <c r="B4075" t="s">
        <v>11</v>
      </c>
      <c r="C4075">
        <v>12</v>
      </c>
      <c r="D4075">
        <v>186</v>
      </c>
      <c r="E4075" t="s">
        <v>8</v>
      </c>
      <c r="F4075" t="s">
        <v>9</v>
      </c>
      <c r="G4075" t="s">
        <v>14</v>
      </c>
      <c r="H4075">
        <v>0</v>
      </c>
    </row>
    <row r="4076" spans="1:8" x14ac:dyDescent="0.35">
      <c r="A4076">
        <v>10282</v>
      </c>
      <c r="B4076" t="s">
        <v>7</v>
      </c>
      <c r="C4076">
        <v>7</v>
      </c>
      <c r="D4076">
        <v>300</v>
      </c>
      <c r="E4076" t="s">
        <v>8</v>
      </c>
      <c r="F4076" t="s">
        <v>13</v>
      </c>
      <c r="G4076" t="s">
        <v>10</v>
      </c>
      <c r="H4076">
        <v>0</v>
      </c>
    </row>
    <row r="4077" spans="1:8" x14ac:dyDescent="0.35">
      <c r="A4077">
        <v>13836</v>
      </c>
      <c r="B4077" t="s">
        <v>11</v>
      </c>
      <c r="C4077">
        <v>9</v>
      </c>
      <c r="D4077">
        <v>435</v>
      </c>
      <c r="E4077" t="s">
        <v>8</v>
      </c>
      <c r="F4077" t="s">
        <v>9</v>
      </c>
      <c r="G4077" t="s">
        <v>12</v>
      </c>
      <c r="H4077">
        <v>0</v>
      </c>
    </row>
    <row r="4078" spans="1:8" x14ac:dyDescent="0.35">
      <c r="A4078">
        <v>10153</v>
      </c>
      <c r="B4078" t="s">
        <v>11</v>
      </c>
      <c r="C4078">
        <v>14</v>
      </c>
      <c r="D4078">
        <v>256</v>
      </c>
      <c r="E4078" t="s">
        <v>8</v>
      </c>
      <c r="F4078" t="s">
        <v>13</v>
      </c>
      <c r="G4078" t="s">
        <v>16</v>
      </c>
      <c r="H4078">
        <v>0</v>
      </c>
    </row>
    <row r="4079" spans="1:8" x14ac:dyDescent="0.35">
      <c r="A4079">
        <v>12868</v>
      </c>
      <c r="B4079" t="s">
        <v>7</v>
      </c>
      <c r="C4079">
        <v>2</v>
      </c>
      <c r="D4079">
        <v>243</v>
      </c>
      <c r="E4079" t="s">
        <v>8</v>
      </c>
      <c r="F4079" t="s">
        <v>9</v>
      </c>
      <c r="G4079" t="s">
        <v>14</v>
      </c>
      <c r="H4079">
        <v>0</v>
      </c>
    </row>
    <row r="4080" spans="1:8" x14ac:dyDescent="0.35">
      <c r="A4080">
        <v>11714</v>
      </c>
      <c r="B4080" t="s">
        <v>11</v>
      </c>
      <c r="C4080">
        <v>2</v>
      </c>
      <c r="D4080">
        <v>61</v>
      </c>
      <c r="E4080" t="s">
        <v>8</v>
      </c>
      <c r="F4080" t="s">
        <v>9</v>
      </c>
      <c r="G4080" t="s">
        <v>12</v>
      </c>
      <c r="H4080">
        <v>0</v>
      </c>
    </row>
    <row r="4081" spans="1:8" x14ac:dyDescent="0.35">
      <c r="A4081">
        <v>15517</v>
      </c>
      <c r="B4081" t="s">
        <v>7</v>
      </c>
      <c r="C4081">
        <v>11</v>
      </c>
      <c r="D4081">
        <v>366</v>
      </c>
      <c r="E4081" t="s">
        <v>15</v>
      </c>
      <c r="F4081" t="s">
        <v>9</v>
      </c>
      <c r="G4081" t="s">
        <v>14</v>
      </c>
      <c r="H4081">
        <v>1</v>
      </c>
    </row>
    <row r="4082" spans="1:8" x14ac:dyDescent="0.35">
      <c r="A4082">
        <v>16026</v>
      </c>
      <c r="B4082" t="s">
        <v>11</v>
      </c>
      <c r="C4082">
        <v>10</v>
      </c>
      <c r="D4082">
        <v>254</v>
      </c>
      <c r="E4082" t="s">
        <v>8</v>
      </c>
      <c r="F4082" t="s">
        <v>9</v>
      </c>
      <c r="G4082" t="s">
        <v>12</v>
      </c>
      <c r="H4082">
        <v>0</v>
      </c>
    </row>
    <row r="4083" spans="1:8" x14ac:dyDescent="0.35">
      <c r="A4083">
        <v>10884</v>
      </c>
      <c r="B4083" t="s">
        <v>11</v>
      </c>
      <c r="C4083">
        <v>6</v>
      </c>
      <c r="D4083">
        <v>92</v>
      </c>
      <c r="E4083" t="s">
        <v>8</v>
      </c>
      <c r="F4083" t="s">
        <v>9</v>
      </c>
      <c r="G4083" t="s">
        <v>10</v>
      </c>
      <c r="H4083">
        <v>0</v>
      </c>
    </row>
    <row r="4084" spans="1:8" x14ac:dyDescent="0.35">
      <c r="A4084">
        <v>14728</v>
      </c>
      <c r="B4084" t="s">
        <v>7</v>
      </c>
      <c r="C4084">
        <v>8</v>
      </c>
      <c r="D4084">
        <v>367</v>
      </c>
      <c r="E4084" t="s">
        <v>8</v>
      </c>
      <c r="F4084" t="s">
        <v>13</v>
      </c>
      <c r="G4084" t="s">
        <v>10</v>
      </c>
      <c r="H4084">
        <v>0</v>
      </c>
    </row>
    <row r="4085" spans="1:8" x14ac:dyDescent="0.35">
      <c r="A4085">
        <v>12151</v>
      </c>
      <c r="B4085" t="s">
        <v>11</v>
      </c>
      <c r="C4085">
        <v>11</v>
      </c>
      <c r="D4085">
        <v>423</v>
      </c>
      <c r="E4085" t="s">
        <v>8</v>
      </c>
      <c r="F4085" t="s">
        <v>13</v>
      </c>
      <c r="G4085" t="s">
        <v>12</v>
      </c>
      <c r="H4085">
        <v>0</v>
      </c>
    </row>
    <row r="4086" spans="1:8" x14ac:dyDescent="0.35">
      <c r="A4086">
        <v>19210</v>
      </c>
      <c r="B4086" t="s">
        <v>11</v>
      </c>
      <c r="C4086">
        <v>6</v>
      </c>
      <c r="D4086">
        <v>190</v>
      </c>
      <c r="E4086" t="s">
        <v>8</v>
      </c>
      <c r="F4086" t="s">
        <v>9</v>
      </c>
      <c r="G4086" t="s">
        <v>16</v>
      </c>
      <c r="H4086">
        <v>0</v>
      </c>
    </row>
    <row r="4087" spans="1:8" x14ac:dyDescent="0.35">
      <c r="A4087">
        <v>15244</v>
      </c>
      <c r="B4087" t="s">
        <v>11</v>
      </c>
      <c r="C4087">
        <v>9</v>
      </c>
      <c r="D4087">
        <v>137</v>
      </c>
      <c r="E4087" t="s">
        <v>8</v>
      </c>
      <c r="F4087" t="s">
        <v>13</v>
      </c>
      <c r="G4087" t="s">
        <v>10</v>
      </c>
      <c r="H4087">
        <v>0</v>
      </c>
    </row>
    <row r="4088" spans="1:8" x14ac:dyDescent="0.35">
      <c r="A4088">
        <v>11998</v>
      </c>
      <c r="B4088" t="s">
        <v>11</v>
      </c>
      <c r="C4088">
        <v>10</v>
      </c>
      <c r="D4088">
        <v>138</v>
      </c>
      <c r="E4088" t="s">
        <v>8</v>
      </c>
      <c r="F4088" t="s">
        <v>9</v>
      </c>
      <c r="G4088" t="s">
        <v>12</v>
      </c>
      <c r="H4088">
        <v>0</v>
      </c>
    </row>
    <row r="4089" spans="1:8" x14ac:dyDescent="0.35">
      <c r="A4089">
        <v>10237</v>
      </c>
      <c r="B4089" t="s">
        <v>7</v>
      </c>
      <c r="C4089">
        <v>13</v>
      </c>
      <c r="D4089">
        <v>421</v>
      </c>
      <c r="E4089" t="s">
        <v>15</v>
      </c>
      <c r="F4089" t="s">
        <v>13</v>
      </c>
      <c r="G4089" t="s">
        <v>16</v>
      </c>
      <c r="H4089">
        <v>1</v>
      </c>
    </row>
    <row r="4090" spans="1:8" x14ac:dyDescent="0.35">
      <c r="A4090">
        <v>16130</v>
      </c>
      <c r="B4090" t="s">
        <v>11</v>
      </c>
      <c r="C4090">
        <v>7</v>
      </c>
      <c r="D4090">
        <v>327</v>
      </c>
      <c r="E4090" t="s">
        <v>8</v>
      </c>
      <c r="F4090" t="s">
        <v>13</v>
      </c>
      <c r="G4090" t="s">
        <v>16</v>
      </c>
      <c r="H4090">
        <v>0</v>
      </c>
    </row>
    <row r="4091" spans="1:8" x14ac:dyDescent="0.35">
      <c r="A4091">
        <v>18027</v>
      </c>
      <c r="B4091" t="s">
        <v>7</v>
      </c>
      <c r="C4091">
        <v>10</v>
      </c>
      <c r="D4091">
        <v>155</v>
      </c>
      <c r="E4091" t="s">
        <v>8</v>
      </c>
      <c r="F4091" t="s">
        <v>13</v>
      </c>
      <c r="G4091" t="s">
        <v>12</v>
      </c>
      <c r="H4091">
        <v>0</v>
      </c>
    </row>
    <row r="4092" spans="1:8" x14ac:dyDescent="0.35">
      <c r="A4092">
        <v>18567</v>
      </c>
      <c r="B4092" t="s">
        <v>7</v>
      </c>
      <c r="C4092">
        <v>11</v>
      </c>
      <c r="D4092">
        <v>163</v>
      </c>
      <c r="E4092" t="s">
        <v>8</v>
      </c>
      <c r="F4092" t="s">
        <v>13</v>
      </c>
      <c r="G4092" t="s">
        <v>12</v>
      </c>
      <c r="H4092">
        <v>0</v>
      </c>
    </row>
    <row r="4093" spans="1:8" x14ac:dyDescent="0.35">
      <c r="A4093">
        <v>18353</v>
      </c>
      <c r="B4093" t="s">
        <v>11</v>
      </c>
      <c r="C4093">
        <v>2</v>
      </c>
      <c r="D4093">
        <v>407</v>
      </c>
      <c r="E4093" t="s">
        <v>8</v>
      </c>
      <c r="F4093" t="s">
        <v>9</v>
      </c>
      <c r="G4093" t="s">
        <v>10</v>
      </c>
      <c r="H4093">
        <v>0</v>
      </c>
    </row>
    <row r="4094" spans="1:8" x14ac:dyDescent="0.35">
      <c r="A4094">
        <v>17922</v>
      </c>
      <c r="B4094" t="s">
        <v>11</v>
      </c>
      <c r="C4094">
        <v>1</v>
      </c>
      <c r="D4094">
        <v>121</v>
      </c>
      <c r="E4094" t="s">
        <v>8</v>
      </c>
      <c r="F4094" t="s">
        <v>13</v>
      </c>
      <c r="G4094" t="s">
        <v>16</v>
      </c>
      <c r="H4094">
        <v>0</v>
      </c>
    </row>
    <row r="4095" spans="1:8" x14ac:dyDescent="0.35">
      <c r="A4095">
        <v>15280</v>
      </c>
      <c r="B4095" t="s">
        <v>7</v>
      </c>
      <c r="C4095">
        <v>9</v>
      </c>
      <c r="D4095">
        <v>197</v>
      </c>
      <c r="E4095" t="s">
        <v>8</v>
      </c>
      <c r="F4095" t="s">
        <v>9</v>
      </c>
      <c r="G4095" t="s">
        <v>12</v>
      </c>
      <c r="H4095">
        <v>0</v>
      </c>
    </row>
    <row r="4096" spans="1:8" x14ac:dyDescent="0.35">
      <c r="A4096">
        <v>15846</v>
      </c>
      <c r="B4096" t="s">
        <v>11</v>
      </c>
      <c r="C4096">
        <v>10</v>
      </c>
      <c r="D4096">
        <v>110</v>
      </c>
      <c r="E4096" t="s">
        <v>8</v>
      </c>
      <c r="F4096" t="s">
        <v>9</v>
      </c>
      <c r="G4096" t="s">
        <v>14</v>
      </c>
      <c r="H4096">
        <v>0</v>
      </c>
    </row>
    <row r="4097" spans="1:8" x14ac:dyDescent="0.35">
      <c r="A4097">
        <v>18735</v>
      </c>
      <c r="B4097" t="s">
        <v>7</v>
      </c>
      <c r="C4097">
        <v>3</v>
      </c>
      <c r="D4097">
        <v>166</v>
      </c>
      <c r="E4097" t="s">
        <v>8</v>
      </c>
      <c r="F4097" t="s">
        <v>9</v>
      </c>
      <c r="G4097" t="s">
        <v>16</v>
      </c>
      <c r="H4097">
        <v>0</v>
      </c>
    </row>
    <row r="4098" spans="1:8" x14ac:dyDescent="0.35">
      <c r="A4098">
        <v>14093</v>
      </c>
      <c r="B4098" t="s">
        <v>11</v>
      </c>
      <c r="C4098">
        <v>4</v>
      </c>
      <c r="D4098">
        <v>441</v>
      </c>
      <c r="E4098" t="s">
        <v>8</v>
      </c>
      <c r="F4098" t="s">
        <v>13</v>
      </c>
      <c r="G4098" t="s">
        <v>10</v>
      </c>
      <c r="H4098">
        <v>0</v>
      </c>
    </row>
    <row r="4099" spans="1:8" x14ac:dyDescent="0.35">
      <c r="A4099">
        <v>18146</v>
      </c>
      <c r="B4099" t="s">
        <v>7</v>
      </c>
      <c r="C4099">
        <v>12</v>
      </c>
      <c r="D4099">
        <v>152</v>
      </c>
      <c r="E4099" t="s">
        <v>15</v>
      </c>
      <c r="F4099" t="s">
        <v>9</v>
      </c>
      <c r="G4099" t="s">
        <v>16</v>
      </c>
      <c r="H4099">
        <v>1</v>
      </c>
    </row>
    <row r="4100" spans="1:8" x14ac:dyDescent="0.35">
      <c r="A4100">
        <v>18804</v>
      </c>
      <c r="B4100" t="s">
        <v>7</v>
      </c>
      <c r="C4100">
        <v>7</v>
      </c>
      <c r="D4100">
        <v>344</v>
      </c>
      <c r="E4100" t="s">
        <v>8</v>
      </c>
      <c r="F4100" t="s">
        <v>13</v>
      </c>
      <c r="G4100" t="s">
        <v>10</v>
      </c>
      <c r="H4100">
        <v>0</v>
      </c>
    </row>
    <row r="4101" spans="1:8" x14ac:dyDescent="0.35">
      <c r="A4101">
        <v>13093</v>
      </c>
      <c r="B4101" t="s">
        <v>7</v>
      </c>
      <c r="C4101">
        <v>6</v>
      </c>
      <c r="D4101">
        <v>431</v>
      </c>
      <c r="E4101" t="s">
        <v>8</v>
      </c>
      <c r="F4101" t="s">
        <v>13</v>
      </c>
      <c r="G4101" t="s">
        <v>10</v>
      </c>
      <c r="H4101">
        <v>0</v>
      </c>
    </row>
    <row r="4102" spans="1:8" x14ac:dyDescent="0.35">
      <c r="A4102">
        <v>13462</v>
      </c>
      <c r="B4102" t="s">
        <v>7</v>
      </c>
      <c r="C4102">
        <v>3</v>
      </c>
      <c r="D4102">
        <v>258</v>
      </c>
      <c r="E4102" t="s">
        <v>8</v>
      </c>
      <c r="F4102" t="s">
        <v>13</v>
      </c>
      <c r="G4102" t="s">
        <v>16</v>
      </c>
      <c r="H4102">
        <v>0</v>
      </c>
    </row>
    <row r="4103" spans="1:8" x14ac:dyDescent="0.35">
      <c r="A4103">
        <v>12756</v>
      </c>
      <c r="B4103" t="s">
        <v>7</v>
      </c>
      <c r="C4103">
        <v>4</v>
      </c>
      <c r="D4103">
        <v>94</v>
      </c>
      <c r="E4103" t="s">
        <v>8</v>
      </c>
      <c r="F4103" t="s">
        <v>13</v>
      </c>
      <c r="G4103" t="s">
        <v>14</v>
      </c>
      <c r="H4103">
        <v>0</v>
      </c>
    </row>
    <row r="4104" spans="1:8" x14ac:dyDescent="0.35">
      <c r="A4104">
        <v>19427</v>
      </c>
      <c r="B4104" t="s">
        <v>7</v>
      </c>
      <c r="C4104">
        <v>6</v>
      </c>
      <c r="D4104">
        <v>348</v>
      </c>
      <c r="E4104" t="s">
        <v>8</v>
      </c>
      <c r="F4104" t="s">
        <v>13</v>
      </c>
      <c r="G4104" t="s">
        <v>14</v>
      </c>
      <c r="H4104">
        <v>0</v>
      </c>
    </row>
    <row r="4105" spans="1:8" x14ac:dyDescent="0.35">
      <c r="A4105">
        <v>19156</v>
      </c>
      <c r="B4105" t="s">
        <v>7</v>
      </c>
      <c r="C4105">
        <v>12</v>
      </c>
      <c r="D4105">
        <v>218</v>
      </c>
      <c r="E4105" t="s">
        <v>8</v>
      </c>
      <c r="F4105" t="s">
        <v>13</v>
      </c>
      <c r="G4105" t="s">
        <v>12</v>
      </c>
      <c r="H4105">
        <v>0</v>
      </c>
    </row>
    <row r="4106" spans="1:8" x14ac:dyDescent="0.35">
      <c r="A4106">
        <v>10886</v>
      </c>
      <c r="B4106" t="s">
        <v>7</v>
      </c>
      <c r="C4106">
        <v>6</v>
      </c>
      <c r="D4106">
        <v>80</v>
      </c>
      <c r="E4106" t="s">
        <v>8</v>
      </c>
      <c r="F4106" t="s">
        <v>9</v>
      </c>
      <c r="G4106" t="s">
        <v>16</v>
      </c>
      <c r="H4106">
        <v>0</v>
      </c>
    </row>
    <row r="4107" spans="1:8" x14ac:dyDescent="0.35">
      <c r="A4107">
        <v>10946</v>
      </c>
      <c r="B4107" t="s">
        <v>7</v>
      </c>
      <c r="C4107">
        <v>13</v>
      </c>
      <c r="D4107">
        <v>367</v>
      </c>
      <c r="E4107" t="s">
        <v>8</v>
      </c>
      <c r="F4107" t="s">
        <v>13</v>
      </c>
      <c r="G4107" t="s">
        <v>14</v>
      </c>
      <c r="H4107">
        <v>0</v>
      </c>
    </row>
    <row r="4108" spans="1:8" x14ac:dyDescent="0.35">
      <c r="A4108">
        <v>18932</v>
      </c>
      <c r="B4108" t="s">
        <v>11</v>
      </c>
      <c r="C4108">
        <v>7</v>
      </c>
      <c r="D4108">
        <v>77</v>
      </c>
      <c r="E4108" t="s">
        <v>8</v>
      </c>
      <c r="F4108" t="s">
        <v>13</v>
      </c>
      <c r="G4108" t="s">
        <v>16</v>
      </c>
      <c r="H4108">
        <v>0</v>
      </c>
    </row>
    <row r="4109" spans="1:8" x14ac:dyDescent="0.35">
      <c r="A4109">
        <v>15482</v>
      </c>
      <c r="B4109" t="s">
        <v>11</v>
      </c>
      <c r="C4109">
        <v>8</v>
      </c>
      <c r="D4109">
        <v>136</v>
      </c>
      <c r="E4109" t="s">
        <v>8</v>
      </c>
      <c r="F4109" t="s">
        <v>9</v>
      </c>
      <c r="G4109" t="s">
        <v>12</v>
      </c>
      <c r="H4109">
        <v>0</v>
      </c>
    </row>
    <row r="4110" spans="1:8" x14ac:dyDescent="0.35">
      <c r="A4110">
        <v>13168</v>
      </c>
      <c r="B4110" t="s">
        <v>11</v>
      </c>
      <c r="C4110">
        <v>5</v>
      </c>
      <c r="D4110">
        <v>179</v>
      </c>
      <c r="E4110" t="s">
        <v>8</v>
      </c>
      <c r="F4110" t="s">
        <v>9</v>
      </c>
      <c r="G4110" t="s">
        <v>10</v>
      </c>
      <c r="H4110">
        <v>0</v>
      </c>
    </row>
    <row r="4111" spans="1:8" x14ac:dyDescent="0.35">
      <c r="A4111">
        <v>14759</v>
      </c>
      <c r="B4111" t="s">
        <v>7</v>
      </c>
      <c r="C4111">
        <v>7</v>
      </c>
      <c r="D4111">
        <v>56</v>
      </c>
      <c r="E4111" t="s">
        <v>8</v>
      </c>
      <c r="F4111" t="s">
        <v>13</v>
      </c>
      <c r="G4111" t="s">
        <v>10</v>
      </c>
      <c r="H4111">
        <v>0</v>
      </c>
    </row>
    <row r="4112" spans="1:8" x14ac:dyDescent="0.35">
      <c r="A4112">
        <v>14854</v>
      </c>
      <c r="B4112" t="s">
        <v>7</v>
      </c>
      <c r="C4112">
        <v>6</v>
      </c>
      <c r="D4112">
        <v>365</v>
      </c>
      <c r="E4112" t="s">
        <v>8</v>
      </c>
      <c r="F4112" t="s">
        <v>9</v>
      </c>
      <c r="G4112" t="s">
        <v>10</v>
      </c>
      <c r="H4112">
        <v>0</v>
      </c>
    </row>
    <row r="4113" spans="1:8" x14ac:dyDescent="0.35">
      <c r="A4113">
        <v>18644</v>
      </c>
      <c r="B4113" t="s">
        <v>11</v>
      </c>
      <c r="C4113">
        <v>9</v>
      </c>
      <c r="D4113">
        <v>63</v>
      </c>
      <c r="E4113" t="s">
        <v>8</v>
      </c>
      <c r="F4113" t="s">
        <v>9</v>
      </c>
      <c r="G4113" t="s">
        <v>16</v>
      </c>
      <c r="H4113">
        <v>0</v>
      </c>
    </row>
    <row r="4114" spans="1:8" x14ac:dyDescent="0.35">
      <c r="A4114">
        <v>12011</v>
      </c>
      <c r="B4114" t="s">
        <v>7</v>
      </c>
      <c r="C4114">
        <v>10</v>
      </c>
      <c r="D4114">
        <v>57</v>
      </c>
      <c r="E4114" t="s">
        <v>8</v>
      </c>
      <c r="F4114" t="s">
        <v>13</v>
      </c>
      <c r="G4114" t="s">
        <v>16</v>
      </c>
      <c r="H4114">
        <v>0</v>
      </c>
    </row>
    <row r="4115" spans="1:8" x14ac:dyDescent="0.35">
      <c r="A4115">
        <v>18519</v>
      </c>
      <c r="B4115" t="s">
        <v>11</v>
      </c>
      <c r="C4115">
        <v>3</v>
      </c>
      <c r="D4115">
        <v>91</v>
      </c>
      <c r="E4115" t="s">
        <v>15</v>
      </c>
      <c r="F4115" t="s">
        <v>9</v>
      </c>
      <c r="G4115" t="s">
        <v>14</v>
      </c>
      <c r="H4115">
        <v>1</v>
      </c>
    </row>
    <row r="4116" spans="1:8" x14ac:dyDescent="0.35">
      <c r="A4116">
        <v>17405</v>
      </c>
      <c r="B4116" t="s">
        <v>11</v>
      </c>
      <c r="C4116">
        <v>10</v>
      </c>
      <c r="D4116">
        <v>84</v>
      </c>
      <c r="E4116" t="s">
        <v>8</v>
      </c>
      <c r="F4116" t="s">
        <v>9</v>
      </c>
      <c r="G4116" t="s">
        <v>12</v>
      </c>
      <c r="H4116">
        <v>0</v>
      </c>
    </row>
    <row r="4117" spans="1:8" x14ac:dyDescent="0.35">
      <c r="A4117">
        <v>10650</v>
      </c>
      <c r="B4117" t="s">
        <v>7</v>
      </c>
      <c r="C4117">
        <v>1</v>
      </c>
      <c r="D4117">
        <v>166</v>
      </c>
      <c r="E4117" t="s">
        <v>8</v>
      </c>
      <c r="F4117" t="s">
        <v>13</v>
      </c>
      <c r="G4117" t="s">
        <v>14</v>
      </c>
      <c r="H4117">
        <v>0</v>
      </c>
    </row>
    <row r="4118" spans="1:8" x14ac:dyDescent="0.35">
      <c r="A4118">
        <v>19775</v>
      </c>
      <c r="B4118" t="s">
        <v>7</v>
      </c>
      <c r="C4118">
        <v>8</v>
      </c>
      <c r="D4118">
        <v>370</v>
      </c>
      <c r="E4118" t="s">
        <v>8</v>
      </c>
      <c r="F4118" t="s">
        <v>9</v>
      </c>
      <c r="G4118" t="s">
        <v>10</v>
      </c>
      <c r="H4118">
        <v>0</v>
      </c>
    </row>
    <row r="4119" spans="1:8" x14ac:dyDescent="0.35">
      <c r="A4119">
        <v>17427</v>
      </c>
      <c r="B4119" t="s">
        <v>7</v>
      </c>
      <c r="C4119">
        <v>4</v>
      </c>
      <c r="D4119">
        <v>64</v>
      </c>
      <c r="E4119" t="s">
        <v>8</v>
      </c>
      <c r="F4119" t="s">
        <v>9</v>
      </c>
      <c r="G4119" t="s">
        <v>10</v>
      </c>
      <c r="H4119">
        <v>0</v>
      </c>
    </row>
    <row r="4120" spans="1:8" x14ac:dyDescent="0.35">
      <c r="A4120">
        <v>12573</v>
      </c>
      <c r="B4120" t="s">
        <v>11</v>
      </c>
      <c r="C4120">
        <v>2</v>
      </c>
      <c r="D4120">
        <v>424</v>
      </c>
      <c r="E4120" t="s">
        <v>8</v>
      </c>
      <c r="F4120" t="s">
        <v>13</v>
      </c>
      <c r="G4120" t="s">
        <v>14</v>
      </c>
      <c r="H4120">
        <v>0</v>
      </c>
    </row>
    <row r="4121" spans="1:8" x14ac:dyDescent="0.35">
      <c r="A4121">
        <v>18970</v>
      </c>
      <c r="B4121" t="s">
        <v>7</v>
      </c>
      <c r="C4121">
        <v>12</v>
      </c>
      <c r="D4121">
        <v>381</v>
      </c>
      <c r="E4121" t="s">
        <v>8</v>
      </c>
      <c r="F4121" t="s">
        <v>9</v>
      </c>
      <c r="G4121" t="s">
        <v>12</v>
      </c>
      <c r="H4121">
        <v>0</v>
      </c>
    </row>
    <row r="4122" spans="1:8" x14ac:dyDescent="0.35">
      <c r="A4122">
        <v>14661</v>
      </c>
      <c r="B4122" t="s">
        <v>11</v>
      </c>
      <c r="C4122">
        <v>3</v>
      </c>
      <c r="D4122">
        <v>178</v>
      </c>
      <c r="E4122" t="s">
        <v>8</v>
      </c>
      <c r="F4122" t="s">
        <v>13</v>
      </c>
      <c r="G4122" t="s">
        <v>16</v>
      </c>
      <c r="H4122">
        <v>0</v>
      </c>
    </row>
    <row r="4123" spans="1:8" x14ac:dyDescent="0.35">
      <c r="A4123">
        <v>17566</v>
      </c>
      <c r="B4123" t="s">
        <v>11</v>
      </c>
      <c r="C4123">
        <v>6</v>
      </c>
      <c r="D4123">
        <v>388</v>
      </c>
      <c r="E4123" t="s">
        <v>8</v>
      </c>
      <c r="F4123" t="s">
        <v>13</v>
      </c>
      <c r="G4123" t="s">
        <v>14</v>
      </c>
      <c r="H4123">
        <v>0</v>
      </c>
    </row>
    <row r="4124" spans="1:8" x14ac:dyDescent="0.35">
      <c r="A4124">
        <v>14230</v>
      </c>
      <c r="B4124" t="s">
        <v>11</v>
      </c>
      <c r="C4124">
        <v>3</v>
      </c>
      <c r="D4124">
        <v>109</v>
      </c>
      <c r="E4124" t="s">
        <v>8</v>
      </c>
      <c r="F4124" t="s">
        <v>9</v>
      </c>
      <c r="G4124" t="s">
        <v>16</v>
      </c>
      <c r="H4124">
        <v>0</v>
      </c>
    </row>
    <row r="4125" spans="1:8" x14ac:dyDescent="0.35">
      <c r="A4125">
        <v>19419</v>
      </c>
      <c r="B4125" t="s">
        <v>7</v>
      </c>
      <c r="C4125">
        <v>2</v>
      </c>
      <c r="D4125">
        <v>442</v>
      </c>
      <c r="E4125" t="s">
        <v>8</v>
      </c>
      <c r="F4125" t="s">
        <v>9</v>
      </c>
      <c r="G4125" t="s">
        <v>10</v>
      </c>
      <c r="H4125">
        <v>0</v>
      </c>
    </row>
    <row r="4126" spans="1:8" x14ac:dyDescent="0.35">
      <c r="A4126">
        <v>10773</v>
      </c>
      <c r="B4126" t="s">
        <v>7</v>
      </c>
      <c r="C4126">
        <v>2</v>
      </c>
      <c r="D4126">
        <v>414</v>
      </c>
      <c r="E4126" t="s">
        <v>8</v>
      </c>
      <c r="F4126" t="s">
        <v>9</v>
      </c>
      <c r="G4126" t="s">
        <v>10</v>
      </c>
      <c r="H4126">
        <v>0</v>
      </c>
    </row>
    <row r="4127" spans="1:8" x14ac:dyDescent="0.35">
      <c r="A4127">
        <v>11225</v>
      </c>
      <c r="B4127" t="s">
        <v>7</v>
      </c>
      <c r="C4127">
        <v>2</v>
      </c>
      <c r="D4127">
        <v>82</v>
      </c>
      <c r="E4127" t="s">
        <v>15</v>
      </c>
      <c r="F4127" t="s">
        <v>9</v>
      </c>
      <c r="G4127" t="s">
        <v>14</v>
      </c>
      <c r="H4127">
        <v>1</v>
      </c>
    </row>
    <row r="4128" spans="1:8" x14ac:dyDescent="0.35">
      <c r="A4128">
        <v>12633</v>
      </c>
      <c r="B4128" t="s">
        <v>11</v>
      </c>
      <c r="C4128">
        <v>13</v>
      </c>
      <c r="D4128">
        <v>379</v>
      </c>
      <c r="E4128" t="s">
        <v>8</v>
      </c>
      <c r="F4128" t="s">
        <v>9</v>
      </c>
      <c r="G4128" t="s">
        <v>12</v>
      </c>
      <c r="H4128">
        <v>0</v>
      </c>
    </row>
    <row r="4129" spans="1:8" x14ac:dyDescent="0.35">
      <c r="A4129">
        <v>11903</v>
      </c>
      <c r="B4129" t="s">
        <v>7</v>
      </c>
      <c r="C4129">
        <v>4</v>
      </c>
      <c r="D4129">
        <v>202</v>
      </c>
      <c r="E4129" t="s">
        <v>15</v>
      </c>
      <c r="F4129" t="s">
        <v>13</v>
      </c>
      <c r="G4129" t="s">
        <v>16</v>
      </c>
      <c r="H4129">
        <v>1</v>
      </c>
    </row>
    <row r="4130" spans="1:8" x14ac:dyDescent="0.35">
      <c r="A4130">
        <v>12328</v>
      </c>
      <c r="B4130" t="s">
        <v>11</v>
      </c>
      <c r="C4130">
        <v>2</v>
      </c>
      <c r="D4130">
        <v>170</v>
      </c>
      <c r="E4130" t="s">
        <v>8</v>
      </c>
      <c r="F4130" t="s">
        <v>9</v>
      </c>
      <c r="G4130" t="s">
        <v>10</v>
      </c>
      <c r="H4130">
        <v>0</v>
      </c>
    </row>
    <row r="4131" spans="1:8" x14ac:dyDescent="0.35">
      <c r="A4131">
        <v>14879</v>
      </c>
      <c r="B4131" t="s">
        <v>7</v>
      </c>
      <c r="C4131">
        <v>12</v>
      </c>
      <c r="D4131">
        <v>329</v>
      </c>
      <c r="E4131" t="s">
        <v>8</v>
      </c>
      <c r="F4131" t="s">
        <v>13</v>
      </c>
      <c r="G4131" t="s">
        <v>16</v>
      </c>
      <c r="H4131">
        <v>0</v>
      </c>
    </row>
    <row r="4132" spans="1:8" x14ac:dyDescent="0.35">
      <c r="A4132">
        <v>10372</v>
      </c>
      <c r="B4132" t="s">
        <v>11</v>
      </c>
      <c r="C4132">
        <v>12</v>
      </c>
      <c r="D4132">
        <v>364</v>
      </c>
      <c r="E4132" t="s">
        <v>8</v>
      </c>
      <c r="F4132" t="s">
        <v>13</v>
      </c>
      <c r="G4132" t="s">
        <v>16</v>
      </c>
      <c r="H4132">
        <v>0</v>
      </c>
    </row>
    <row r="4133" spans="1:8" x14ac:dyDescent="0.35">
      <c r="A4133">
        <v>18671</v>
      </c>
      <c r="B4133" t="s">
        <v>11</v>
      </c>
      <c r="C4133">
        <v>2</v>
      </c>
      <c r="D4133">
        <v>116</v>
      </c>
      <c r="E4133" t="s">
        <v>8</v>
      </c>
      <c r="F4133" t="s">
        <v>13</v>
      </c>
      <c r="G4133" t="s">
        <v>10</v>
      </c>
      <c r="H4133">
        <v>0</v>
      </c>
    </row>
    <row r="4134" spans="1:8" x14ac:dyDescent="0.35">
      <c r="A4134">
        <v>16423</v>
      </c>
      <c r="B4134" t="s">
        <v>11</v>
      </c>
      <c r="C4134">
        <v>7</v>
      </c>
      <c r="D4134">
        <v>64</v>
      </c>
      <c r="E4134" t="s">
        <v>8</v>
      </c>
      <c r="F4134" t="s">
        <v>9</v>
      </c>
      <c r="G4134" t="s">
        <v>10</v>
      </c>
      <c r="H4134">
        <v>0</v>
      </c>
    </row>
    <row r="4135" spans="1:8" x14ac:dyDescent="0.35">
      <c r="A4135">
        <v>19973</v>
      </c>
      <c r="B4135" t="s">
        <v>11</v>
      </c>
      <c r="C4135">
        <v>11</v>
      </c>
      <c r="D4135">
        <v>358</v>
      </c>
      <c r="E4135" t="s">
        <v>8</v>
      </c>
      <c r="F4135" t="s">
        <v>13</v>
      </c>
      <c r="G4135" t="s">
        <v>16</v>
      </c>
      <c r="H4135">
        <v>0</v>
      </c>
    </row>
    <row r="4136" spans="1:8" x14ac:dyDescent="0.35">
      <c r="A4136">
        <v>16515</v>
      </c>
      <c r="B4136" t="s">
        <v>7</v>
      </c>
      <c r="C4136">
        <v>1</v>
      </c>
      <c r="D4136">
        <v>425</v>
      </c>
      <c r="E4136" t="s">
        <v>8</v>
      </c>
      <c r="F4136" t="s">
        <v>9</v>
      </c>
      <c r="G4136" t="s">
        <v>16</v>
      </c>
      <c r="H4136">
        <v>0</v>
      </c>
    </row>
    <row r="4137" spans="1:8" x14ac:dyDescent="0.35">
      <c r="A4137">
        <v>14188</v>
      </c>
      <c r="B4137" t="s">
        <v>11</v>
      </c>
      <c r="C4137">
        <v>9</v>
      </c>
      <c r="D4137">
        <v>312</v>
      </c>
      <c r="E4137" t="s">
        <v>8</v>
      </c>
      <c r="F4137" t="s">
        <v>9</v>
      </c>
      <c r="G4137" t="s">
        <v>12</v>
      </c>
      <c r="H4137">
        <v>0</v>
      </c>
    </row>
    <row r="4138" spans="1:8" x14ac:dyDescent="0.35">
      <c r="A4138">
        <v>18830</v>
      </c>
      <c r="B4138" t="s">
        <v>11</v>
      </c>
      <c r="C4138">
        <v>6</v>
      </c>
      <c r="D4138">
        <v>124</v>
      </c>
      <c r="E4138" t="s">
        <v>8</v>
      </c>
      <c r="F4138" t="s">
        <v>9</v>
      </c>
      <c r="G4138" t="s">
        <v>10</v>
      </c>
      <c r="H4138">
        <v>0</v>
      </c>
    </row>
    <row r="4139" spans="1:8" x14ac:dyDescent="0.35">
      <c r="A4139">
        <v>12288</v>
      </c>
      <c r="B4139" t="s">
        <v>11</v>
      </c>
      <c r="C4139">
        <v>13</v>
      </c>
      <c r="D4139">
        <v>414</v>
      </c>
      <c r="E4139" t="s">
        <v>8</v>
      </c>
      <c r="F4139" t="s">
        <v>13</v>
      </c>
      <c r="G4139" t="s">
        <v>10</v>
      </c>
      <c r="H4139">
        <v>0</v>
      </c>
    </row>
    <row r="4140" spans="1:8" x14ac:dyDescent="0.35">
      <c r="A4140">
        <v>12525</v>
      </c>
      <c r="B4140" t="s">
        <v>7</v>
      </c>
      <c r="C4140">
        <v>6</v>
      </c>
      <c r="D4140">
        <v>262</v>
      </c>
      <c r="E4140" t="s">
        <v>8</v>
      </c>
      <c r="F4140" t="s">
        <v>13</v>
      </c>
      <c r="G4140" t="s">
        <v>12</v>
      </c>
      <c r="H4140">
        <v>0</v>
      </c>
    </row>
    <row r="4141" spans="1:8" x14ac:dyDescent="0.35">
      <c r="A4141">
        <v>15900</v>
      </c>
      <c r="B4141" t="s">
        <v>11</v>
      </c>
      <c r="C4141">
        <v>5</v>
      </c>
      <c r="D4141">
        <v>327</v>
      </c>
      <c r="E4141" t="s">
        <v>8</v>
      </c>
      <c r="F4141" t="s">
        <v>13</v>
      </c>
      <c r="G4141" t="s">
        <v>10</v>
      </c>
      <c r="H4141">
        <v>0</v>
      </c>
    </row>
    <row r="4142" spans="1:8" x14ac:dyDescent="0.35">
      <c r="A4142">
        <v>13240</v>
      </c>
      <c r="B4142" t="s">
        <v>11</v>
      </c>
      <c r="C4142">
        <v>12</v>
      </c>
      <c r="D4142">
        <v>63</v>
      </c>
      <c r="E4142" t="s">
        <v>8</v>
      </c>
      <c r="F4142" t="s">
        <v>13</v>
      </c>
      <c r="G4142" t="s">
        <v>10</v>
      </c>
      <c r="H4142">
        <v>0</v>
      </c>
    </row>
    <row r="4143" spans="1:8" x14ac:dyDescent="0.35">
      <c r="A4143">
        <v>10048</v>
      </c>
      <c r="B4143" t="s">
        <v>11</v>
      </c>
      <c r="C4143">
        <v>4</v>
      </c>
      <c r="D4143">
        <v>343</v>
      </c>
      <c r="E4143" t="s">
        <v>8</v>
      </c>
      <c r="F4143" t="s">
        <v>13</v>
      </c>
      <c r="G4143" t="s">
        <v>12</v>
      </c>
      <c r="H4143">
        <v>0</v>
      </c>
    </row>
    <row r="4144" spans="1:8" x14ac:dyDescent="0.35">
      <c r="A4144">
        <v>19770</v>
      </c>
      <c r="B4144" t="s">
        <v>11</v>
      </c>
      <c r="C4144">
        <v>2</v>
      </c>
      <c r="D4144">
        <v>418</v>
      </c>
      <c r="E4144" t="s">
        <v>8</v>
      </c>
      <c r="F4144" t="s">
        <v>9</v>
      </c>
      <c r="G4144" t="s">
        <v>12</v>
      </c>
      <c r="H4144">
        <v>0</v>
      </c>
    </row>
    <row r="4145" spans="1:8" x14ac:dyDescent="0.35">
      <c r="A4145">
        <v>16807</v>
      </c>
      <c r="B4145" t="s">
        <v>11</v>
      </c>
      <c r="C4145">
        <v>12</v>
      </c>
      <c r="D4145">
        <v>309</v>
      </c>
      <c r="E4145" t="s">
        <v>8</v>
      </c>
      <c r="F4145" t="s">
        <v>9</v>
      </c>
      <c r="G4145" t="s">
        <v>12</v>
      </c>
      <c r="H4145">
        <v>0</v>
      </c>
    </row>
    <row r="4146" spans="1:8" x14ac:dyDescent="0.35">
      <c r="A4146">
        <v>10357</v>
      </c>
      <c r="B4146" t="s">
        <v>7</v>
      </c>
      <c r="C4146">
        <v>4</v>
      </c>
      <c r="D4146">
        <v>222</v>
      </c>
      <c r="E4146" t="s">
        <v>8</v>
      </c>
      <c r="F4146" t="s">
        <v>9</v>
      </c>
      <c r="G4146" t="s">
        <v>12</v>
      </c>
      <c r="H4146">
        <v>0</v>
      </c>
    </row>
    <row r="4147" spans="1:8" x14ac:dyDescent="0.35">
      <c r="A4147">
        <v>15288</v>
      </c>
      <c r="B4147" t="s">
        <v>7</v>
      </c>
      <c r="C4147">
        <v>7</v>
      </c>
      <c r="D4147">
        <v>83</v>
      </c>
      <c r="E4147" t="s">
        <v>8</v>
      </c>
      <c r="F4147" t="s">
        <v>13</v>
      </c>
      <c r="G4147" t="s">
        <v>12</v>
      </c>
      <c r="H4147">
        <v>0</v>
      </c>
    </row>
    <row r="4148" spans="1:8" x14ac:dyDescent="0.35">
      <c r="A4148">
        <v>15484</v>
      </c>
      <c r="B4148" t="s">
        <v>11</v>
      </c>
      <c r="C4148">
        <v>8</v>
      </c>
      <c r="D4148">
        <v>83</v>
      </c>
      <c r="E4148" t="s">
        <v>15</v>
      </c>
      <c r="F4148" t="s">
        <v>9</v>
      </c>
      <c r="G4148" t="s">
        <v>12</v>
      </c>
      <c r="H4148">
        <v>1</v>
      </c>
    </row>
    <row r="4149" spans="1:8" x14ac:dyDescent="0.35">
      <c r="A4149">
        <v>18056</v>
      </c>
      <c r="B4149" t="s">
        <v>7</v>
      </c>
      <c r="C4149">
        <v>13</v>
      </c>
      <c r="D4149">
        <v>420</v>
      </c>
      <c r="E4149" t="s">
        <v>8</v>
      </c>
      <c r="F4149" t="s">
        <v>9</v>
      </c>
      <c r="G4149" t="s">
        <v>12</v>
      </c>
      <c r="H4149">
        <v>0</v>
      </c>
    </row>
    <row r="4150" spans="1:8" x14ac:dyDescent="0.35">
      <c r="A4150">
        <v>16892</v>
      </c>
      <c r="B4150" t="s">
        <v>7</v>
      </c>
      <c r="C4150">
        <v>13</v>
      </c>
      <c r="D4150">
        <v>248</v>
      </c>
      <c r="E4150" t="s">
        <v>8</v>
      </c>
      <c r="F4150" t="s">
        <v>13</v>
      </c>
      <c r="G4150" t="s">
        <v>16</v>
      </c>
      <c r="H4150">
        <v>0</v>
      </c>
    </row>
    <row r="4151" spans="1:8" x14ac:dyDescent="0.35">
      <c r="A4151">
        <v>15182</v>
      </c>
      <c r="B4151" t="s">
        <v>7</v>
      </c>
      <c r="C4151">
        <v>4</v>
      </c>
      <c r="D4151">
        <v>83</v>
      </c>
      <c r="E4151" t="s">
        <v>8</v>
      </c>
      <c r="F4151" t="s">
        <v>13</v>
      </c>
      <c r="G4151" t="s">
        <v>10</v>
      </c>
      <c r="H4151">
        <v>0</v>
      </c>
    </row>
    <row r="4152" spans="1:8" x14ac:dyDescent="0.35">
      <c r="A4152">
        <v>17362</v>
      </c>
      <c r="B4152" t="s">
        <v>11</v>
      </c>
      <c r="C4152">
        <v>5</v>
      </c>
      <c r="D4152">
        <v>172</v>
      </c>
      <c r="E4152" t="s">
        <v>8</v>
      </c>
      <c r="F4152" t="s">
        <v>13</v>
      </c>
      <c r="G4152" t="s">
        <v>12</v>
      </c>
      <c r="H4152">
        <v>0</v>
      </c>
    </row>
    <row r="4153" spans="1:8" x14ac:dyDescent="0.35">
      <c r="A4153">
        <v>15105</v>
      </c>
      <c r="B4153" t="s">
        <v>7</v>
      </c>
      <c r="C4153">
        <v>1</v>
      </c>
      <c r="D4153">
        <v>335</v>
      </c>
      <c r="E4153" t="s">
        <v>8</v>
      </c>
      <c r="F4153" t="s">
        <v>9</v>
      </c>
      <c r="G4153" t="s">
        <v>16</v>
      </c>
      <c r="H4153">
        <v>0</v>
      </c>
    </row>
    <row r="4154" spans="1:8" x14ac:dyDescent="0.35">
      <c r="A4154">
        <v>18634</v>
      </c>
      <c r="B4154" t="s">
        <v>11</v>
      </c>
      <c r="C4154">
        <v>4</v>
      </c>
      <c r="D4154">
        <v>76</v>
      </c>
      <c r="E4154" t="s">
        <v>8</v>
      </c>
      <c r="F4154" t="s">
        <v>9</v>
      </c>
      <c r="G4154" t="s">
        <v>12</v>
      </c>
      <c r="H4154">
        <v>0</v>
      </c>
    </row>
    <row r="4155" spans="1:8" x14ac:dyDescent="0.35">
      <c r="A4155">
        <v>19537</v>
      </c>
      <c r="B4155" t="s">
        <v>11</v>
      </c>
      <c r="C4155">
        <v>3</v>
      </c>
      <c r="D4155">
        <v>231</v>
      </c>
      <c r="E4155" t="s">
        <v>8</v>
      </c>
      <c r="F4155" t="s">
        <v>13</v>
      </c>
      <c r="G4155" t="s">
        <v>14</v>
      </c>
      <c r="H4155">
        <v>0</v>
      </c>
    </row>
    <row r="4156" spans="1:8" x14ac:dyDescent="0.35">
      <c r="A4156">
        <v>18610</v>
      </c>
      <c r="B4156" t="s">
        <v>7</v>
      </c>
      <c r="C4156">
        <v>7</v>
      </c>
      <c r="D4156">
        <v>98</v>
      </c>
      <c r="E4156" t="s">
        <v>8</v>
      </c>
      <c r="F4156" t="s">
        <v>13</v>
      </c>
      <c r="G4156" t="s">
        <v>12</v>
      </c>
      <c r="H4156">
        <v>0</v>
      </c>
    </row>
    <row r="4157" spans="1:8" x14ac:dyDescent="0.35">
      <c r="A4157">
        <v>10452</v>
      </c>
      <c r="B4157" t="s">
        <v>11</v>
      </c>
      <c r="C4157">
        <v>14</v>
      </c>
      <c r="D4157">
        <v>165</v>
      </c>
      <c r="E4157" t="s">
        <v>8</v>
      </c>
      <c r="F4157" t="s">
        <v>9</v>
      </c>
      <c r="G4157" t="s">
        <v>10</v>
      </c>
      <c r="H4157">
        <v>0</v>
      </c>
    </row>
    <row r="4158" spans="1:8" x14ac:dyDescent="0.35">
      <c r="A4158">
        <v>19980</v>
      </c>
      <c r="B4158" t="s">
        <v>11</v>
      </c>
      <c r="C4158">
        <v>4</v>
      </c>
      <c r="D4158">
        <v>290</v>
      </c>
      <c r="E4158" t="s">
        <v>8</v>
      </c>
      <c r="F4158" t="s">
        <v>13</v>
      </c>
      <c r="G4158" t="s">
        <v>16</v>
      </c>
      <c r="H4158">
        <v>0</v>
      </c>
    </row>
    <row r="4159" spans="1:8" x14ac:dyDescent="0.35">
      <c r="A4159">
        <v>18799</v>
      </c>
      <c r="B4159" t="s">
        <v>7</v>
      </c>
      <c r="C4159">
        <v>12</v>
      </c>
      <c r="D4159">
        <v>238</v>
      </c>
      <c r="E4159" t="s">
        <v>8</v>
      </c>
      <c r="F4159" t="s">
        <v>13</v>
      </c>
      <c r="G4159" t="s">
        <v>10</v>
      </c>
      <c r="H4159">
        <v>0</v>
      </c>
    </row>
    <row r="4160" spans="1:8" x14ac:dyDescent="0.35">
      <c r="A4160">
        <v>17609</v>
      </c>
      <c r="B4160" t="s">
        <v>7</v>
      </c>
      <c r="C4160">
        <v>12</v>
      </c>
      <c r="D4160">
        <v>132</v>
      </c>
      <c r="E4160" t="s">
        <v>8</v>
      </c>
      <c r="F4160" t="s">
        <v>13</v>
      </c>
      <c r="G4160" t="s">
        <v>12</v>
      </c>
      <c r="H4160">
        <v>0</v>
      </c>
    </row>
    <row r="4161" spans="1:8" x14ac:dyDescent="0.35">
      <c r="A4161">
        <v>19683</v>
      </c>
      <c r="B4161" t="s">
        <v>11</v>
      </c>
      <c r="C4161">
        <v>12</v>
      </c>
      <c r="D4161">
        <v>75</v>
      </c>
      <c r="E4161" t="s">
        <v>8</v>
      </c>
      <c r="F4161" t="s">
        <v>9</v>
      </c>
      <c r="G4161" t="s">
        <v>10</v>
      </c>
      <c r="H4161">
        <v>0</v>
      </c>
    </row>
    <row r="4162" spans="1:8" x14ac:dyDescent="0.35">
      <c r="A4162">
        <v>10289</v>
      </c>
      <c r="B4162" t="s">
        <v>7</v>
      </c>
      <c r="C4162">
        <v>1</v>
      </c>
      <c r="D4162">
        <v>275</v>
      </c>
      <c r="E4162" t="s">
        <v>8</v>
      </c>
      <c r="F4162" t="s">
        <v>9</v>
      </c>
      <c r="G4162" t="s">
        <v>10</v>
      </c>
      <c r="H4162">
        <v>0</v>
      </c>
    </row>
    <row r="4163" spans="1:8" x14ac:dyDescent="0.35">
      <c r="A4163">
        <v>16978</v>
      </c>
      <c r="B4163" t="s">
        <v>7</v>
      </c>
      <c r="C4163">
        <v>6</v>
      </c>
      <c r="D4163">
        <v>264</v>
      </c>
      <c r="E4163" t="s">
        <v>8</v>
      </c>
      <c r="F4163" t="s">
        <v>13</v>
      </c>
      <c r="G4163" t="s">
        <v>16</v>
      </c>
      <c r="H4163">
        <v>0</v>
      </c>
    </row>
    <row r="4164" spans="1:8" x14ac:dyDescent="0.35">
      <c r="A4164">
        <v>10212</v>
      </c>
      <c r="B4164" t="s">
        <v>7</v>
      </c>
      <c r="C4164">
        <v>2</v>
      </c>
      <c r="D4164">
        <v>381</v>
      </c>
      <c r="E4164" t="s">
        <v>8</v>
      </c>
      <c r="F4164" t="s">
        <v>9</v>
      </c>
      <c r="G4164" t="s">
        <v>16</v>
      </c>
      <c r="H4164">
        <v>0</v>
      </c>
    </row>
    <row r="4165" spans="1:8" x14ac:dyDescent="0.35">
      <c r="A4165">
        <v>17578</v>
      </c>
      <c r="B4165" t="s">
        <v>7</v>
      </c>
      <c r="C4165">
        <v>12</v>
      </c>
      <c r="D4165">
        <v>408</v>
      </c>
      <c r="E4165" t="s">
        <v>15</v>
      </c>
      <c r="F4165" t="s">
        <v>13</v>
      </c>
      <c r="G4165" t="s">
        <v>14</v>
      </c>
      <c r="H4165">
        <v>1</v>
      </c>
    </row>
    <row r="4166" spans="1:8" x14ac:dyDescent="0.35">
      <c r="A4166">
        <v>19885</v>
      </c>
      <c r="B4166" t="s">
        <v>11</v>
      </c>
      <c r="C4166">
        <v>14</v>
      </c>
      <c r="D4166">
        <v>448</v>
      </c>
      <c r="E4166" t="s">
        <v>8</v>
      </c>
      <c r="F4166" t="s">
        <v>9</v>
      </c>
      <c r="G4166" t="s">
        <v>12</v>
      </c>
      <c r="H4166">
        <v>0</v>
      </c>
    </row>
    <row r="4167" spans="1:8" x14ac:dyDescent="0.35">
      <c r="A4167">
        <v>17633</v>
      </c>
      <c r="B4167" t="s">
        <v>7</v>
      </c>
      <c r="C4167">
        <v>5</v>
      </c>
      <c r="D4167">
        <v>55</v>
      </c>
      <c r="E4167" t="s">
        <v>8</v>
      </c>
      <c r="F4167" t="s">
        <v>13</v>
      </c>
      <c r="G4167" t="s">
        <v>14</v>
      </c>
      <c r="H4167">
        <v>0</v>
      </c>
    </row>
    <row r="4168" spans="1:8" x14ac:dyDescent="0.35">
      <c r="A4168">
        <v>10854</v>
      </c>
      <c r="B4168" t="s">
        <v>7</v>
      </c>
      <c r="C4168">
        <v>12</v>
      </c>
      <c r="D4168">
        <v>110</v>
      </c>
      <c r="E4168" t="s">
        <v>8</v>
      </c>
      <c r="F4168" t="s">
        <v>13</v>
      </c>
      <c r="G4168" t="s">
        <v>16</v>
      </c>
      <c r="H4168">
        <v>0</v>
      </c>
    </row>
    <row r="4169" spans="1:8" x14ac:dyDescent="0.35">
      <c r="A4169">
        <v>12629</v>
      </c>
      <c r="B4169" t="s">
        <v>11</v>
      </c>
      <c r="C4169">
        <v>4</v>
      </c>
      <c r="D4169">
        <v>95</v>
      </c>
      <c r="E4169" t="s">
        <v>8</v>
      </c>
      <c r="F4169" t="s">
        <v>13</v>
      </c>
      <c r="G4169" t="s">
        <v>14</v>
      </c>
      <c r="H4169">
        <v>0</v>
      </c>
    </row>
    <row r="4170" spans="1:8" x14ac:dyDescent="0.35">
      <c r="A4170">
        <v>10001</v>
      </c>
      <c r="B4170" t="s">
        <v>11</v>
      </c>
      <c r="C4170">
        <v>2</v>
      </c>
      <c r="D4170">
        <v>214</v>
      </c>
      <c r="E4170" t="s">
        <v>8</v>
      </c>
      <c r="F4170" t="s">
        <v>9</v>
      </c>
      <c r="G4170" t="s">
        <v>10</v>
      </c>
      <c r="H4170">
        <v>0</v>
      </c>
    </row>
    <row r="4171" spans="1:8" x14ac:dyDescent="0.35">
      <c r="A4171">
        <v>10502</v>
      </c>
      <c r="B4171" t="s">
        <v>11</v>
      </c>
      <c r="C4171">
        <v>1</v>
      </c>
      <c r="D4171">
        <v>187</v>
      </c>
      <c r="E4171" t="s">
        <v>8</v>
      </c>
      <c r="F4171" t="s">
        <v>13</v>
      </c>
      <c r="G4171" t="s">
        <v>10</v>
      </c>
      <c r="H4171">
        <v>0</v>
      </c>
    </row>
    <row r="4172" spans="1:8" x14ac:dyDescent="0.35">
      <c r="A4172">
        <v>15454</v>
      </c>
      <c r="B4172" t="s">
        <v>7</v>
      </c>
      <c r="C4172">
        <v>14</v>
      </c>
      <c r="D4172">
        <v>228</v>
      </c>
      <c r="E4172" t="s">
        <v>8</v>
      </c>
      <c r="F4172" t="s">
        <v>13</v>
      </c>
      <c r="G4172" t="s">
        <v>14</v>
      </c>
      <c r="H4172">
        <v>0</v>
      </c>
    </row>
    <row r="4173" spans="1:8" x14ac:dyDescent="0.35">
      <c r="A4173">
        <v>15793</v>
      </c>
      <c r="B4173" t="s">
        <v>7</v>
      </c>
      <c r="C4173">
        <v>9</v>
      </c>
      <c r="D4173">
        <v>375</v>
      </c>
      <c r="E4173" t="s">
        <v>8</v>
      </c>
      <c r="F4173" t="s">
        <v>13</v>
      </c>
      <c r="G4173" t="s">
        <v>16</v>
      </c>
      <c r="H4173">
        <v>0</v>
      </c>
    </row>
    <row r="4174" spans="1:8" x14ac:dyDescent="0.35">
      <c r="A4174">
        <v>13498</v>
      </c>
      <c r="B4174" t="s">
        <v>7</v>
      </c>
      <c r="C4174">
        <v>6</v>
      </c>
      <c r="D4174">
        <v>266</v>
      </c>
      <c r="E4174" t="s">
        <v>8</v>
      </c>
      <c r="F4174" t="s">
        <v>9</v>
      </c>
      <c r="G4174" t="s">
        <v>14</v>
      </c>
      <c r="H4174">
        <v>0</v>
      </c>
    </row>
    <row r="4175" spans="1:8" x14ac:dyDescent="0.35">
      <c r="A4175">
        <v>13247</v>
      </c>
      <c r="B4175" t="s">
        <v>7</v>
      </c>
      <c r="C4175">
        <v>2</v>
      </c>
      <c r="D4175">
        <v>147</v>
      </c>
      <c r="E4175" t="s">
        <v>8</v>
      </c>
      <c r="F4175" t="s">
        <v>13</v>
      </c>
      <c r="G4175" t="s">
        <v>14</v>
      </c>
      <c r="H4175">
        <v>0</v>
      </c>
    </row>
    <row r="4176" spans="1:8" x14ac:dyDescent="0.35">
      <c r="A4176">
        <v>11389</v>
      </c>
      <c r="B4176" t="s">
        <v>11</v>
      </c>
      <c r="C4176">
        <v>1</v>
      </c>
      <c r="D4176">
        <v>228</v>
      </c>
      <c r="E4176" t="s">
        <v>8</v>
      </c>
      <c r="F4176" t="s">
        <v>13</v>
      </c>
      <c r="G4176" t="s">
        <v>10</v>
      </c>
      <c r="H4176">
        <v>0</v>
      </c>
    </row>
    <row r="4177" spans="1:8" x14ac:dyDescent="0.35">
      <c r="A4177">
        <v>12451</v>
      </c>
      <c r="B4177" t="s">
        <v>7</v>
      </c>
      <c r="C4177">
        <v>14</v>
      </c>
      <c r="D4177">
        <v>188</v>
      </c>
      <c r="E4177" t="s">
        <v>8</v>
      </c>
      <c r="F4177" t="s">
        <v>13</v>
      </c>
      <c r="G4177" t="s">
        <v>12</v>
      </c>
      <c r="H4177">
        <v>0</v>
      </c>
    </row>
    <row r="4178" spans="1:8" x14ac:dyDescent="0.35">
      <c r="A4178">
        <v>19832</v>
      </c>
      <c r="B4178" t="s">
        <v>7</v>
      </c>
      <c r="C4178">
        <v>6</v>
      </c>
      <c r="D4178">
        <v>444</v>
      </c>
      <c r="E4178" t="s">
        <v>8</v>
      </c>
      <c r="F4178" t="s">
        <v>9</v>
      </c>
      <c r="G4178" t="s">
        <v>16</v>
      </c>
      <c r="H4178">
        <v>0</v>
      </c>
    </row>
    <row r="4179" spans="1:8" x14ac:dyDescent="0.35">
      <c r="A4179">
        <v>15109</v>
      </c>
      <c r="B4179" t="s">
        <v>7</v>
      </c>
      <c r="C4179">
        <v>11</v>
      </c>
      <c r="D4179">
        <v>67</v>
      </c>
      <c r="E4179" t="s">
        <v>8</v>
      </c>
      <c r="F4179" t="s">
        <v>9</v>
      </c>
      <c r="G4179" t="s">
        <v>10</v>
      </c>
      <c r="H4179">
        <v>0</v>
      </c>
    </row>
    <row r="4180" spans="1:8" x14ac:dyDescent="0.35">
      <c r="A4180">
        <v>16914</v>
      </c>
      <c r="B4180" t="s">
        <v>7</v>
      </c>
      <c r="C4180">
        <v>2</v>
      </c>
      <c r="D4180">
        <v>128</v>
      </c>
      <c r="E4180" t="s">
        <v>8</v>
      </c>
      <c r="F4180" t="s">
        <v>13</v>
      </c>
      <c r="G4180" t="s">
        <v>14</v>
      </c>
      <c r="H4180">
        <v>0</v>
      </c>
    </row>
    <row r="4181" spans="1:8" x14ac:dyDescent="0.35">
      <c r="A4181">
        <v>11833</v>
      </c>
      <c r="B4181" t="s">
        <v>7</v>
      </c>
      <c r="C4181">
        <v>5</v>
      </c>
      <c r="D4181">
        <v>187</v>
      </c>
      <c r="E4181" t="s">
        <v>8</v>
      </c>
      <c r="F4181" t="s">
        <v>13</v>
      </c>
      <c r="G4181" t="s">
        <v>10</v>
      </c>
      <c r="H4181">
        <v>0</v>
      </c>
    </row>
    <row r="4182" spans="1:8" x14ac:dyDescent="0.35">
      <c r="A4182">
        <v>19898</v>
      </c>
      <c r="B4182" t="s">
        <v>11</v>
      </c>
      <c r="C4182">
        <v>11</v>
      </c>
      <c r="D4182">
        <v>215</v>
      </c>
      <c r="E4182" t="s">
        <v>8</v>
      </c>
      <c r="F4182" t="s">
        <v>13</v>
      </c>
      <c r="G4182" t="s">
        <v>10</v>
      </c>
      <c r="H4182">
        <v>0</v>
      </c>
    </row>
    <row r="4183" spans="1:8" x14ac:dyDescent="0.35">
      <c r="A4183">
        <v>19073</v>
      </c>
      <c r="B4183" t="s">
        <v>7</v>
      </c>
      <c r="C4183">
        <v>8</v>
      </c>
      <c r="D4183">
        <v>314</v>
      </c>
      <c r="E4183" t="s">
        <v>15</v>
      </c>
      <c r="F4183" t="s">
        <v>13</v>
      </c>
      <c r="G4183" t="s">
        <v>12</v>
      </c>
      <c r="H4183">
        <v>1</v>
      </c>
    </row>
    <row r="4184" spans="1:8" x14ac:dyDescent="0.35">
      <c r="A4184">
        <v>15976</v>
      </c>
      <c r="B4184" t="s">
        <v>11</v>
      </c>
      <c r="C4184">
        <v>9</v>
      </c>
      <c r="D4184">
        <v>386</v>
      </c>
      <c r="E4184" t="s">
        <v>8</v>
      </c>
      <c r="F4184" t="s">
        <v>13</v>
      </c>
      <c r="G4184" t="s">
        <v>14</v>
      </c>
      <c r="H4184">
        <v>0</v>
      </c>
    </row>
    <row r="4185" spans="1:8" x14ac:dyDescent="0.35">
      <c r="A4185">
        <v>12467</v>
      </c>
      <c r="B4185" t="s">
        <v>11</v>
      </c>
      <c r="C4185">
        <v>10</v>
      </c>
      <c r="D4185">
        <v>434</v>
      </c>
      <c r="E4185" t="s">
        <v>8</v>
      </c>
      <c r="F4185" t="s">
        <v>9</v>
      </c>
      <c r="G4185" t="s">
        <v>10</v>
      </c>
      <c r="H4185">
        <v>0</v>
      </c>
    </row>
    <row r="4186" spans="1:8" x14ac:dyDescent="0.35">
      <c r="A4186">
        <v>18685</v>
      </c>
      <c r="B4186" t="s">
        <v>11</v>
      </c>
      <c r="C4186">
        <v>3</v>
      </c>
      <c r="D4186">
        <v>442</v>
      </c>
      <c r="E4186" t="s">
        <v>15</v>
      </c>
      <c r="F4186" t="s">
        <v>9</v>
      </c>
      <c r="G4186" t="s">
        <v>10</v>
      </c>
      <c r="H4186">
        <v>1</v>
      </c>
    </row>
    <row r="4187" spans="1:8" x14ac:dyDescent="0.35">
      <c r="A4187">
        <v>15901</v>
      </c>
      <c r="B4187" t="s">
        <v>7</v>
      </c>
      <c r="C4187">
        <v>10</v>
      </c>
      <c r="D4187">
        <v>96</v>
      </c>
      <c r="E4187" t="s">
        <v>15</v>
      </c>
      <c r="F4187" t="s">
        <v>9</v>
      </c>
      <c r="G4187" t="s">
        <v>14</v>
      </c>
      <c r="H4187">
        <v>1</v>
      </c>
    </row>
    <row r="4188" spans="1:8" x14ac:dyDescent="0.35">
      <c r="A4188">
        <v>15504</v>
      </c>
      <c r="B4188" t="s">
        <v>11</v>
      </c>
      <c r="C4188">
        <v>7</v>
      </c>
      <c r="D4188">
        <v>109</v>
      </c>
      <c r="E4188" t="s">
        <v>8</v>
      </c>
      <c r="F4188" t="s">
        <v>9</v>
      </c>
      <c r="G4188" t="s">
        <v>14</v>
      </c>
      <c r="H4188">
        <v>0</v>
      </c>
    </row>
    <row r="4189" spans="1:8" x14ac:dyDescent="0.35">
      <c r="A4189">
        <v>10207</v>
      </c>
      <c r="B4189" t="s">
        <v>11</v>
      </c>
      <c r="C4189">
        <v>9</v>
      </c>
      <c r="D4189">
        <v>365</v>
      </c>
      <c r="E4189" t="s">
        <v>8</v>
      </c>
      <c r="F4189" t="s">
        <v>13</v>
      </c>
      <c r="G4189" t="s">
        <v>16</v>
      </c>
      <c r="H4189">
        <v>0</v>
      </c>
    </row>
    <row r="4190" spans="1:8" x14ac:dyDescent="0.35">
      <c r="A4190">
        <v>17465</v>
      </c>
      <c r="B4190" t="s">
        <v>11</v>
      </c>
      <c r="C4190">
        <v>11</v>
      </c>
      <c r="D4190">
        <v>166</v>
      </c>
      <c r="E4190" t="s">
        <v>8</v>
      </c>
      <c r="F4190" t="s">
        <v>13</v>
      </c>
      <c r="G4190" t="s">
        <v>12</v>
      </c>
      <c r="H4190">
        <v>0</v>
      </c>
    </row>
    <row r="4191" spans="1:8" x14ac:dyDescent="0.35">
      <c r="A4191">
        <v>15488</v>
      </c>
      <c r="B4191" t="s">
        <v>11</v>
      </c>
      <c r="C4191">
        <v>12</v>
      </c>
      <c r="D4191">
        <v>378</v>
      </c>
      <c r="E4191" t="s">
        <v>8</v>
      </c>
      <c r="F4191" t="s">
        <v>13</v>
      </c>
      <c r="G4191" t="s">
        <v>10</v>
      </c>
      <c r="H4191">
        <v>0</v>
      </c>
    </row>
    <row r="4192" spans="1:8" x14ac:dyDescent="0.35">
      <c r="A4192">
        <v>11591</v>
      </c>
      <c r="B4192" t="s">
        <v>7</v>
      </c>
      <c r="C4192">
        <v>3</v>
      </c>
      <c r="D4192">
        <v>146</v>
      </c>
      <c r="E4192" t="s">
        <v>8</v>
      </c>
      <c r="F4192" t="s">
        <v>13</v>
      </c>
      <c r="G4192" t="s">
        <v>10</v>
      </c>
      <c r="H4192">
        <v>0</v>
      </c>
    </row>
    <row r="4193" spans="1:8" x14ac:dyDescent="0.35">
      <c r="A4193">
        <v>15086</v>
      </c>
      <c r="B4193" t="s">
        <v>11</v>
      </c>
      <c r="C4193">
        <v>12</v>
      </c>
      <c r="D4193">
        <v>236</v>
      </c>
      <c r="E4193" t="s">
        <v>8</v>
      </c>
      <c r="F4193" t="s">
        <v>9</v>
      </c>
      <c r="G4193" t="s">
        <v>12</v>
      </c>
      <c r="H4193">
        <v>0</v>
      </c>
    </row>
    <row r="4194" spans="1:8" x14ac:dyDescent="0.35">
      <c r="A4194">
        <v>10562</v>
      </c>
      <c r="B4194" t="s">
        <v>7</v>
      </c>
      <c r="C4194">
        <v>10</v>
      </c>
      <c r="D4194">
        <v>303</v>
      </c>
      <c r="E4194" t="s">
        <v>8</v>
      </c>
      <c r="F4194" t="s">
        <v>9</v>
      </c>
      <c r="G4194" t="s">
        <v>10</v>
      </c>
      <c r="H4194">
        <v>0</v>
      </c>
    </row>
    <row r="4195" spans="1:8" x14ac:dyDescent="0.35">
      <c r="A4195">
        <v>13220</v>
      </c>
      <c r="B4195" t="s">
        <v>7</v>
      </c>
      <c r="C4195">
        <v>7</v>
      </c>
      <c r="D4195">
        <v>308</v>
      </c>
      <c r="E4195" t="s">
        <v>8</v>
      </c>
      <c r="F4195" t="s">
        <v>13</v>
      </c>
      <c r="G4195" t="s">
        <v>10</v>
      </c>
      <c r="H4195">
        <v>0</v>
      </c>
    </row>
    <row r="4196" spans="1:8" x14ac:dyDescent="0.35">
      <c r="A4196">
        <v>13792</v>
      </c>
      <c r="B4196" t="s">
        <v>7</v>
      </c>
      <c r="C4196">
        <v>14</v>
      </c>
      <c r="D4196">
        <v>315</v>
      </c>
      <c r="E4196" t="s">
        <v>8</v>
      </c>
      <c r="F4196" t="s">
        <v>13</v>
      </c>
      <c r="G4196" t="s">
        <v>10</v>
      </c>
      <c r="H4196">
        <v>0</v>
      </c>
    </row>
    <row r="4197" spans="1:8" x14ac:dyDescent="0.35">
      <c r="A4197">
        <v>10197</v>
      </c>
      <c r="B4197" t="s">
        <v>11</v>
      </c>
      <c r="C4197">
        <v>14</v>
      </c>
      <c r="D4197">
        <v>300</v>
      </c>
      <c r="E4197" t="s">
        <v>8</v>
      </c>
      <c r="F4197" t="s">
        <v>13</v>
      </c>
      <c r="G4197" t="s">
        <v>14</v>
      </c>
      <c r="H4197">
        <v>0</v>
      </c>
    </row>
    <row r="4198" spans="1:8" x14ac:dyDescent="0.35">
      <c r="A4198">
        <v>13585</v>
      </c>
      <c r="B4198" t="s">
        <v>7</v>
      </c>
      <c r="C4198">
        <v>9</v>
      </c>
      <c r="D4198">
        <v>44</v>
      </c>
      <c r="E4198" t="s">
        <v>8</v>
      </c>
      <c r="F4198" t="s">
        <v>13</v>
      </c>
      <c r="G4198" t="s">
        <v>10</v>
      </c>
      <c r="H4198">
        <v>0</v>
      </c>
    </row>
    <row r="4199" spans="1:8" x14ac:dyDescent="0.35">
      <c r="A4199">
        <v>18884</v>
      </c>
      <c r="B4199" t="s">
        <v>11</v>
      </c>
      <c r="C4199">
        <v>7</v>
      </c>
      <c r="D4199">
        <v>333</v>
      </c>
      <c r="E4199" t="s">
        <v>8</v>
      </c>
      <c r="F4199" t="s">
        <v>13</v>
      </c>
      <c r="G4199" t="s">
        <v>12</v>
      </c>
      <c r="H4199">
        <v>0</v>
      </c>
    </row>
    <row r="4200" spans="1:8" x14ac:dyDescent="0.35">
      <c r="A4200">
        <v>18544</v>
      </c>
      <c r="B4200" t="s">
        <v>7</v>
      </c>
      <c r="C4200">
        <v>10</v>
      </c>
      <c r="D4200">
        <v>317</v>
      </c>
      <c r="E4200" t="s">
        <v>8</v>
      </c>
      <c r="F4200" t="s">
        <v>13</v>
      </c>
      <c r="G4200" t="s">
        <v>14</v>
      </c>
      <c r="H4200">
        <v>0</v>
      </c>
    </row>
    <row r="4201" spans="1:8" x14ac:dyDescent="0.35">
      <c r="A4201">
        <v>17301</v>
      </c>
      <c r="B4201" t="s">
        <v>11</v>
      </c>
      <c r="C4201">
        <v>1</v>
      </c>
      <c r="D4201">
        <v>379</v>
      </c>
      <c r="E4201" t="s">
        <v>8</v>
      </c>
      <c r="F4201" t="s">
        <v>13</v>
      </c>
      <c r="G4201" t="s">
        <v>14</v>
      </c>
      <c r="H4201">
        <v>0</v>
      </c>
    </row>
    <row r="4202" spans="1:8" x14ac:dyDescent="0.35">
      <c r="A4202">
        <v>10591</v>
      </c>
      <c r="B4202" t="s">
        <v>7</v>
      </c>
      <c r="C4202">
        <v>5</v>
      </c>
      <c r="D4202">
        <v>67</v>
      </c>
      <c r="E4202" t="s">
        <v>8</v>
      </c>
      <c r="F4202" t="s">
        <v>9</v>
      </c>
      <c r="G4202" t="s">
        <v>16</v>
      </c>
      <c r="H4202">
        <v>0</v>
      </c>
    </row>
    <row r="4203" spans="1:8" x14ac:dyDescent="0.35">
      <c r="A4203">
        <v>14314</v>
      </c>
      <c r="B4203" t="s">
        <v>11</v>
      </c>
      <c r="C4203">
        <v>11</v>
      </c>
      <c r="D4203">
        <v>105</v>
      </c>
      <c r="E4203" t="s">
        <v>8</v>
      </c>
      <c r="F4203" t="s">
        <v>13</v>
      </c>
      <c r="G4203" t="s">
        <v>12</v>
      </c>
      <c r="H4203">
        <v>0</v>
      </c>
    </row>
    <row r="4204" spans="1:8" x14ac:dyDescent="0.35">
      <c r="A4204">
        <v>17747</v>
      </c>
      <c r="B4204" t="s">
        <v>11</v>
      </c>
      <c r="C4204">
        <v>14</v>
      </c>
      <c r="D4204">
        <v>179</v>
      </c>
      <c r="E4204" t="s">
        <v>8</v>
      </c>
      <c r="F4204" t="s">
        <v>9</v>
      </c>
      <c r="G4204" t="s">
        <v>14</v>
      </c>
      <c r="H4204">
        <v>0</v>
      </c>
    </row>
    <row r="4205" spans="1:8" x14ac:dyDescent="0.35">
      <c r="A4205">
        <v>19336</v>
      </c>
      <c r="B4205" t="s">
        <v>11</v>
      </c>
      <c r="C4205">
        <v>12</v>
      </c>
      <c r="D4205">
        <v>225</v>
      </c>
      <c r="E4205" t="s">
        <v>8</v>
      </c>
      <c r="F4205" t="s">
        <v>9</v>
      </c>
      <c r="G4205" t="s">
        <v>12</v>
      </c>
      <c r="H4205">
        <v>0</v>
      </c>
    </row>
    <row r="4206" spans="1:8" x14ac:dyDescent="0.35">
      <c r="A4206">
        <v>17253</v>
      </c>
      <c r="B4206" t="s">
        <v>7</v>
      </c>
      <c r="C4206">
        <v>9</v>
      </c>
      <c r="D4206">
        <v>253</v>
      </c>
      <c r="E4206" t="s">
        <v>8</v>
      </c>
      <c r="F4206" t="s">
        <v>9</v>
      </c>
      <c r="G4206" t="s">
        <v>10</v>
      </c>
      <c r="H4206">
        <v>0</v>
      </c>
    </row>
    <row r="4207" spans="1:8" x14ac:dyDescent="0.35">
      <c r="A4207">
        <v>10254</v>
      </c>
      <c r="B4207" t="s">
        <v>11</v>
      </c>
      <c r="C4207">
        <v>9</v>
      </c>
      <c r="D4207">
        <v>181</v>
      </c>
      <c r="E4207" t="s">
        <v>8</v>
      </c>
      <c r="F4207" t="s">
        <v>9</v>
      </c>
      <c r="G4207" t="s">
        <v>12</v>
      </c>
      <c r="H4207">
        <v>0</v>
      </c>
    </row>
    <row r="4208" spans="1:8" x14ac:dyDescent="0.35">
      <c r="A4208">
        <v>13554</v>
      </c>
      <c r="B4208" t="s">
        <v>7</v>
      </c>
      <c r="C4208">
        <v>14</v>
      </c>
      <c r="D4208">
        <v>78</v>
      </c>
      <c r="E4208" t="s">
        <v>15</v>
      </c>
      <c r="F4208" t="s">
        <v>9</v>
      </c>
      <c r="G4208" t="s">
        <v>16</v>
      </c>
      <c r="H4208">
        <v>1</v>
      </c>
    </row>
    <row r="4209" spans="1:8" x14ac:dyDescent="0.35">
      <c r="A4209">
        <v>15655</v>
      </c>
      <c r="B4209" t="s">
        <v>11</v>
      </c>
      <c r="C4209">
        <v>10</v>
      </c>
      <c r="D4209">
        <v>262</v>
      </c>
      <c r="E4209" t="s">
        <v>8</v>
      </c>
      <c r="F4209" t="s">
        <v>9</v>
      </c>
      <c r="G4209" t="s">
        <v>16</v>
      </c>
      <c r="H4209">
        <v>0</v>
      </c>
    </row>
    <row r="4210" spans="1:8" x14ac:dyDescent="0.35">
      <c r="A4210">
        <v>18157</v>
      </c>
      <c r="B4210" t="s">
        <v>11</v>
      </c>
      <c r="C4210">
        <v>13</v>
      </c>
      <c r="D4210">
        <v>124</v>
      </c>
      <c r="E4210" t="s">
        <v>8</v>
      </c>
      <c r="F4210" t="s">
        <v>9</v>
      </c>
      <c r="G4210" t="s">
        <v>14</v>
      </c>
      <c r="H4210">
        <v>0</v>
      </c>
    </row>
    <row r="4211" spans="1:8" x14ac:dyDescent="0.35">
      <c r="A4211">
        <v>15691</v>
      </c>
      <c r="B4211" t="s">
        <v>11</v>
      </c>
      <c r="C4211">
        <v>2</v>
      </c>
      <c r="D4211">
        <v>222</v>
      </c>
      <c r="E4211" t="s">
        <v>8</v>
      </c>
      <c r="F4211" t="s">
        <v>13</v>
      </c>
      <c r="G4211" t="s">
        <v>16</v>
      </c>
      <c r="H4211">
        <v>0</v>
      </c>
    </row>
    <row r="4212" spans="1:8" x14ac:dyDescent="0.35">
      <c r="A4212">
        <v>16847</v>
      </c>
      <c r="B4212" t="s">
        <v>11</v>
      </c>
      <c r="C4212">
        <v>2</v>
      </c>
      <c r="D4212">
        <v>207</v>
      </c>
      <c r="E4212" t="s">
        <v>8</v>
      </c>
      <c r="F4212" t="s">
        <v>9</v>
      </c>
      <c r="G4212" t="s">
        <v>16</v>
      </c>
      <c r="H4212">
        <v>0</v>
      </c>
    </row>
    <row r="4213" spans="1:8" x14ac:dyDescent="0.35">
      <c r="A4213">
        <v>15106</v>
      </c>
      <c r="B4213" t="s">
        <v>7</v>
      </c>
      <c r="C4213">
        <v>13</v>
      </c>
      <c r="D4213">
        <v>135</v>
      </c>
      <c r="E4213" t="s">
        <v>8</v>
      </c>
      <c r="F4213" t="s">
        <v>9</v>
      </c>
      <c r="G4213" t="s">
        <v>10</v>
      </c>
      <c r="H4213">
        <v>0</v>
      </c>
    </row>
    <row r="4214" spans="1:8" x14ac:dyDescent="0.35">
      <c r="A4214">
        <v>13832</v>
      </c>
      <c r="B4214" t="s">
        <v>7</v>
      </c>
      <c r="C4214">
        <v>6</v>
      </c>
      <c r="D4214">
        <v>115</v>
      </c>
      <c r="E4214" t="s">
        <v>8</v>
      </c>
      <c r="F4214" t="s">
        <v>13</v>
      </c>
      <c r="G4214" t="s">
        <v>14</v>
      </c>
      <c r="H4214">
        <v>0</v>
      </c>
    </row>
    <row r="4215" spans="1:8" x14ac:dyDescent="0.35">
      <c r="A4215">
        <v>19544</v>
      </c>
      <c r="B4215" t="s">
        <v>7</v>
      </c>
      <c r="C4215">
        <v>11</v>
      </c>
      <c r="D4215">
        <v>147</v>
      </c>
      <c r="E4215" t="s">
        <v>15</v>
      </c>
      <c r="F4215" t="s">
        <v>9</v>
      </c>
      <c r="G4215" t="s">
        <v>10</v>
      </c>
      <c r="H4215">
        <v>1</v>
      </c>
    </row>
    <row r="4216" spans="1:8" x14ac:dyDescent="0.35">
      <c r="A4216">
        <v>13968</v>
      </c>
      <c r="B4216" t="s">
        <v>11</v>
      </c>
      <c r="C4216">
        <v>9</v>
      </c>
      <c r="D4216">
        <v>69</v>
      </c>
      <c r="E4216" t="s">
        <v>8</v>
      </c>
      <c r="F4216" t="s">
        <v>9</v>
      </c>
      <c r="G4216" t="s">
        <v>12</v>
      </c>
      <c r="H4216">
        <v>0</v>
      </c>
    </row>
    <row r="4217" spans="1:8" x14ac:dyDescent="0.35">
      <c r="A4217">
        <v>10947</v>
      </c>
      <c r="B4217" t="s">
        <v>7</v>
      </c>
      <c r="C4217">
        <v>5</v>
      </c>
      <c r="D4217">
        <v>302</v>
      </c>
      <c r="E4217" t="s">
        <v>8</v>
      </c>
      <c r="F4217" t="s">
        <v>13</v>
      </c>
      <c r="G4217" t="s">
        <v>16</v>
      </c>
      <c r="H4217">
        <v>0</v>
      </c>
    </row>
    <row r="4218" spans="1:8" x14ac:dyDescent="0.35">
      <c r="A4218">
        <v>18418</v>
      </c>
      <c r="B4218" t="s">
        <v>11</v>
      </c>
      <c r="C4218">
        <v>3</v>
      </c>
      <c r="D4218">
        <v>45</v>
      </c>
      <c r="E4218" t="s">
        <v>8</v>
      </c>
      <c r="F4218" t="s">
        <v>13</v>
      </c>
      <c r="G4218" t="s">
        <v>12</v>
      </c>
      <c r="H4218">
        <v>0</v>
      </c>
    </row>
    <row r="4219" spans="1:8" x14ac:dyDescent="0.35">
      <c r="A4219">
        <v>12164</v>
      </c>
      <c r="B4219" t="s">
        <v>7</v>
      </c>
      <c r="C4219">
        <v>4</v>
      </c>
      <c r="D4219">
        <v>285</v>
      </c>
      <c r="E4219" t="s">
        <v>8</v>
      </c>
      <c r="F4219" t="s">
        <v>13</v>
      </c>
      <c r="G4219" t="s">
        <v>14</v>
      </c>
      <c r="H4219">
        <v>0</v>
      </c>
    </row>
    <row r="4220" spans="1:8" x14ac:dyDescent="0.35">
      <c r="A4220">
        <v>11450</v>
      </c>
      <c r="B4220" t="s">
        <v>11</v>
      </c>
      <c r="C4220">
        <v>12</v>
      </c>
      <c r="D4220">
        <v>303</v>
      </c>
      <c r="E4220" t="s">
        <v>8</v>
      </c>
      <c r="F4220" t="s">
        <v>9</v>
      </c>
      <c r="G4220" t="s">
        <v>14</v>
      </c>
      <c r="H4220">
        <v>0</v>
      </c>
    </row>
    <row r="4221" spans="1:8" x14ac:dyDescent="0.35">
      <c r="A4221">
        <v>12050</v>
      </c>
      <c r="B4221" t="s">
        <v>11</v>
      </c>
      <c r="C4221">
        <v>3</v>
      </c>
      <c r="D4221">
        <v>93</v>
      </c>
      <c r="E4221" t="s">
        <v>8</v>
      </c>
      <c r="F4221" t="s">
        <v>13</v>
      </c>
      <c r="G4221" t="s">
        <v>10</v>
      </c>
      <c r="H4221">
        <v>0</v>
      </c>
    </row>
    <row r="4222" spans="1:8" x14ac:dyDescent="0.35">
      <c r="A4222">
        <v>19108</v>
      </c>
      <c r="B4222" t="s">
        <v>11</v>
      </c>
      <c r="C4222">
        <v>7</v>
      </c>
      <c r="D4222">
        <v>121</v>
      </c>
      <c r="E4222" t="s">
        <v>8</v>
      </c>
      <c r="F4222" t="s">
        <v>13</v>
      </c>
      <c r="G4222" t="s">
        <v>14</v>
      </c>
      <c r="H4222">
        <v>0</v>
      </c>
    </row>
    <row r="4223" spans="1:8" x14ac:dyDescent="0.35">
      <c r="A4223">
        <v>16051</v>
      </c>
      <c r="B4223" t="s">
        <v>11</v>
      </c>
      <c r="C4223">
        <v>7</v>
      </c>
      <c r="D4223">
        <v>134</v>
      </c>
      <c r="E4223" t="s">
        <v>8</v>
      </c>
      <c r="F4223" t="s">
        <v>9</v>
      </c>
      <c r="G4223" t="s">
        <v>12</v>
      </c>
      <c r="H4223">
        <v>0</v>
      </c>
    </row>
    <row r="4224" spans="1:8" x14ac:dyDescent="0.35">
      <c r="A4224">
        <v>15514</v>
      </c>
      <c r="B4224" t="s">
        <v>7</v>
      </c>
      <c r="C4224">
        <v>13</v>
      </c>
      <c r="D4224">
        <v>289</v>
      </c>
      <c r="E4224" t="s">
        <v>8</v>
      </c>
      <c r="F4224" t="s">
        <v>13</v>
      </c>
      <c r="G4224" t="s">
        <v>10</v>
      </c>
      <c r="H4224">
        <v>0</v>
      </c>
    </row>
    <row r="4225" spans="1:8" x14ac:dyDescent="0.35">
      <c r="A4225">
        <v>17424</v>
      </c>
      <c r="B4225" t="s">
        <v>7</v>
      </c>
      <c r="C4225">
        <v>8</v>
      </c>
      <c r="D4225">
        <v>88</v>
      </c>
      <c r="E4225" t="s">
        <v>8</v>
      </c>
      <c r="F4225" t="s">
        <v>9</v>
      </c>
      <c r="G4225" t="s">
        <v>14</v>
      </c>
      <c r="H4225">
        <v>0</v>
      </c>
    </row>
    <row r="4226" spans="1:8" x14ac:dyDescent="0.35">
      <c r="A4226">
        <v>15085</v>
      </c>
      <c r="B4226" t="s">
        <v>7</v>
      </c>
      <c r="C4226">
        <v>8</v>
      </c>
      <c r="D4226">
        <v>157</v>
      </c>
      <c r="E4226" t="s">
        <v>15</v>
      </c>
      <c r="F4226" t="s">
        <v>13</v>
      </c>
      <c r="G4226" t="s">
        <v>12</v>
      </c>
      <c r="H4226">
        <v>1</v>
      </c>
    </row>
    <row r="4227" spans="1:8" x14ac:dyDescent="0.35">
      <c r="A4227">
        <v>13983</v>
      </c>
      <c r="B4227" t="s">
        <v>11</v>
      </c>
      <c r="C4227">
        <v>1</v>
      </c>
      <c r="D4227">
        <v>396</v>
      </c>
      <c r="E4227" t="s">
        <v>8</v>
      </c>
      <c r="F4227" t="s">
        <v>9</v>
      </c>
      <c r="G4227" t="s">
        <v>12</v>
      </c>
      <c r="H4227">
        <v>0</v>
      </c>
    </row>
    <row r="4228" spans="1:8" x14ac:dyDescent="0.35">
      <c r="A4228">
        <v>11551</v>
      </c>
      <c r="B4228" t="s">
        <v>11</v>
      </c>
      <c r="C4228">
        <v>11</v>
      </c>
      <c r="D4228">
        <v>372</v>
      </c>
      <c r="E4228" t="s">
        <v>15</v>
      </c>
      <c r="F4228" t="s">
        <v>9</v>
      </c>
      <c r="G4228" t="s">
        <v>10</v>
      </c>
      <c r="H4228">
        <v>1</v>
      </c>
    </row>
    <row r="4229" spans="1:8" x14ac:dyDescent="0.35">
      <c r="A4229">
        <v>14512</v>
      </c>
      <c r="B4229" t="s">
        <v>11</v>
      </c>
      <c r="C4229">
        <v>2</v>
      </c>
      <c r="D4229">
        <v>401</v>
      </c>
      <c r="E4229" t="s">
        <v>8</v>
      </c>
      <c r="F4229" t="s">
        <v>13</v>
      </c>
      <c r="G4229" t="s">
        <v>10</v>
      </c>
      <c r="H4229">
        <v>0</v>
      </c>
    </row>
    <row r="4230" spans="1:8" x14ac:dyDescent="0.35">
      <c r="A4230">
        <v>16132</v>
      </c>
      <c r="B4230" t="s">
        <v>11</v>
      </c>
      <c r="C4230">
        <v>13</v>
      </c>
      <c r="D4230">
        <v>303</v>
      </c>
      <c r="E4230" t="s">
        <v>8</v>
      </c>
      <c r="F4230" t="s">
        <v>9</v>
      </c>
      <c r="G4230" t="s">
        <v>12</v>
      </c>
      <c r="H4230">
        <v>0</v>
      </c>
    </row>
    <row r="4231" spans="1:8" x14ac:dyDescent="0.35">
      <c r="A4231">
        <v>15633</v>
      </c>
      <c r="B4231" t="s">
        <v>11</v>
      </c>
      <c r="C4231">
        <v>4</v>
      </c>
      <c r="D4231">
        <v>319</v>
      </c>
      <c r="E4231" t="s">
        <v>8</v>
      </c>
      <c r="F4231" t="s">
        <v>9</v>
      </c>
      <c r="G4231" t="s">
        <v>16</v>
      </c>
      <c r="H4231">
        <v>0</v>
      </c>
    </row>
    <row r="4232" spans="1:8" x14ac:dyDescent="0.35">
      <c r="A4232">
        <v>11748</v>
      </c>
      <c r="B4232" t="s">
        <v>7</v>
      </c>
      <c r="C4232">
        <v>10</v>
      </c>
      <c r="D4232">
        <v>118</v>
      </c>
      <c r="E4232" t="s">
        <v>15</v>
      </c>
      <c r="F4232" t="s">
        <v>13</v>
      </c>
      <c r="G4232" t="s">
        <v>14</v>
      </c>
      <c r="H4232">
        <v>1</v>
      </c>
    </row>
    <row r="4233" spans="1:8" x14ac:dyDescent="0.35">
      <c r="A4233">
        <v>14734</v>
      </c>
      <c r="B4233" t="s">
        <v>11</v>
      </c>
      <c r="C4233">
        <v>10</v>
      </c>
      <c r="D4233">
        <v>103</v>
      </c>
      <c r="E4233" t="s">
        <v>8</v>
      </c>
      <c r="F4233" t="s">
        <v>13</v>
      </c>
      <c r="G4233" t="s">
        <v>10</v>
      </c>
      <c r="H4233">
        <v>0</v>
      </c>
    </row>
    <row r="4234" spans="1:8" x14ac:dyDescent="0.35">
      <c r="A4234">
        <v>17767</v>
      </c>
      <c r="B4234" t="s">
        <v>11</v>
      </c>
      <c r="C4234">
        <v>2</v>
      </c>
      <c r="D4234">
        <v>170</v>
      </c>
      <c r="E4234" t="s">
        <v>8</v>
      </c>
      <c r="F4234" t="s">
        <v>13</v>
      </c>
      <c r="G4234" t="s">
        <v>16</v>
      </c>
      <c r="H4234">
        <v>0</v>
      </c>
    </row>
    <row r="4235" spans="1:8" x14ac:dyDescent="0.35">
      <c r="A4235">
        <v>16603</v>
      </c>
      <c r="B4235" t="s">
        <v>11</v>
      </c>
      <c r="C4235">
        <v>11</v>
      </c>
      <c r="D4235">
        <v>176</v>
      </c>
      <c r="E4235" t="s">
        <v>8</v>
      </c>
      <c r="F4235" t="s">
        <v>13</v>
      </c>
      <c r="G4235" t="s">
        <v>12</v>
      </c>
      <c r="H4235">
        <v>0</v>
      </c>
    </row>
    <row r="4236" spans="1:8" x14ac:dyDescent="0.35">
      <c r="A4236">
        <v>15608</v>
      </c>
      <c r="B4236" t="s">
        <v>7</v>
      </c>
      <c r="C4236">
        <v>3</v>
      </c>
      <c r="D4236">
        <v>357</v>
      </c>
      <c r="E4236" t="s">
        <v>8</v>
      </c>
      <c r="F4236" t="s">
        <v>9</v>
      </c>
      <c r="G4236" t="s">
        <v>16</v>
      </c>
      <c r="H4236">
        <v>0</v>
      </c>
    </row>
    <row r="4237" spans="1:8" x14ac:dyDescent="0.35">
      <c r="A4237">
        <v>16263</v>
      </c>
      <c r="B4237" t="s">
        <v>11</v>
      </c>
      <c r="C4237">
        <v>2</v>
      </c>
      <c r="D4237">
        <v>307</v>
      </c>
      <c r="E4237" t="s">
        <v>8</v>
      </c>
      <c r="F4237" t="s">
        <v>9</v>
      </c>
      <c r="G4237" t="s">
        <v>12</v>
      </c>
      <c r="H4237">
        <v>0</v>
      </c>
    </row>
    <row r="4238" spans="1:8" x14ac:dyDescent="0.35">
      <c r="A4238">
        <v>15469</v>
      </c>
      <c r="B4238" t="s">
        <v>7</v>
      </c>
      <c r="C4238">
        <v>13</v>
      </c>
      <c r="D4238">
        <v>213</v>
      </c>
      <c r="E4238" t="s">
        <v>8</v>
      </c>
      <c r="F4238" t="s">
        <v>9</v>
      </c>
      <c r="G4238" t="s">
        <v>10</v>
      </c>
      <c r="H4238">
        <v>0</v>
      </c>
    </row>
    <row r="4239" spans="1:8" x14ac:dyDescent="0.35">
      <c r="A4239">
        <v>16961</v>
      </c>
      <c r="B4239" t="s">
        <v>11</v>
      </c>
      <c r="C4239">
        <v>6</v>
      </c>
      <c r="D4239">
        <v>89</v>
      </c>
      <c r="E4239" t="s">
        <v>8</v>
      </c>
      <c r="F4239" t="s">
        <v>13</v>
      </c>
      <c r="G4239" t="s">
        <v>12</v>
      </c>
      <c r="H4239">
        <v>0</v>
      </c>
    </row>
    <row r="4240" spans="1:8" x14ac:dyDescent="0.35">
      <c r="A4240">
        <v>16733</v>
      </c>
      <c r="B4240" t="s">
        <v>7</v>
      </c>
      <c r="C4240">
        <v>12</v>
      </c>
      <c r="D4240">
        <v>240</v>
      </c>
      <c r="E4240" t="s">
        <v>8</v>
      </c>
      <c r="F4240" t="s">
        <v>9</v>
      </c>
      <c r="G4240" t="s">
        <v>14</v>
      </c>
      <c r="H4240">
        <v>0</v>
      </c>
    </row>
    <row r="4241" spans="1:8" x14ac:dyDescent="0.35">
      <c r="A4241">
        <v>14267</v>
      </c>
      <c r="B4241" t="s">
        <v>11</v>
      </c>
      <c r="C4241">
        <v>9</v>
      </c>
      <c r="D4241">
        <v>292</v>
      </c>
      <c r="E4241" t="s">
        <v>15</v>
      </c>
      <c r="F4241" t="s">
        <v>9</v>
      </c>
      <c r="G4241" t="s">
        <v>16</v>
      </c>
      <c r="H4241">
        <v>1</v>
      </c>
    </row>
    <row r="4242" spans="1:8" x14ac:dyDescent="0.35">
      <c r="A4242">
        <v>15616</v>
      </c>
      <c r="B4242" t="s">
        <v>11</v>
      </c>
      <c r="C4242">
        <v>4</v>
      </c>
      <c r="D4242">
        <v>199</v>
      </c>
      <c r="E4242" t="s">
        <v>8</v>
      </c>
      <c r="F4242" t="s">
        <v>9</v>
      </c>
      <c r="G4242" t="s">
        <v>16</v>
      </c>
      <c r="H4242">
        <v>0</v>
      </c>
    </row>
    <row r="4243" spans="1:8" x14ac:dyDescent="0.35">
      <c r="A4243">
        <v>15262</v>
      </c>
      <c r="B4243" t="s">
        <v>11</v>
      </c>
      <c r="C4243">
        <v>2</v>
      </c>
      <c r="D4243">
        <v>368</v>
      </c>
      <c r="E4243" t="s">
        <v>8</v>
      </c>
      <c r="F4243" t="s">
        <v>13</v>
      </c>
      <c r="G4243" t="s">
        <v>12</v>
      </c>
      <c r="H4243">
        <v>0</v>
      </c>
    </row>
    <row r="4244" spans="1:8" x14ac:dyDescent="0.35">
      <c r="A4244">
        <v>10629</v>
      </c>
      <c r="B4244" t="s">
        <v>7</v>
      </c>
      <c r="C4244">
        <v>14</v>
      </c>
      <c r="D4244">
        <v>181</v>
      </c>
      <c r="E4244" t="s">
        <v>8</v>
      </c>
      <c r="F4244" t="s">
        <v>13</v>
      </c>
      <c r="G4244" t="s">
        <v>10</v>
      </c>
      <c r="H4244">
        <v>0</v>
      </c>
    </row>
    <row r="4245" spans="1:8" x14ac:dyDescent="0.35">
      <c r="A4245">
        <v>17370</v>
      </c>
      <c r="B4245" t="s">
        <v>7</v>
      </c>
      <c r="C4245">
        <v>5</v>
      </c>
      <c r="D4245">
        <v>47</v>
      </c>
      <c r="E4245" t="s">
        <v>8</v>
      </c>
      <c r="F4245" t="s">
        <v>13</v>
      </c>
      <c r="G4245" t="s">
        <v>10</v>
      </c>
      <c r="H4245">
        <v>0</v>
      </c>
    </row>
    <row r="4246" spans="1:8" x14ac:dyDescent="0.35">
      <c r="A4246">
        <v>14668</v>
      </c>
      <c r="B4246" t="s">
        <v>7</v>
      </c>
      <c r="C4246">
        <v>13</v>
      </c>
      <c r="D4246">
        <v>104</v>
      </c>
      <c r="E4246" t="s">
        <v>15</v>
      </c>
      <c r="F4246" t="s">
        <v>13</v>
      </c>
      <c r="G4246" t="s">
        <v>14</v>
      </c>
      <c r="H4246">
        <v>1</v>
      </c>
    </row>
    <row r="4247" spans="1:8" x14ac:dyDescent="0.35">
      <c r="A4247">
        <v>10560</v>
      </c>
      <c r="B4247" t="s">
        <v>7</v>
      </c>
      <c r="C4247">
        <v>3</v>
      </c>
      <c r="D4247">
        <v>78</v>
      </c>
      <c r="E4247" t="s">
        <v>15</v>
      </c>
      <c r="F4247" t="s">
        <v>9</v>
      </c>
      <c r="G4247" t="s">
        <v>12</v>
      </c>
      <c r="H4247">
        <v>1</v>
      </c>
    </row>
    <row r="4248" spans="1:8" x14ac:dyDescent="0.35">
      <c r="A4248">
        <v>12955</v>
      </c>
      <c r="B4248" t="s">
        <v>7</v>
      </c>
      <c r="C4248">
        <v>11</v>
      </c>
      <c r="D4248">
        <v>151</v>
      </c>
      <c r="E4248" t="s">
        <v>8</v>
      </c>
      <c r="F4248" t="s">
        <v>9</v>
      </c>
      <c r="G4248" t="s">
        <v>14</v>
      </c>
      <c r="H4248">
        <v>0</v>
      </c>
    </row>
    <row r="4249" spans="1:8" x14ac:dyDescent="0.35">
      <c r="A4249">
        <v>18434</v>
      </c>
      <c r="B4249" t="s">
        <v>7</v>
      </c>
      <c r="C4249">
        <v>3</v>
      </c>
      <c r="D4249">
        <v>164</v>
      </c>
      <c r="E4249" t="s">
        <v>8</v>
      </c>
      <c r="F4249" t="s">
        <v>13</v>
      </c>
      <c r="G4249" t="s">
        <v>12</v>
      </c>
      <c r="H4249">
        <v>0</v>
      </c>
    </row>
    <row r="4250" spans="1:8" x14ac:dyDescent="0.35">
      <c r="A4250">
        <v>12057</v>
      </c>
      <c r="B4250" t="s">
        <v>7</v>
      </c>
      <c r="C4250">
        <v>10</v>
      </c>
      <c r="D4250">
        <v>92</v>
      </c>
      <c r="E4250" t="s">
        <v>8</v>
      </c>
      <c r="F4250" t="s">
        <v>9</v>
      </c>
      <c r="G4250" t="s">
        <v>10</v>
      </c>
      <c r="H4250">
        <v>0</v>
      </c>
    </row>
    <row r="4251" spans="1:8" x14ac:dyDescent="0.35">
      <c r="A4251">
        <v>13353</v>
      </c>
      <c r="B4251" t="s">
        <v>11</v>
      </c>
      <c r="C4251">
        <v>7</v>
      </c>
      <c r="D4251">
        <v>251</v>
      </c>
      <c r="E4251" t="s">
        <v>8</v>
      </c>
      <c r="F4251" t="s">
        <v>13</v>
      </c>
      <c r="G4251" t="s">
        <v>16</v>
      </c>
      <c r="H4251">
        <v>0</v>
      </c>
    </row>
    <row r="4252" spans="1:8" x14ac:dyDescent="0.35">
      <c r="A4252">
        <v>13309</v>
      </c>
      <c r="B4252" t="s">
        <v>11</v>
      </c>
      <c r="C4252">
        <v>13</v>
      </c>
      <c r="D4252">
        <v>59</v>
      </c>
      <c r="E4252" t="s">
        <v>8</v>
      </c>
      <c r="F4252" t="s">
        <v>13</v>
      </c>
      <c r="G4252" t="s">
        <v>16</v>
      </c>
      <c r="H4252">
        <v>0</v>
      </c>
    </row>
    <row r="4253" spans="1:8" x14ac:dyDescent="0.35">
      <c r="A4253">
        <v>18164</v>
      </c>
      <c r="B4253" t="s">
        <v>11</v>
      </c>
      <c r="C4253">
        <v>11</v>
      </c>
      <c r="D4253">
        <v>305</v>
      </c>
      <c r="E4253" t="s">
        <v>8</v>
      </c>
      <c r="F4253" t="s">
        <v>9</v>
      </c>
      <c r="G4253" t="s">
        <v>10</v>
      </c>
      <c r="H4253">
        <v>0</v>
      </c>
    </row>
    <row r="4254" spans="1:8" x14ac:dyDescent="0.35">
      <c r="A4254">
        <v>12795</v>
      </c>
      <c r="B4254" t="s">
        <v>7</v>
      </c>
      <c r="C4254">
        <v>14</v>
      </c>
      <c r="D4254">
        <v>130</v>
      </c>
      <c r="E4254" t="s">
        <v>8</v>
      </c>
      <c r="F4254" t="s">
        <v>13</v>
      </c>
      <c r="G4254" t="s">
        <v>16</v>
      </c>
      <c r="H4254">
        <v>0</v>
      </c>
    </row>
    <row r="4255" spans="1:8" x14ac:dyDescent="0.35">
      <c r="A4255">
        <v>10676</v>
      </c>
      <c r="B4255" t="s">
        <v>11</v>
      </c>
      <c r="C4255">
        <v>13</v>
      </c>
      <c r="D4255">
        <v>414</v>
      </c>
      <c r="E4255" t="s">
        <v>15</v>
      </c>
      <c r="F4255" t="s">
        <v>13</v>
      </c>
      <c r="G4255" t="s">
        <v>16</v>
      </c>
      <c r="H4255">
        <v>1</v>
      </c>
    </row>
    <row r="4256" spans="1:8" x14ac:dyDescent="0.35">
      <c r="A4256">
        <v>19637</v>
      </c>
      <c r="B4256" t="s">
        <v>7</v>
      </c>
      <c r="C4256">
        <v>13</v>
      </c>
      <c r="D4256">
        <v>422</v>
      </c>
      <c r="E4256" t="s">
        <v>8</v>
      </c>
      <c r="F4256" t="s">
        <v>13</v>
      </c>
      <c r="G4256" t="s">
        <v>16</v>
      </c>
      <c r="H4256">
        <v>0</v>
      </c>
    </row>
    <row r="4257" spans="1:8" x14ac:dyDescent="0.35">
      <c r="A4257">
        <v>19480</v>
      </c>
      <c r="B4257" t="s">
        <v>7</v>
      </c>
      <c r="C4257">
        <v>9</v>
      </c>
      <c r="D4257">
        <v>143</v>
      </c>
      <c r="E4257" t="s">
        <v>8</v>
      </c>
      <c r="F4257" t="s">
        <v>13</v>
      </c>
      <c r="G4257" t="s">
        <v>12</v>
      </c>
      <c r="H4257">
        <v>0</v>
      </c>
    </row>
    <row r="4258" spans="1:8" x14ac:dyDescent="0.35">
      <c r="A4258">
        <v>16281</v>
      </c>
      <c r="B4258" t="s">
        <v>11</v>
      </c>
      <c r="C4258">
        <v>4</v>
      </c>
      <c r="D4258">
        <v>236</v>
      </c>
      <c r="E4258" t="s">
        <v>8</v>
      </c>
      <c r="F4258" t="s">
        <v>13</v>
      </c>
      <c r="G4258" t="s">
        <v>16</v>
      </c>
      <c r="H4258">
        <v>0</v>
      </c>
    </row>
    <row r="4259" spans="1:8" x14ac:dyDescent="0.35">
      <c r="A4259">
        <v>10249</v>
      </c>
      <c r="B4259" t="s">
        <v>7</v>
      </c>
      <c r="C4259">
        <v>9</v>
      </c>
      <c r="D4259">
        <v>139</v>
      </c>
      <c r="E4259" t="s">
        <v>8</v>
      </c>
      <c r="F4259" t="s">
        <v>9</v>
      </c>
      <c r="G4259" t="s">
        <v>16</v>
      </c>
      <c r="H4259">
        <v>0</v>
      </c>
    </row>
    <row r="4260" spans="1:8" x14ac:dyDescent="0.35">
      <c r="A4260">
        <v>12571</v>
      </c>
      <c r="B4260" t="s">
        <v>7</v>
      </c>
      <c r="C4260">
        <v>9</v>
      </c>
      <c r="D4260">
        <v>345</v>
      </c>
      <c r="E4260" t="s">
        <v>8</v>
      </c>
      <c r="F4260" t="s">
        <v>9</v>
      </c>
      <c r="G4260" t="s">
        <v>16</v>
      </c>
      <c r="H4260">
        <v>0</v>
      </c>
    </row>
    <row r="4261" spans="1:8" x14ac:dyDescent="0.35">
      <c r="A4261">
        <v>15631</v>
      </c>
      <c r="B4261" t="s">
        <v>11</v>
      </c>
      <c r="C4261">
        <v>5</v>
      </c>
      <c r="D4261">
        <v>120</v>
      </c>
      <c r="E4261" t="s">
        <v>8</v>
      </c>
      <c r="F4261" t="s">
        <v>13</v>
      </c>
      <c r="G4261" t="s">
        <v>10</v>
      </c>
      <c r="H4261">
        <v>0</v>
      </c>
    </row>
    <row r="4262" spans="1:8" x14ac:dyDescent="0.35">
      <c r="A4262">
        <v>14704</v>
      </c>
      <c r="B4262" t="s">
        <v>11</v>
      </c>
      <c r="C4262">
        <v>11</v>
      </c>
      <c r="D4262">
        <v>437</v>
      </c>
      <c r="E4262" t="s">
        <v>8</v>
      </c>
      <c r="F4262" t="s">
        <v>9</v>
      </c>
      <c r="G4262" t="s">
        <v>12</v>
      </c>
      <c r="H4262">
        <v>0</v>
      </c>
    </row>
    <row r="4263" spans="1:8" x14ac:dyDescent="0.35">
      <c r="A4263">
        <v>14771</v>
      </c>
      <c r="B4263" t="s">
        <v>11</v>
      </c>
      <c r="C4263">
        <v>6</v>
      </c>
      <c r="D4263">
        <v>70</v>
      </c>
      <c r="E4263" t="s">
        <v>8</v>
      </c>
      <c r="F4263" t="s">
        <v>13</v>
      </c>
      <c r="G4263" t="s">
        <v>10</v>
      </c>
      <c r="H4263">
        <v>0</v>
      </c>
    </row>
    <row r="4264" spans="1:8" x14ac:dyDescent="0.35">
      <c r="A4264">
        <v>12417</v>
      </c>
      <c r="B4264" t="s">
        <v>7</v>
      </c>
      <c r="C4264">
        <v>14</v>
      </c>
      <c r="D4264">
        <v>122</v>
      </c>
      <c r="E4264" t="s">
        <v>8</v>
      </c>
      <c r="F4264" t="s">
        <v>9</v>
      </c>
      <c r="G4264" t="s">
        <v>14</v>
      </c>
      <c r="H4264">
        <v>0</v>
      </c>
    </row>
    <row r="4265" spans="1:8" x14ac:dyDescent="0.35">
      <c r="A4265">
        <v>17632</v>
      </c>
      <c r="B4265" t="s">
        <v>11</v>
      </c>
      <c r="C4265">
        <v>11</v>
      </c>
      <c r="D4265">
        <v>114</v>
      </c>
      <c r="E4265" t="s">
        <v>8</v>
      </c>
      <c r="F4265" t="s">
        <v>13</v>
      </c>
      <c r="G4265" t="s">
        <v>12</v>
      </c>
      <c r="H4265">
        <v>0</v>
      </c>
    </row>
    <row r="4266" spans="1:8" x14ac:dyDescent="0.35">
      <c r="A4266">
        <v>17324</v>
      </c>
      <c r="B4266" t="s">
        <v>7</v>
      </c>
      <c r="C4266">
        <v>12</v>
      </c>
      <c r="D4266">
        <v>187</v>
      </c>
      <c r="E4266" t="s">
        <v>8</v>
      </c>
      <c r="F4266" t="s">
        <v>13</v>
      </c>
      <c r="G4266" t="s">
        <v>16</v>
      </c>
      <c r="H4266">
        <v>0</v>
      </c>
    </row>
    <row r="4267" spans="1:8" x14ac:dyDescent="0.35">
      <c r="A4267">
        <v>19046</v>
      </c>
      <c r="B4267" t="s">
        <v>11</v>
      </c>
      <c r="C4267">
        <v>7</v>
      </c>
      <c r="D4267">
        <v>72</v>
      </c>
      <c r="E4267" t="s">
        <v>8</v>
      </c>
      <c r="F4267" t="s">
        <v>9</v>
      </c>
      <c r="G4267" t="s">
        <v>16</v>
      </c>
      <c r="H4267">
        <v>0</v>
      </c>
    </row>
    <row r="4268" spans="1:8" x14ac:dyDescent="0.35">
      <c r="A4268">
        <v>11243</v>
      </c>
      <c r="B4268" t="s">
        <v>11</v>
      </c>
      <c r="C4268">
        <v>12</v>
      </c>
      <c r="D4268">
        <v>352</v>
      </c>
      <c r="E4268" t="s">
        <v>8</v>
      </c>
      <c r="F4268" t="s">
        <v>13</v>
      </c>
      <c r="G4268" t="s">
        <v>12</v>
      </c>
      <c r="H4268">
        <v>0</v>
      </c>
    </row>
    <row r="4269" spans="1:8" x14ac:dyDescent="0.35">
      <c r="A4269">
        <v>15802</v>
      </c>
      <c r="B4269" t="s">
        <v>7</v>
      </c>
      <c r="C4269">
        <v>5</v>
      </c>
      <c r="D4269">
        <v>156</v>
      </c>
      <c r="E4269" t="s">
        <v>8</v>
      </c>
      <c r="F4269" t="s">
        <v>13</v>
      </c>
      <c r="G4269" t="s">
        <v>12</v>
      </c>
      <c r="H4269">
        <v>0</v>
      </c>
    </row>
    <row r="4270" spans="1:8" x14ac:dyDescent="0.35">
      <c r="A4270">
        <v>15339</v>
      </c>
      <c r="B4270" t="s">
        <v>11</v>
      </c>
      <c r="C4270">
        <v>7</v>
      </c>
      <c r="D4270">
        <v>433</v>
      </c>
      <c r="E4270" t="s">
        <v>8</v>
      </c>
      <c r="F4270" t="s">
        <v>9</v>
      </c>
      <c r="G4270" t="s">
        <v>12</v>
      </c>
      <c r="H4270">
        <v>0</v>
      </c>
    </row>
    <row r="4271" spans="1:8" x14ac:dyDescent="0.35">
      <c r="A4271">
        <v>11597</v>
      </c>
      <c r="B4271" t="s">
        <v>7</v>
      </c>
      <c r="C4271">
        <v>7</v>
      </c>
      <c r="D4271">
        <v>156</v>
      </c>
      <c r="E4271" t="s">
        <v>15</v>
      </c>
      <c r="F4271" t="s">
        <v>13</v>
      </c>
      <c r="G4271" t="s">
        <v>16</v>
      </c>
      <c r="H4271">
        <v>1</v>
      </c>
    </row>
    <row r="4272" spans="1:8" x14ac:dyDescent="0.35">
      <c r="A4272">
        <v>16122</v>
      </c>
      <c r="B4272" t="s">
        <v>11</v>
      </c>
      <c r="C4272">
        <v>3</v>
      </c>
      <c r="D4272">
        <v>40</v>
      </c>
      <c r="E4272" t="s">
        <v>8</v>
      </c>
      <c r="F4272" t="s">
        <v>13</v>
      </c>
      <c r="G4272" t="s">
        <v>14</v>
      </c>
      <c r="H4272">
        <v>0</v>
      </c>
    </row>
    <row r="4273" spans="1:8" x14ac:dyDescent="0.35">
      <c r="A4273">
        <v>19585</v>
      </c>
      <c r="B4273" t="s">
        <v>7</v>
      </c>
      <c r="C4273">
        <v>13</v>
      </c>
      <c r="D4273">
        <v>354</v>
      </c>
      <c r="E4273" t="s">
        <v>8</v>
      </c>
      <c r="F4273" t="s">
        <v>9</v>
      </c>
      <c r="G4273" t="s">
        <v>14</v>
      </c>
      <c r="H4273">
        <v>0</v>
      </c>
    </row>
    <row r="4274" spans="1:8" x14ac:dyDescent="0.35">
      <c r="A4274">
        <v>14531</v>
      </c>
      <c r="B4274" t="s">
        <v>7</v>
      </c>
      <c r="C4274">
        <v>3</v>
      </c>
      <c r="D4274">
        <v>234</v>
      </c>
      <c r="E4274" t="s">
        <v>8</v>
      </c>
      <c r="F4274" t="s">
        <v>9</v>
      </c>
      <c r="G4274" t="s">
        <v>16</v>
      </c>
      <c r="H4274">
        <v>0</v>
      </c>
    </row>
    <row r="4275" spans="1:8" x14ac:dyDescent="0.35">
      <c r="A4275">
        <v>10262</v>
      </c>
      <c r="B4275" t="s">
        <v>7</v>
      </c>
      <c r="C4275">
        <v>5</v>
      </c>
      <c r="D4275">
        <v>337</v>
      </c>
      <c r="E4275" t="s">
        <v>8</v>
      </c>
      <c r="F4275" t="s">
        <v>9</v>
      </c>
      <c r="G4275" t="s">
        <v>16</v>
      </c>
      <c r="H4275">
        <v>0</v>
      </c>
    </row>
    <row r="4276" spans="1:8" x14ac:dyDescent="0.35">
      <c r="A4276">
        <v>17214</v>
      </c>
      <c r="B4276" t="s">
        <v>11</v>
      </c>
      <c r="C4276">
        <v>1</v>
      </c>
      <c r="D4276">
        <v>55</v>
      </c>
      <c r="E4276" t="s">
        <v>8</v>
      </c>
      <c r="F4276" t="s">
        <v>9</v>
      </c>
      <c r="G4276" t="s">
        <v>10</v>
      </c>
      <c r="H4276">
        <v>0</v>
      </c>
    </row>
    <row r="4277" spans="1:8" x14ac:dyDescent="0.35">
      <c r="A4277">
        <v>12459</v>
      </c>
      <c r="B4277" t="s">
        <v>7</v>
      </c>
      <c r="C4277">
        <v>2</v>
      </c>
      <c r="D4277">
        <v>323</v>
      </c>
      <c r="E4277" t="s">
        <v>8</v>
      </c>
      <c r="F4277" t="s">
        <v>9</v>
      </c>
      <c r="G4277" t="s">
        <v>10</v>
      </c>
      <c r="H4277">
        <v>0</v>
      </c>
    </row>
    <row r="4278" spans="1:8" x14ac:dyDescent="0.35">
      <c r="A4278">
        <v>10647</v>
      </c>
      <c r="B4278" t="s">
        <v>11</v>
      </c>
      <c r="C4278">
        <v>6</v>
      </c>
      <c r="D4278">
        <v>246</v>
      </c>
      <c r="E4278" t="s">
        <v>8</v>
      </c>
      <c r="F4278" t="s">
        <v>9</v>
      </c>
      <c r="G4278" t="s">
        <v>10</v>
      </c>
      <c r="H4278">
        <v>0</v>
      </c>
    </row>
    <row r="4279" spans="1:8" x14ac:dyDescent="0.35">
      <c r="A4279">
        <v>16803</v>
      </c>
      <c r="B4279" t="s">
        <v>7</v>
      </c>
      <c r="C4279">
        <v>13</v>
      </c>
      <c r="D4279">
        <v>217</v>
      </c>
      <c r="E4279" t="s">
        <v>15</v>
      </c>
      <c r="F4279" t="s">
        <v>13</v>
      </c>
      <c r="G4279" t="s">
        <v>14</v>
      </c>
      <c r="H4279">
        <v>1</v>
      </c>
    </row>
    <row r="4280" spans="1:8" x14ac:dyDescent="0.35">
      <c r="A4280">
        <v>17051</v>
      </c>
      <c r="B4280" t="s">
        <v>11</v>
      </c>
      <c r="C4280">
        <v>11</v>
      </c>
      <c r="D4280">
        <v>50</v>
      </c>
      <c r="E4280" t="s">
        <v>8</v>
      </c>
      <c r="F4280" t="s">
        <v>9</v>
      </c>
      <c r="G4280" t="s">
        <v>12</v>
      </c>
      <c r="H4280">
        <v>0</v>
      </c>
    </row>
    <row r="4281" spans="1:8" x14ac:dyDescent="0.35">
      <c r="A4281">
        <v>18258</v>
      </c>
      <c r="B4281" t="s">
        <v>11</v>
      </c>
      <c r="C4281">
        <v>1</v>
      </c>
      <c r="D4281">
        <v>288</v>
      </c>
      <c r="E4281" t="s">
        <v>8</v>
      </c>
      <c r="F4281" t="s">
        <v>13</v>
      </c>
      <c r="G4281" t="s">
        <v>10</v>
      </c>
      <c r="H4281">
        <v>0</v>
      </c>
    </row>
    <row r="4282" spans="1:8" x14ac:dyDescent="0.35">
      <c r="A4282">
        <v>15805</v>
      </c>
      <c r="B4282" t="s">
        <v>11</v>
      </c>
      <c r="C4282">
        <v>3</v>
      </c>
      <c r="D4282">
        <v>173</v>
      </c>
      <c r="E4282" t="s">
        <v>8</v>
      </c>
      <c r="F4282" t="s">
        <v>13</v>
      </c>
      <c r="G4282" t="s">
        <v>12</v>
      </c>
      <c r="H4282">
        <v>0</v>
      </c>
    </row>
    <row r="4283" spans="1:8" x14ac:dyDescent="0.35">
      <c r="A4283">
        <v>12867</v>
      </c>
      <c r="B4283" t="s">
        <v>11</v>
      </c>
      <c r="C4283">
        <v>12</v>
      </c>
      <c r="D4283">
        <v>195</v>
      </c>
      <c r="E4283" t="s">
        <v>8</v>
      </c>
      <c r="F4283" t="s">
        <v>9</v>
      </c>
      <c r="G4283" t="s">
        <v>14</v>
      </c>
      <c r="H4283">
        <v>0</v>
      </c>
    </row>
    <row r="4284" spans="1:8" x14ac:dyDescent="0.35">
      <c r="A4284">
        <v>15131</v>
      </c>
      <c r="B4284" t="s">
        <v>11</v>
      </c>
      <c r="C4284">
        <v>6</v>
      </c>
      <c r="D4284">
        <v>119</v>
      </c>
      <c r="E4284" t="s">
        <v>8</v>
      </c>
      <c r="F4284" t="s">
        <v>9</v>
      </c>
      <c r="G4284" t="s">
        <v>10</v>
      </c>
      <c r="H4284">
        <v>0</v>
      </c>
    </row>
    <row r="4285" spans="1:8" x14ac:dyDescent="0.35">
      <c r="A4285">
        <v>16612</v>
      </c>
      <c r="B4285" t="s">
        <v>7</v>
      </c>
      <c r="C4285">
        <v>10</v>
      </c>
      <c r="D4285">
        <v>447</v>
      </c>
      <c r="E4285" t="s">
        <v>8</v>
      </c>
      <c r="F4285" t="s">
        <v>9</v>
      </c>
      <c r="G4285" t="s">
        <v>14</v>
      </c>
      <c r="H4285">
        <v>0</v>
      </c>
    </row>
    <row r="4286" spans="1:8" x14ac:dyDescent="0.35">
      <c r="A4286">
        <v>14937</v>
      </c>
      <c r="B4286" t="s">
        <v>7</v>
      </c>
      <c r="C4286">
        <v>9</v>
      </c>
      <c r="D4286">
        <v>59</v>
      </c>
      <c r="E4286" t="s">
        <v>8</v>
      </c>
      <c r="F4286" t="s">
        <v>13</v>
      </c>
      <c r="G4286" t="s">
        <v>14</v>
      </c>
      <c r="H4286">
        <v>0</v>
      </c>
    </row>
    <row r="4287" spans="1:8" x14ac:dyDescent="0.35">
      <c r="A4287">
        <v>15034</v>
      </c>
      <c r="B4287" t="s">
        <v>11</v>
      </c>
      <c r="C4287">
        <v>2</v>
      </c>
      <c r="D4287">
        <v>369</v>
      </c>
      <c r="E4287" t="s">
        <v>8</v>
      </c>
      <c r="F4287" t="s">
        <v>13</v>
      </c>
      <c r="G4287" t="s">
        <v>14</v>
      </c>
      <c r="H4287">
        <v>0</v>
      </c>
    </row>
    <row r="4288" spans="1:8" x14ac:dyDescent="0.35">
      <c r="A4288">
        <v>15107</v>
      </c>
      <c r="B4288" t="s">
        <v>11</v>
      </c>
      <c r="C4288">
        <v>3</v>
      </c>
      <c r="D4288">
        <v>166</v>
      </c>
      <c r="E4288" t="s">
        <v>8</v>
      </c>
      <c r="F4288" t="s">
        <v>9</v>
      </c>
      <c r="G4288" t="s">
        <v>14</v>
      </c>
      <c r="H4288">
        <v>0</v>
      </c>
    </row>
    <row r="4289" spans="1:8" x14ac:dyDescent="0.35">
      <c r="A4289">
        <v>18293</v>
      </c>
      <c r="B4289" t="s">
        <v>7</v>
      </c>
      <c r="C4289">
        <v>1</v>
      </c>
      <c r="D4289">
        <v>52</v>
      </c>
      <c r="E4289" t="s">
        <v>8</v>
      </c>
      <c r="F4289" t="s">
        <v>9</v>
      </c>
      <c r="G4289" t="s">
        <v>12</v>
      </c>
      <c r="H4289">
        <v>0</v>
      </c>
    </row>
    <row r="4290" spans="1:8" x14ac:dyDescent="0.35">
      <c r="A4290">
        <v>17062</v>
      </c>
      <c r="B4290" t="s">
        <v>7</v>
      </c>
      <c r="C4290">
        <v>6</v>
      </c>
      <c r="D4290">
        <v>85</v>
      </c>
      <c r="E4290" t="s">
        <v>15</v>
      </c>
      <c r="F4290" t="s">
        <v>9</v>
      </c>
      <c r="G4290" t="s">
        <v>14</v>
      </c>
      <c r="H4290">
        <v>1</v>
      </c>
    </row>
    <row r="4291" spans="1:8" x14ac:dyDescent="0.35">
      <c r="A4291">
        <v>10752</v>
      </c>
      <c r="B4291" t="s">
        <v>11</v>
      </c>
      <c r="C4291">
        <v>9</v>
      </c>
      <c r="D4291">
        <v>111</v>
      </c>
      <c r="E4291" t="s">
        <v>8</v>
      </c>
      <c r="F4291" t="s">
        <v>9</v>
      </c>
      <c r="G4291" t="s">
        <v>12</v>
      </c>
      <c r="H4291">
        <v>0</v>
      </c>
    </row>
    <row r="4292" spans="1:8" x14ac:dyDescent="0.35">
      <c r="A4292">
        <v>18456</v>
      </c>
      <c r="B4292" t="s">
        <v>11</v>
      </c>
      <c r="C4292">
        <v>5</v>
      </c>
      <c r="D4292">
        <v>303</v>
      </c>
      <c r="E4292" t="s">
        <v>15</v>
      </c>
      <c r="F4292" t="s">
        <v>13</v>
      </c>
      <c r="G4292" t="s">
        <v>16</v>
      </c>
      <c r="H4292">
        <v>1</v>
      </c>
    </row>
    <row r="4293" spans="1:8" x14ac:dyDescent="0.35">
      <c r="A4293">
        <v>11392</v>
      </c>
      <c r="B4293" t="s">
        <v>7</v>
      </c>
      <c r="C4293">
        <v>14</v>
      </c>
      <c r="D4293">
        <v>360</v>
      </c>
      <c r="E4293" t="s">
        <v>8</v>
      </c>
      <c r="F4293" t="s">
        <v>13</v>
      </c>
      <c r="G4293" t="s">
        <v>12</v>
      </c>
      <c r="H4293">
        <v>0</v>
      </c>
    </row>
    <row r="4294" spans="1:8" x14ac:dyDescent="0.35">
      <c r="A4294">
        <v>13139</v>
      </c>
      <c r="B4294" t="s">
        <v>11</v>
      </c>
      <c r="C4294">
        <v>10</v>
      </c>
      <c r="D4294">
        <v>185</v>
      </c>
      <c r="E4294" t="s">
        <v>8</v>
      </c>
      <c r="F4294" t="s">
        <v>13</v>
      </c>
      <c r="G4294" t="s">
        <v>12</v>
      </c>
      <c r="H4294">
        <v>0</v>
      </c>
    </row>
    <row r="4295" spans="1:8" x14ac:dyDescent="0.35">
      <c r="A4295">
        <v>16552</v>
      </c>
      <c r="B4295" t="s">
        <v>11</v>
      </c>
      <c r="C4295">
        <v>2</v>
      </c>
      <c r="D4295">
        <v>374</v>
      </c>
      <c r="E4295" t="s">
        <v>8</v>
      </c>
      <c r="F4295" t="s">
        <v>9</v>
      </c>
      <c r="G4295" t="s">
        <v>14</v>
      </c>
      <c r="H4295">
        <v>0</v>
      </c>
    </row>
    <row r="4296" spans="1:8" x14ac:dyDescent="0.35">
      <c r="A4296">
        <v>10316</v>
      </c>
      <c r="B4296" t="s">
        <v>7</v>
      </c>
      <c r="C4296">
        <v>11</v>
      </c>
      <c r="D4296">
        <v>156</v>
      </c>
      <c r="E4296" t="s">
        <v>8</v>
      </c>
      <c r="F4296" t="s">
        <v>9</v>
      </c>
      <c r="G4296" t="s">
        <v>14</v>
      </c>
      <c r="H4296">
        <v>0</v>
      </c>
    </row>
    <row r="4297" spans="1:8" x14ac:dyDescent="0.35">
      <c r="A4297">
        <v>13618</v>
      </c>
      <c r="B4297" t="s">
        <v>11</v>
      </c>
      <c r="C4297">
        <v>10</v>
      </c>
      <c r="D4297">
        <v>179</v>
      </c>
      <c r="E4297" t="s">
        <v>8</v>
      </c>
      <c r="F4297" t="s">
        <v>13</v>
      </c>
      <c r="G4297" t="s">
        <v>16</v>
      </c>
      <c r="H4297">
        <v>0</v>
      </c>
    </row>
    <row r="4298" spans="1:8" x14ac:dyDescent="0.35">
      <c r="A4298">
        <v>19813</v>
      </c>
      <c r="B4298" t="s">
        <v>11</v>
      </c>
      <c r="C4298">
        <v>3</v>
      </c>
      <c r="D4298">
        <v>328</v>
      </c>
      <c r="E4298" t="s">
        <v>8</v>
      </c>
      <c r="F4298" t="s">
        <v>9</v>
      </c>
      <c r="G4298" t="s">
        <v>16</v>
      </c>
      <c r="H4298">
        <v>0</v>
      </c>
    </row>
    <row r="4299" spans="1:8" x14ac:dyDescent="0.35">
      <c r="A4299">
        <v>16860</v>
      </c>
      <c r="B4299" t="s">
        <v>7</v>
      </c>
      <c r="C4299">
        <v>8</v>
      </c>
      <c r="D4299">
        <v>279</v>
      </c>
      <c r="E4299" t="s">
        <v>8</v>
      </c>
      <c r="F4299" t="s">
        <v>9</v>
      </c>
      <c r="G4299" t="s">
        <v>12</v>
      </c>
      <c r="H4299">
        <v>0</v>
      </c>
    </row>
    <row r="4300" spans="1:8" x14ac:dyDescent="0.35">
      <c r="A4300">
        <v>18693</v>
      </c>
      <c r="B4300" t="s">
        <v>7</v>
      </c>
      <c r="C4300">
        <v>6</v>
      </c>
      <c r="D4300">
        <v>277</v>
      </c>
      <c r="E4300" t="s">
        <v>8</v>
      </c>
      <c r="F4300" t="s">
        <v>9</v>
      </c>
      <c r="G4300" t="s">
        <v>12</v>
      </c>
      <c r="H4300">
        <v>0</v>
      </c>
    </row>
    <row r="4301" spans="1:8" x14ac:dyDescent="0.35">
      <c r="A4301">
        <v>11108</v>
      </c>
      <c r="B4301" t="s">
        <v>11</v>
      </c>
      <c r="C4301">
        <v>6</v>
      </c>
      <c r="D4301">
        <v>405</v>
      </c>
      <c r="E4301" t="s">
        <v>8</v>
      </c>
      <c r="F4301" t="s">
        <v>13</v>
      </c>
      <c r="G4301" t="s">
        <v>10</v>
      </c>
      <c r="H4301">
        <v>0</v>
      </c>
    </row>
    <row r="4302" spans="1:8" x14ac:dyDescent="0.35">
      <c r="A4302">
        <v>12003</v>
      </c>
      <c r="B4302" t="s">
        <v>7</v>
      </c>
      <c r="C4302">
        <v>4</v>
      </c>
      <c r="D4302">
        <v>78</v>
      </c>
      <c r="E4302" t="s">
        <v>15</v>
      </c>
      <c r="F4302" t="s">
        <v>9</v>
      </c>
      <c r="G4302" t="s">
        <v>12</v>
      </c>
      <c r="H4302">
        <v>1</v>
      </c>
    </row>
    <row r="4303" spans="1:8" x14ac:dyDescent="0.35">
      <c r="A4303">
        <v>19403</v>
      </c>
      <c r="B4303" t="s">
        <v>11</v>
      </c>
      <c r="C4303">
        <v>12</v>
      </c>
      <c r="D4303">
        <v>447</v>
      </c>
      <c r="E4303" t="s">
        <v>8</v>
      </c>
      <c r="F4303" t="s">
        <v>13</v>
      </c>
      <c r="G4303" t="s">
        <v>16</v>
      </c>
      <c r="H4303">
        <v>0</v>
      </c>
    </row>
    <row r="4304" spans="1:8" x14ac:dyDescent="0.35">
      <c r="A4304">
        <v>12103</v>
      </c>
      <c r="B4304" t="s">
        <v>11</v>
      </c>
      <c r="C4304">
        <v>11</v>
      </c>
      <c r="D4304">
        <v>137</v>
      </c>
      <c r="E4304" t="s">
        <v>8</v>
      </c>
      <c r="F4304" t="s">
        <v>9</v>
      </c>
      <c r="G4304" t="s">
        <v>12</v>
      </c>
      <c r="H4304">
        <v>0</v>
      </c>
    </row>
    <row r="4305" spans="1:8" x14ac:dyDescent="0.35">
      <c r="A4305">
        <v>17049</v>
      </c>
      <c r="B4305" t="s">
        <v>7</v>
      </c>
      <c r="C4305">
        <v>2</v>
      </c>
      <c r="D4305">
        <v>71</v>
      </c>
      <c r="E4305" t="s">
        <v>8</v>
      </c>
      <c r="F4305" t="s">
        <v>9</v>
      </c>
      <c r="G4305" t="s">
        <v>10</v>
      </c>
      <c r="H4305">
        <v>0</v>
      </c>
    </row>
    <row r="4306" spans="1:8" x14ac:dyDescent="0.35">
      <c r="A4306">
        <v>17452</v>
      </c>
      <c r="B4306" t="s">
        <v>11</v>
      </c>
      <c r="C4306">
        <v>14</v>
      </c>
      <c r="D4306">
        <v>225</v>
      </c>
      <c r="E4306" t="s">
        <v>8</v>
      </c>
      <c r="F4306" t="s">
        <v>9</v>
      </c>
      <c r="G4306" t="s">
        <v>10</v>
      </c>
      <c r="H4306">
        <v>0</v>
      </c>
    </row>
    <row r="4307" spans="1:8" x14ac:dyDescent="0.35">
      <c r="A4307">
        <v>17755</v>
      </c>
      <c r="B4307" t="s">
        <v>7</v>
      </c>
      <c r="C4307">
        <v>14</v>
      </c>
      <c r="D4307">
        <v>318</v>
      </c>
      <c r="E4307" t="s">
        <v>8</v>
      </c>
      <c r="F4307" t="s">
        <v>9</v>
      </c>
      <c r="G4307" t="s">
        <v>14</v>
      </c>
      <c r="H4307">
        <v>0</v>
      </c>
    </row>
    <row r="4308" spans="1:8" x14ac:dyDescent="0.35">
      <c r="A4308">
        <v>11663</v>
      </c>
      <c r="B4308" t="s">
        <v>11</v>
      </c>
      <c r="C4308">
        <v>7</v>
      </c>
      <c r="D4308">
        <v>137</v>
      </c>
      <c r="E4308" t="s">
        <v>8</v>
      </c>
      <c r="F4308" t="s">
        <v>13</v>
      </c>
      <c r="G4308" t="s">
        <v>10</v>
      </c>
      <c r="H4308">
        <v>0</v>
      </c>
    </row>
    <row r="4309" spans="1:8" x14ac:dyDescent="0.35">
      <c r="A4309">
        <v>13949</v>
      </c>
      <c r="B4309" t="s">
        <v>7</v>
      </c>
      <c r="C4309">
        <v>2</v>
      </c>
      <c r="D4309">
        <v>258</v>
      </c>
      <c r="E4309" t="s">
        <v>8</v>
      </c>
      <c r="F4309" t="s">
        <v>13</v>
      </c>
      <c r="G4309" t="s">
        <v>16</v>
      </c>
      <c r="H4309">
        <v>0</v>
      </c>
    </row>
    <row r="4310" spans="1:8" x14ac:dyDescent="0.35">
      <c r="A4310">
        <v>10177</v>
      </c>
      <c r="B4310" t="s">
        <v>7</v>
      </c>
      <c r="C4310">
        <v>2</v>
      </c>
      <c r="D4310">
        <v>359</v>
      </c>
      <c r="E4310" t="s">
        <v>8</v>
      </c>
      <c r="F4310" t="s">
        <v>13</v>
      </c>
      <c r="G4310" t="s">
        <v>10</v>
      </c>
      <c r="H4310">
        <v>0</v>
      </c>
    </row>
    <row r="4311" spans="1:8" x14ac:dyDescent="0.35">
      <c r="A4311">
        <v>14455</v>
      </c>
      <c r="B4311" t="s">
        <v>11</v>
      </c>
      <c r="C4311">
        <v>13</v>
      </c>
      <c r="D4311">
        <v>266</v>
      </c>
      <c r="E4311" t="s">
        <v>8</v>
      </c>
      <c r="F4311" t="s">
        <v>9</v>
      </c>
      <c r="G4311" t="s">
        <v>12</v>
      </c>
      <c r="H4311">
        <v>0</v>
      </c>
    </row>
    <row r="4312" spans="1:8" x14ac:dyDescent="0.35">
      <c r="A4312">
        <v>11217</v>
      </c>
      <c r="B4312" t="s">
        <v>7</v>
      </c>
      <c r="C4312">
        <v>9</v>
      </c>
      <c r="D4312">
        <v>289</v>
      </c>
      <c r="E4312" t="s">
        <v>8</v>
      </c>
      <c r="F4312" t="s">
        <v>13</v>
      </c>
      <c r="G4312" t="s">
        <v>12</v>
      </c>
      <c r="H4312">
        <v>0</v>
      </c>
    </row>
    <row r="4313" spans="1:8" x14ac:dyDescent="0.35">
      <c r="A4313">
        <v>17485</v>
      </c>
      <c r="B4313" t="s">
        <v>11</v>
      </c>
      <c r="C4313">
        <v>2</v>
      </c>
      <c r="D4313">
        <v>100</v>
      </c>
      <c r="E4313" t="s">
        <v>8</v>
      </c>
      <c r="F4313" t="s">
        <v>13</v>
      </c>
      <c r="G4313" t="s">
        <v>10</v>
      </c>
      <c r="H4313">
        <v>0</v>
      </c>
    </row>
    <row r="4314" spans="1:8" x14ac:dyDescent="0.35">
      <c r="A4314">
        <v>15356</v>
      </c>
      <c r="B4314" t="s">
        <v>11</v>
      </c>
      <c r="C4314">
        <v>14</v>
      </c>
      <c r="D4314">
        <v>197</v>
      </c>
      <c r="E4314" t="s">
        <v>8</v>
      </c>
      <c r="F4314" t="s">
        <v>13</v>
      </c>
      <c r="G4314" t="s">
        <v>14</v>
      </c>
      <c r="H4314">
        <v>0</v>
      </c>
    </row>
    <row r="4315" spans="1:8" x14ac:dyDescent="0.35">
      <c r="A4315">
        <v>12804</v>
      </c>
      <c r="B4315" t="s">
        <v>7</v>
      </c>
      <c r="C4315">
        <v>3</v>
      </c>
      <c r="D4315">
        <v>428</v>
      </c>
      <c r="E4315" t="s">
        <v>8</v>
      </c>
      <c r="F4315" t="s">
        <v>13</v>
      </c>
      <c r="G4315" t="s">
        <v>14</v>
      </c>
      <c r="H4315">
        <v>0</v>
      </c>
    </row>
    <row r="4316" spans="1:8" x14ac:dyDescent="0.35">
      <c r="A4316">
        <v>14041</v>
      </c>
      <c r="B4316" t="s">
        <v>7</v>
      </c>
      <c r="C4316">
        <v>5</v>
      </c>
      <c r="D4316">
        <v>404</v>
      </c>
      <c r="E4316" t="s">
        <v>15</v>
      </c>
      <c r="F4316" t="s">
        <v>13</v>
      </c>
      <c r="G4316" t="s">
        <v>16</v>
      </c>
      <c r="H4316">
        <v>1</v>
      </c>
    </row>
    <row r="4317" spans="1:8" x14ac:dyDescent="0.35">
      <c r="A4317">
        <v>15256</v>
      </c>
      <c r="B4317" t="s">
        <v>7</v>
      </c>
      <c r="C4317">
        <v>9</v>
      </c>
      <c r="D4317">
        <v>234</v>
      </c>
      <c r="E4317" t="s">
        <v>8</v>
      </c>
      <c r="F4317" t="s">
        <v>13</v>
      </c>
      <c r="G4317" t="s">
        <v>16</v>
      </c>
      <c r="H4317">
        <v>0</v>
      </c>
    </row>
    <row r="4318" spans="1:8" x14ac:dyDescent="0.35">
      <c r="A4318">
        <v>19393</v>
      </c>
      <c r="B4318" t="s">
        <v>11</v>
      </c>
      <c r="C4318">
        <v>5</v>
      </c>
      <c r="D4318">
        <v>142</v>
      </c>
      <c r="E4318" t="s">
        <v>8</v>
      </c>
      <c r="F4318" t="s">
        <v>9</v>
      </c>
      <c r="G4318" t="s">
        <v>14</v>
      </c>
      <c r="H4318">
        <v>0</v>
      </c>
    </row>
    <row r="4319" spans="1:8" x14ac:dyDescent="0.35">
      <c r="A4319">
        <v>10073</v>
      </c>
      <c r="B4319" t="s">
        <v>11</v>
      </c>
      <c r="C4319">
        <v>10</v>
      </c>
      <c r="D4319">
        <v>85</v>
      </c>
      <c r="E4319" t="s">
        <v>8</v>
      </c>
      <c r="F4319" t="s">
        <v>9</v>
      </c>
      <c r="G4319" t="s">
        <v>12</v>
      </c>
      <c r="H4319">
        <v>0</v>
      </c>
    </row>
    <row r="4320" spans="1:8" x14ac:dyDescent="0.35">
      <c r="A4320">
        <v>15964</v>
      </c>
      <c r="B4320" t="s">
        <v>7</v>
      </c>
      <c r="C4320">
        <v>6</v>
      </c>
      <c r="D4320">
        <v>298</v>
      </c>
      <c r="E4320" t="s">
        <v>8</v>
      </c>
      <c r="F4320" t="s">
        <v>13</v>
      </c>
      <c r="G4320" t="s">
        <v>10</v>
      </c>
      <c r="H4320">
        <v>0</v>
      </c>
    </row>
    <row r="4321" spans="1:8" x14ac:dyDescent="0.35">
      <c r="A4321">
        <v>14110</v>
      </c>
      <c r="B4321" t="s">
        <v>7</v>
      </c>
      <c r="C4321">
        <v>2</v>
      </c>
      <c r="D4321">
        <v>110</v>
      </c>
      <c r="E4321" t="s">
        <v>15</v>
      </c>
      <c r="F4321" t="s">
        <v>9</v>
      </c>
      <c r="G4321" t="s">
        <v>14</v>
      </c>
      <c r="H4321">
        <v>1</v>
      </c>
    </row>
    <row r="4322" spans="1:8" x14ac:dyDescent="0.35">
      <c r="A4322">
        <v>15877</v>
      </c>
      <c r="B4322" t="s">
        <v>7</v>
      </c>
      <c r="C4322">
        <v>5</v>
      </c>
      <c r="D4322">
        <v>198</v>
      </c>
      <c r="E4322" t="s">
        <v>15</v>
      </c>
      <c r="F4322" t="s">
        <v>13</v>
      </c>
      <c r="G4322" t="s">
        <v>12</v>
      </c>
      <c r="H4322">
        <v>1</v>
      </c>
    </row>
    <row r="4323" spans="1:8" x14ac:dyDescent="0.35">
      <c r="A4323">
        <v>10865</v>
      </c>
      <c r="B4323" t="s">
        <v>11</v>
      </c>
      <c r="C4323">
        <v>11</v>
      </c>
      <c r="D4323">
        <v>378</v>
      </c>
      <c r="E4323" t="s">
        <v>8</v>
      </c>
      <c r="F4323" t="s">
        <v>13</v>
      </c>
      <c r="G4323" t="s">
        <v>10</v>
      </c>
      <c r="H4323">
        <v>0</v>
      </c>
    </row>
    <row r="4324" spans="1:8" x14ac:dyDescent="0.35">
      <c r="A4324">
        <v>11594</v>
      </c>
      <c r="B4324" t="s">
        <v>7</v>
      </c>
      <c r="C4324">
        <v>8</v>
      </c>
      <c r="D4324">
        <v>47</v>
      </c>
      <c r="E4324" t="s">
        <v>8</v>
      </c>
      <c r="F4324" t="s">
        <v>13</v>
      </c>
      <c r="G4324" t="s">
        <v>10</v>
      </c>
      <c r="H4324">
        <v>0</v>
      </c>
    </row>
    <row r="4325" spans="1:8" x14ac:dyDescent="0.35">
      <c r="A4325">
        <v>10453</v>
      </c>
      <c r="B4325" t="s">
        <v>11</v>
      </c>
      <c r="C4325">
        <v>4</v>
      </c>
      <c r="D4325">
        <v>170</v>
      </c>
      <c r="E4325" t="s">
        <v>8</v>
      </c>
      <c r="F4325" t="s">
        <v>9</v>
      </c>
      <c r="G4325" t="s">
        <v>14</v>
      </c>
      <c r="H4325">
        <v>0</v>
      </c>
    </row>
    <row r="4326" spans="1:8" x14ac:dyDescent="0.35">
      <c r="A4326">
        <v>15897</v>
      </c>
      <c r="B4326" t="s">
        <v>7</v>
      </c>
      <c r="C4326">
        <v>10</v>
      </c>
      <c r="D4326">
        <v>239</v>
      </c>
      <c r="E4326" t="s">
        <v>8</v>
      </c>
      <c r="F4326" t="s">
        <v>13</v>
      </c>
      <c r="G4326" t="s">
        <v>16</v>
      </c>
      <c r="H4326">
        <v>0</v>
      </c>
    </row>
    <row r="4327" spans="1:8" x14ac:dyDescent="0.35">
      <c r="A4327">
        <v>12200</v>
      </c>
      <c r="B4327" t="s">
        <v>7</v>
      </c>
      <c r="C4327">
        <v>8</v>
      </c>
      <c r="D4327">
        <v>411</v>
      </c>
      <c r="E4327" t="s">
        <v>15</v>
      </c>
      <c r="F4327" t="s">
        <v>13</v>
      </c>
      <c r="G4327" t="s">
        <v>16</v>
      </c>
      <c r="H4327">
        <v>1</v>
      </c>
    </row>
    <row r="4328" spans="1:8" x14ac:dyDescent="0.35">
      <c r="A4328">
        <v>19626</v>
      </c>
      <c r="B4328" t="s">
        <v>7</v>
      </c>
      <c r="C4328">
        <v>5</v>
      </c>
      <c r="D4328">
        <v>274</v>
      </c>
      <c r="E4328" t="s">
        <v>8</v>
      </c>
      <c r="F4328" t="s">
        <v>13</v>
      </c>
      <c r="G4328" t="s">
        <v>12</v>
      </c>
      <c r="H4328">
        <v>0</v>
      </c>
    </row>
    <row r="4329" spans="1:8" x14ac:dyDescent="0.35">
      <c r="A4329">
        <v>13758</v>
      </c>
      <c r="B4329" t="s">
        <v>11</v>
      </c>
      <c r="C4329">
        <v>12</v>
      </c>
      <c r="D4329">
        <v>81</v>
      </c>
      <c r="E4329" t="s">
        <v>8</v>
      </c>
      <c r="F4329" t="s">
        <v>13</v>
      </c>
      <c r="G4329" t="s">
        <v>12</v>
      </c>
      <c r="H4329">
        <v>0</v>
      </c>
    </row>
    <row r="4330" spans="1:8" x14ac:dyDescent="0.35">
      <c r="A4330">
        <v>14106</v>
      </c>
      <c r="B4330" t="s">
        <v>7</v>
      </c>
      <c r="C4330">
        <v>4</v>
      </c>
      <c r="D4330">
        <v>218</v>
      </c>
      <c r="E4330" t="s">
        <v>15</v>
      </c>
      <c r="F4330" t="s">
        <v>9</v>
      </c>
      <c r="G4330" t="s">
        <v>16</v>
      </c>
      <c r="H4330">
        <v>1</v>
      </c>
    </row>
    <row r="4331" spans="1:8" x14ac:dyDescent="0.35">
      <c r="A4331">
        <v>12720</v>
      </c>
      <c r="B4331" t="s">
        <v>11</v>
      </c>
      <c r="C4331">
        <v>13</v>
      </c>
      <c r="D4331">
        <v>243</v>
      </c>
      <c r="E4331" t="s">
        <v>8</v>
      </c>
      <c r="F4331" t="s">
        <v>13</v>
      </c>
      <c r="G4331" t="s">
        <v>12</v>
      </c>
      <c r="H4331">
        <v>0</v>
      </c>
    </row>
    <row r="4332" spans="1:8" x14ac:dyDescent="0.35">
      <c r="A4332">
        <v>18368</v>
      </c>
      <c r="B4332" t="s">
        <v>7</v>
      </c>
      <c r="C4332">
        <v>10</v>
      </c>
      <c r="D4332">
        <v>399</v>
      </c>
      <c r="E4332" t="s">
        <v>8</v>
      </c>
      <c r="F4332" t="s">
        <v>9</v>
      </c>
      <c r="G4332" t="s">
        <v>12</v>
      </c>
      <c r="H4332">
        <v>0</v>
      </c>
    </row>
    <row r="4333" spans="1:8" x14ac:dyDescent="0.35">
      <c r="A4333">
        <v>10266</v>
      </c>
      <c r="B4333" t="s">
        <v>11</v>
      </c>
      <c r="C4333">
        <v>7</v>
      </c>
      <c r="D4333">
        <v>346</v>
      </c>
      <c r="E4333" t="s">
        <v>8</v>
      </c>
      <c r="F4333" t="s">
        <v>9</v>
      </c>
      <c r="G4333" t="s">
        <v>10</v>
      </c>
      <c r="H4333">
        <v>0</v>
      </c>
    </row>
    <row r="4334" spans="1:8" x14ac:dyDescent="0.35">
      <c r="A4334">
        <v>13510</v>
      </c>
      <c r="B4334" t="s">
        <v>11</v>
      </c>
      <c r="C4334">
        <v>14</v>
      </c>
      <c r="D4334">
        <v>162</v>
      </c>
      <c r="E4334" t="s">
        <v>8</v>
      </c>
      <c r="F4334" t="s">
        <v>9</v>
      </c>
      <c r="G4334" t="s">
        <v>16</v>
      </c>
      <c r="H4334">
        <v>0</v>
      </c>
    </row>
    <row r="4335" spans="1:8" x14ac:dyDescent="0.35">
      <c r="A4335">
        <v>12040</v>
      </c>
      <c r="B4335" t="s">
        <v>7</v>
      </c>
      <c r="C4335">
        <v>12</v>
      </c>
      <c r="D4335">
        <v>101</v>
      </c>
      <c r="E4335" t="s">
        <v>8</v>
      </c>
      <c r="F4335" t="s">
        <v>13</v>
      </c>
      <c r="G4335" t="s">
        <v>10</v>
      </c>
      <c r="H4335">
        <v>0</v>
      </c>
    </row>
    <row r="4336" spans="1:8" x14ac:dyDescent="0.35">
      <c r="A4336">
        <v>10122</v>
      </c>
      <c r="B4336" t="s">
        <v>11</v>
      </c>
      <c r="C4336">
        <v>10</v>
      </c>
      <c r="D4336">
        <v>61</v>
      </c>
      <c r="E4336" t="s">
        <v>8</v>
      </c>
      <c r="F4336" t="s">
        <v>9</v>
      </c>
      <c r="G4336" t="s">
        <v>16</v>
      </c>
      <c r="H4336">
        <v>0</v>
      </c>
    </row>
    <row r="4337" spans="1:8" x14ac:dyDescent="0.35">
      <c r="A4337">
        <v>10090</v>
      </c>
      <c r="B4337" t="s">
        <v>7</v>
      </c>
      <c r="C4337">
        <v>9</v>
      </c>
      <c r="D4337">
        <v>401</v>
      </c>
      <c r="E4337" t="s">
        <v>8</v>
      </c>
      <c r="F4337" t="s">
        <v>13</v>
      </c>
      <c r="G4337" t="s">
        <v>12</v>
      </c>
      <c r="H4337">
        <v>0</v>
      </c>
    </row>
    <row r="4338" spans="1:8" x14ac:dyDescent="0.35">
      <c r="A4338">
        <v>13344</v>
      </c>
      <c r="B4338" t="s">
        <v>7</v>
      </c>
      <c r="C4338">
        <v>6</v>
      </c>
      <c r="D4338">
        <v>351</v>
      </c>
      <c r="E4338" t="s">
        <v>8</v>
      </c>
      <c r="F4338" t="s">
        <v>9</v>
      </c>
      <c r="G4338" t="s">
        <v>14</v>
      </c>
      <c r="H4338">
        <v>0</v>
      </c>
    </row>
    <row r="4339" spans="1:8" x14ac:dyDescent="0.35">
      <c r="A4339">
        <v>11577</v>
      </c>
      <c r="B4339" t="s">
        <v>11</v>
      </c>
      <c r="C4339">
        <v>1</v>
      </c>
      <c r="D4339">
        <v>114</v>
      </c>
      <c r="E4339" t="s">
        <v>8</v>
      </c>
      <c r="F4339" t="s">
        <v>9</v>
      </c>
      <c r="G4339" t="s">
        <v>12</v>
      </c>
      <c r="H4339">
        <v>0</v>
      </c>
    </row>
    <row r="4340" spans="1:8" x14ac:dyDescent="0.35">
      <c r="A4340">
        <v>14924</v>
      </c>
      <c r="B4340" t="s">
        <v>11</v>
      </c>
      <c r="C4340">
        <v>2</v>
      </c>
      <c r="D4340">
        <v>47</v>
      </c>
      <c r="E4340" t="s">
        <v>8</v>
      </c>
      <c r="F4340" t="s">
        <v>9</v>
      </c>
      <c r="G4340" t="s">
        <v>16</v>
      </c>
      <c r="H4340">
        <v>0</v>
      </c>
    </row>
    <row r="4341" spans="1:8" x14ac:dyDescent="0.35">
      <c r="A4341">
        <v>19808</v>
      </c>
      <c r="B4341" t="s">
        <v>7</v>
      </c>
      <c r="C4341">
        <v>4</v>
      </c>
      <c r="D4341">
        <v>317</v>
      </c>
      <c r="E4341" t="s">
        <v>8</v>
      </c>
      <c r="F4341" t="s">
        <v>9</v>
      </c>
      <c r="G4341" t="s">
        <v>16</v>
      </c>
      <c r="H4341">
        <v>0</v>
      </c>
    </row>
    <row r="4342" spans="1:8" x14ac:dyDescent="0.35">
      <c r="A4342">
        <v>18102</v>
      </c>
      <c r="B4342" t="s">
        <v>11</v>
      </c>
      <c r="C4342">
        <v>9</v>
      </c>
      <c r="D4342">
        <v>365</v>
      </c>
      <c r="E4342" t="s">
        <v>8</v>
      </c>
      <c r="F4342" t="s">
        <v>13</v>
      </c>
      <c r="G4342" t="s">
        <v>10</v>
      </c>
      <c r="H4342">
        <v>0</v>
      </c>
    </row>
    <row r="4343" spans="1:8" x14ac:dyDescent="0.35">
      <c r="A4343">
        <v>16849</v>
      </c>
      <c r="B4343" t="s">
        <v>11</v>
      </c>
      <c r="C4343">
        <v>5</v>
      </c>
      <c r="D4343">
        <v>61</v>
      </c>
      <c r="E4343" t="s">
        <v>8</v>
      </c>
      <c r="F4343" t="s">
        <v>9</v>
      </c>
      <c r="G4343" t="s">
        <v>14</v>
      </c>
      <c r="H4343">
        <v>0</v>
      </c>
    </row>
    <row r="4344" spans="1:8" x14ac:dyDescent="0.35">
      <c r="A4344">
        <v>19175</v>
      </c>
      <c r="B4344" t="s">
        <v>11</v>
      </c>
      <c r="C4344">
        <v>6</v>
      </c>
      <c r="D4344">
        <v>261</v>
      </c>
      <c r="E4344" t="s">
        <v>15</v>
      </c>
      <c r="F4344" t="s">
        <v>9</v>
      </c>
      <c r="G4344" t="s">
        <v>14</v>
      </c>
      <c r="H4344">
        <v>1</v>
      </c>
    </row>
    <row r="4345" spans="1:8" x14ac:dyDescent="0.35">
      <c r="A4345">
        <v>11476</v>
      </c>
      <c r="B4345" t="s">
        <v>7</v>
      </c>
      <c r="C4345">
        <v>10</v>
      </c>
      <c r="D4345">
        <v>293</v>
      </c>
      <c r="E4345" t="s">
        <v>8</v>
      </c>
      <c r="F4345" t="s">
        <v>13</v>
      </c>
      <c r="G4345" t="s">
        <v>10</v>
      </c>
      <c r="H4345">
        <v>0</v>
      </c>
    </row>
    <row r="4346" spans="1:8" x14ac:dyDescent="0.35">
      <c r="A4346">
        <v>16666</v>
      </c>
      <c r="B4346" t="s">
        <v>11</v>
      </c>
      <c r="C4346">
        <v>4</v>
      </c>
      <c r="D4346">
        <v>410</v>
      </c>
      <c r="E4346" t="s">
        <v>8</v>
      </c>
      <c r="F4346" t="s">
        <v>13</v>
      </c>
      <c r="G4346" t="s">
        <v>16</v>
      </c>
      <c r="H4346">
        <v>0</v>
      </c>
    </row>
    <row r="4347" spans="1:8" x14ac:dyDescent="0.35">
      <c r="A4347">
        <v>11472</v>
      </c>
      <c r="B4347" t="s">
        <v>11</v>
      </c>
      <c r="C4347">
        <v>9</v>
      </c>
      <c r="D4347">
        <v>63</v>
      </c>
      <c r="E4347" t="s">
        <v>8</v>
      </c>
      <c r="F4347" t="s">
        <v>13</v>
      </c>
      <c r="G4347" t="s">
        <v>14</v>
      </c>
      <c r="H4347">
        <v>0</v>
      </c>
    </row>
    <row r="4348" spans="1:8" x14ac:dyDescent="0.35">
      <c r="A4348">
        <v>12123</v>
      </c>
      <c r="B4348" t="s">
        <v>11</v>
      </c>
      <c r="C4348">
        <v>8</v>
      </c>
      <c r="D4348">
        <v>434</v>
      </c>
      <c r="E4348" t="s">
        <v>8</v>
      </c>
      <c r="F4348" t="s">
        <v>13</v>
      </c>
      <c r="G4348" t="s">
        <v>10</v>
      </c>
      <c r="H4348">
        <v>0</v>
      </c>
    </row>
    <row r="4349" spans="1:8" x14ac:dyDescent="0.35">
      <c r="A4349">
        <v>18910</v>
      </c>
      <c r="B4349" t="s">
        <v>7</v>
      </c>
      <c r="C4349">
        <v>1</v>
      </c>
      <c r="D4349">
        <v>156</v>
      </c>
      <c r="E4349" t="s">
        <v>8</v>
      </c>
      <c r="F4349" t="s">
        <v>13</v>
      </c>
      <c r="G4349" t="s">
        <v>14</v>
      </c>
      <c r="H4349">
        <v>0</v>
      </c>
    </row>
    <row r="4350" spans="1:8" x14ac:dyDescent="0.35">
      <c r="A4350">
        <v>10583</v>
      </c>
      <c r="B4350" t="s">
        <v>7</v>
      </c>
      <c r="C4350">
        <v>6</v>
      </c>
      <c r="D4350">
        <v>394</v>
      </c>
      <c r="E4350" t="s">
        <v>8</v>
      </c>
      <c r="F4350" t="s">
        <v>9</v>
      </c>
      <c r="G4350" t="s">
        <v>16</v>
      </c>
      <c r="H4350">
        <v>0</v>
      </c>
    </row>
    <row r="4351" spans="1:8" x14ac:dyDescent="0.35">
      <c r="A4351">
        <v>16217</v>
      </c>
      <c r="B4351" t="s">
        <v>7</v>
      </c>
      <c r="C4351">
        <v>13</v>
      </c>
      <c r="D4351">
        <v>61</v>
      </c>
      <c r="E4351" t="s">
        <v>8</v>
      </c>
      <c r="F4351" t="s">
        <v>13</v>
      </c>
      <c r="G4351" t="s">
        <v>10</v>
      </c>
      <c r="H4351">
        <v>0</v>
      </c>
    </row>
    <row r="4352" spans="1:8" x14ac:dyDescent="0.35">
      <c r="A4352">
        <v>19368</v>
      </c>
      <c r="B4352" t="s">
        <v>11</v>
      </c>
      <c r="C4352">
        <v>12</v>
      </c>
      <c r="D4352">
        <v>167</v>
      </c>
      <c r="E4352" t="s">
        <v>8</v>
      </c>
      <c r="F4352" t="s">
        <v>13</v>
      </c>
      <c r="G4352" t="s">
        <v>12</v>
      </c>
      <c r="H4352">
        <v>0</v>
      </c>
    </row>
    <row r="4353" spans="1:8" x14ac:dyDescent="0.35">
      <c r="A4353">
        <v>17645</v>
      </c>
      <c r="B4353" t="s">
        <v>11</v>
      </c>
      <c r="C4353">
        <v>3</v>
      </c>
      <c r="D4353">
        <v>199</v>
      </c>
      <c r="E4353" t="s">
        <v>8</v>
      </c>
      <c r="F4353" t="s">
        <v>13</v>
      </c>
      <c r="G4353" t="s">
        <v>16</v>
      </c>
      <c r="H4353">
        <v>0</v>
      </c>
    </row>
    <row r="4354" spans="1:8" x14ac:dyDescent="0.35">
      <c r="A4354">
        <v>17564</v>
      </c>
      <c r="B4354" t="s">
        <v>11</v>
      </c>
      <c r="C4354">
        <v>1</v>
      </c>
      <c r="D4354">
        <v>311</v>
      </c>
      <c r="E4354" t="s">
        <v>8</v>
      </c>
      <c r="F4354" t="s">
        <v>13</v>
      </c>
      <c r="G4354" t="s">
        <v>14</v>
      </c>
      <c r="H4354">
        <v>0</v>
      </c>
    </row>
    <row r="4355" spans="1:8" x14ac:dyDescent="0.35">
      <c r="A4355">
        <v>16544</v>
      </c>
      <c r="B4355" t="s">
        <v>7</v>
      </c>
      <c r="C4355">
        <v>12</v>
      </c>
      <c r="D4355">
        <v>275</v>
      </c>
      <c r="E4355" t="s">
        <v>8</v>
      </c>
      <c r="F4355" t="s">
        <v>9</v>
      </c>
      <c r="G4355" t="s">
        <v>16</v>
      </c>
      <c r="H4355">
        <v>0</v>
      </c>
    </row>
    <row r="4356" spans="1:8" x14ac:dyDescent="0.35">
      <c r="A4356">
        <v>16837</v>
      </c>
      <c r="B4356" t="s">
        <v>7</v>
      </c>
      <c r="C4356">
        <v>6</v>
      </c>
      <c r="D4356">
        <v>389</v>
      </c>
      <c r="E4356" t="s">
        <v>8</v>
      </c>
      <c r="F4356" t="s">
        <v>13</v>
      </c>
      <c r="G4356" t="s">
        <v>10</v>
      </c>
      <c r="H4356">
        <v>0</v>
      </c>
    </row>
    <row r="4357" spans="1:8" x14ac:dyDescent="0.35">
      <c r="A4357">
        <v>11888</v>
      </c>
      <c r="B4357" t="s">
        <v>7</v>
      </c>
      <c r="C4357">
        <v>3</v>
      </c>
      <c r="D4357">
        <v>287</v>
      </c>
      <c r="E4357" t="s">
        <v>15</v>
      </c>
      <c r="F4357" t="s">
        <v>13</v>
      </c>
      <c r="G4357" t="s">
        <v>12</v>
      </c>
      <c r="H4357">
        <v>1</v>
      </c>
    </row>
    <row r="4358" spans="1:8" x14ac:dyDescent="0.35">
      <c r="A4358">
        <v>18004</v>
      </c>
      <c r="B4358" t="s">
        <v>7</v>
      </c>
      <c r="C4358">
        <v>1</v>
      </c>
      <c r="D4358">
        <v>431</v>
      </c>
      <c r="E4358" t="s">
        <v>8</v>
      </c>
      <c r="F4358" t="s">
        <v>9</v>
      </c>
      <c r="G4358" t="s">
        <v>16</v>
      </c>
      <c r="H4358">
        <v>0</v>
      </c>
    </row>
    <row r="4359" spans="1:8" x14ac:dyDescent="0.35">
      <c r="A4359">
        <v>19624</v>
      </c>
      <c r="B4359" t="s">
        <v>7</v>
      </c>
      <c r="C4359">
        <v>8</v>
      </c>
      <c r="D4359">
        <v>185</v>
      </c>
      <c r="E4359" t="s">
        <v>8</v>
      </c>
      <c r="F4359" t="s">
        <v>9</v>
      </c>
      <c r="G4359" t="s">
        <v>12</v>
      </c>
      <c r="H4359">
        <v>0</v>
      </c>
    </row>
    <row r="4360" spans="1:8" x14ac:dyDescent="0.35">
      <c r="A4360">
        <v>17322</v>
      </c>
      <c r="B4360" t="s">
        <v>7</v>
      </c>
      <c r="C4360">
        <v>6</v>
      </c>
      <c r="D4360">
        <v>155</v>
      </c>
      <c r="E4360" t="s">
        <v>8</v>
      </c>
      <c r="F4360" t="s">
        <v>9</v>
      </c>
      <c r="G4360" t="s">
        <v>12</v>
      </c>
      <c r="H4360">
        <v>0</v>
      </c>
    </row>
    <row r="4361" spans="1:8" x14ac:dyDescent="0.35">
      <c r="A4361">
        <v>10314</v>
      </c>
      <c r="B4361" t="s">
        <v>7</v>
      </c>
      <c r="C4361">
        <v>3</v>
      </c>
      <c r="D4361">
        <v>348</v>
      </c>
      <c r="E4361" t="s">
        <v>8</v>
      </c>
      <c r="F4361" t="s">
        <v>9</v>
      </c>
      <c r="G4361" t="s">
        <v>14</v>
      </c>
      <c r="H4361">
        <v>0</v>
      </c>
    </row>
    <row r="4362" spans="1:8" x14ac:dyDescent="0.35">
      <c r="A4362">
        <v>17016</v>
      </c>
      <c r="B4362" t="s">
        <v>7</v>
      </c>
      <c r="C4362">
        <v>2</v>
      </c>
      <c r="D4362">
        <v>340</v>
      </c>
      <c r="E4362" t="s">
        <v>8</v>
      </c>
      <c r="F4362" t="s">
        <v>13</v>
      </c>
      <c r="G4362" t="s">
        <v>16</v>
      </c>
      <c r="H4362">
        <v>0</v>
      </c>
    </row>
    <row r="4363" spans="1:8" x14ac:dyDescent="0.35">
      <c r="A4363">
        <v>14541</v>
      </c>
      <c r="B4363" t="s">
        <v>7</v>
      </c>
      <c r="C4363">
        <v>11</v>
      </c>
      <c r="D4363">
        <v>336</v>
      </c>
      <c r="E4363" t="s">
        <v>8</v>
      </c>
      <c r="F4363" t="s">
        <v>13</v>
      </c>
      <c r="G4363" t="s">
        <v>10</v>
      </c>
      <c r="H4363">
        <v>0</v>
      </c>
    </row>
    <row r="4364" spans="1:8" x14ac:dyDescent="0.35">
      <c r="A4364">
        <v>16935</v>
      </c>
      <c r="B4364" t="s">
        <v>11</v>
      </c>
      <c r="C4364">
        <v>3</v>
      </c>
      <c r="D4364">
        <v>368</v>
      </c>
      <c r="E4364" t="s">
        <v>8</v>
      </c>
      <c r="F4364" t="s">
        <v>13</v>
      </c>
      <c r="G4364" t="s">
        <v>14</v>
      </c>
      <c r="H4364">
        <v>0</v>
      </c>
    </row>
    <row r="4365" spans="1:8" x14ac:dyDescent="0.35">
      <c r="A4365">
        <v>12526</v>
      </c>
      <c r="B4365" t="s">
        <v>11</v>
      </c>
      <c r="C4365">
        <v>5</v>
      </c>
      <c r="D4365">
        <v>310</v>
      </c>
      <c r="E4365" t="s">
        <v>8</v>
      </c>
      <c r="F4365" t="s">
        <v>13</v>
      </c>
      <c r="G4365" t="s">
        <v>16</v>
      </c>
      <c r="H4365">
        <v>0</v>
      </c>
    </row>
    <row r="4366" spans="1:8" x14ac:dyDescent="0.35">
      <c r="A4366">
        <v>17025</v>
      </c>
      <c r="B4366" t="s">
        <v>11</v>
      </c>
      <c r="C4366">
        <v>14</v>
      </c>
      <c r="D4366">
        <v>356</v>
      </c>
      <c r="E4366" t="s">
        <v>8</v>
      </c>
      <c r="F4366" t="s">
        <v>13</v>
      </c>
      <c r="G4366" t="s">
        <v>16</v>
      </c>
      <c r="H4366">
        <v>0</v>
      </c>
    </row>
    <row r="4367" spans="1:8" x14ac:dyDescent="0.35">
      <c r="A4367">
        <v>12472</v>
      </c>
      <c r="B4367" t="s">
        <v>7</v>
      </c>
      <c r="C4367">
        <v>5</v>
      </c>
      <c r="D4367">
        <v>306</v>
      </c>
      <c r="E4367" t="s">
        <v>8</v>
      </c>
      <c r="F4367" t="s">
        <v>9</v>
      </c>
      <c r="G4367" t="s">
        <v>10</v>
      </c>
      <c r="H4367">
        <v>0</v>
      </c>
    </row>
    <row r="4368" spans="1:8" x14ac:dyDescent="0.35">
      <c r="A4368">
        <v>16005</v>
      </c>
      <c r="B4368" t="s">
        <v>11</v>
      </c>
      <c r="C4368">
        <v>4</v>
      </c>
      <c r="D4368">
        <v>198</v>
      </c>
      <c r="E4368" t="s">
        <v>8</v>
      </c>
      <c r="F4368" t="s">
        <v>13</v>
      </c>
      <c r="G4368" t="s">
        <v>12</v>
      </c>
      <c r="H4368">
        <v>0</v>
      </c>
    </row>
    <row r="4369" spans="1:8" x14ac:dyDescent="0.35">
      <c r="A4369">
        <v>18987</v>
      </c>
      <c r="B4369" t="s">
        <v>7</v>
      </c>
      <c r="C4369">
        <v>11</v>
      </c>
      <c r="D4369">
        <v>248</v>
      </c>
      <c r="E4369" t="s">
        <v>15</v>
      </c>
      <c r="F4369" t="s">
        <v>9</v>
      </c>
      <c r="G4369" t="s">
        <v>16</v>
      </c>
      <c r="H4369">
        <v>1</v>
      </c>
    </row>
    <row r="4370" spans="1:8" x14ac:dyDescent="0.35">
      <c r="A4370">
        <v>16773</v>
      </c>
      <c r="B4370" t="s">
        <v>7</v>
      </c>
      <c r="C4370">
        <v>6</v>
      </c>
      <c r="D4370">
        <v>215</v>
      </c>
      <c r="E4370" t="s">
        <v>8</v>
      </c>
      <c r="F4370" t="s">
        <v>9</v>
      </c>
      <c r="G4370" t="s">
        <v>12</v>
      </c>
      <c r="H4370">
        <v>0</v>
      </c>
    </row>
    <row r="4371" spans="1:8" x14ac:dyDescent="0.35">
      <c r="A4371">
        <v>13865</v>
      </c>
      <c r="B4371" t="s">
        <v>11</v>
      </c>
      <c r="C4371">
        <v>7</v>
      </c>
      <c r="D4371">
        <v>400</v>
      </c>
      <c r="E4371" t="s">
        <v>8</v>
      </c>
      <c r="F4371" t="s">
        <v>9</v>
      </c>
      <c r="G4371" t="s">
        <v>10</v>
      </c>
      <c r="H4371">
        <v>0</v>
      </c>
    </row>
    <row r="4372" spans="1:8" x14ac:dyDescent="0.35">
      <c r="A4372">
        <v>12669</v>
      </c>
      <c r="B4372" t="s">
        <v>7</v>
      </c>
      <c r="C4372">
        <v>13</v>
      </c>
      <c r="D4372">
        <v>291</v>
      </c>
      <c r="E4372" t="s">
        <v>8</v>
      </c>
      <c r="F4372" t="s">
        <v>9</v>
      </c>
      <c r="G4372" t="s">
        <v>10</v>
      </c>
      <c r="H4372">
        <v>0</v>
      </c>
    </row>
    <row r="4373" spans="1:8" x14ac:dyDescent="0.35">
      <c r="A4373">
        <v>17159</v>
      </c>
      <c r="B4373" t="s">
        <v>7</v>
      </c>
      <c r="C4373">
        <v>10</v>
      </c>
      <c r="D4373">
        <v>66</v>
      </c>
      <c r="E4373" t="s">
        <v>8</v>
      </c>
      <c r="F4373" t="s">
        <v>9</v>
      </c>
      <c r="G4373" t="s">
        <v>16</v>
      </c>
      <c r="H4373">
        <v>0</v>
      </c>
    </row>
    <row r="4374" spans="1:8" x14ac:dyDescent="0.35">
      <c r="A4374">
        <v>15000</v>
      </c>
      <c r="B4374" t="s">
        <v>7</v>
      </c>
      <c r="C4374">
        <v>11</v>
      </c>
      <c r="D4374">
        <v>227</v>
      </c>
      <c r="E4374" t="s">
        <v>8</v>
      </c>
      <c r="F4374" t="s">
        <v>9</v>
      </c>
      <c r="G4374" t="s">
        <v>14</v>
      </c>
      <c r="H4374">
        <v>0</v>
      </c>
    </row>
    <row r="4375" spans="1:8" x14ac:dyDescent="0.35">
      <c r="A4375">
        <v>11379</v>
      </c>
      <c r="B4375" t="s">
        <v>7</v>
      </c>
      <c r="C4375">
        <v>11</v>
      </c>
      <c r="D4375">
        <v>333</v>
      </c>
      <c r="E4375" t="s">
        <v>8</v>
      </c>
      <c r="F4375" t="s">
        <v>13</v>
      </c>
      <c r="G4375" t="s">
        <v>14</v>
      </c>
      <c r="H4375">
        <v>0</v>
      </c>
    </row>
    <row r="4376" spans="1:8" x14ac:dyDescent="0.35">
      <c r="A4376">
        <v>14286</v>
      </c>
      <c r="B4376" t="s">
        <v>7</v>
      </c>
      <c r="C4376">
        <v>1</v>
      </c>
      <c r="D4376">
        <v>223</v>
      </c>
      <c r="E4376" t="s">
        <v>15</v>
      </c>
      <c r="F4376" t="s">
        <v>9</v>
      </c>
      <c r="G4376" t="s">
        <v>10</v>
      </c>
      <c r="H4376">
        <v>1</v>
      </c>
    </row>
    <row r="4377" spans="1:8" x14ac:dyDescent="0.35">
      <c r="A4377">
        <v>18174</v>
      </c>
      <c r="B4377" t="s">
        <v>7</v>
      </c>
      <c r="C4377">
        <v>7</v>
      </c>
      <c r="D4377">
        <v>355</v>
      </c>
      <c r="E4377" t="s">
        <v>8</v>
      </c>
      <c r="F4377" t="s">
        <v>9</v>
      </c>
      <c r="G4377" t="s">
        <v>12</v>
      </c>
      <c r="H4377">
        <v>0</v>
      </c>
    </row>
    <row r="4378" spans="1:8" x14ac:dyDescent="0.35">
      <c r="A4378">
        <v>13380</v>
      </c>
      <c r="B4378" t="s">
        <v>7</v>
      </c>
      <c r="C4378">
        <v>5</v>
      </c>
      <c r="D4378">
        <v>191</v>
      </c>
      <c r="E4378" t="s">
        <v>8</v>
      </c>
      <c r="F4378" t="s">
        <v>13</v>
      </c>
      <c r="G4378" t="s">
        <v>12</v>
      </c>
      <c r="H4378">
        <v>0</v>
      </c>
    </row>
    <row r="4379" spans="1:8" x14ac:dyDescent="0.35">
      <c r="A4379">
        <v>16439</v>
      </c>
      <c r="B4379" t="s">
        <v>7</v>
      </c>
      <c r="C4379">
        <v>12</v>
      </c>
      <c r="D4379">
        <v>164</v>
      </c>
      <c r="E4379" t="s">
        <v>8</v>
      </c>
      <c r="F4379" t="s">
        <v>9</v>
      </c>
      <c r="G4379" t="s">
        <v>14</v>
      </c>
      <c r="H4379">
        <v>0</v>
      </c>
    </row>
    <row r="4380" spans="1:8" x14ac:dyDescent="0.35">
      <c r="A4380">
        <v>18226</v>
      </c>
      <c r="B4380" t="s">
        <v>7</v>
      </c>
      <c r="C4380">
        <v>2</v>
      </c>
      <c r="D4380">
        <v>388</v>
      </c>
      <c r="E4380" t="s">
        <v>8</v>
      </c>
      <c r="F4380" t="s">
        <v>9</v>
      </c>
      <c r="G4380" t="s">
        <v>12</v>
      </c>
      <c r="H4380">
        <v>0</v>
      </c>
    </row>
    <row r="4381" spans="1:8" x14ac:dyDescent="0.35">
      <c r="A4381">
        <v>16542</v>
      </c>
      <c r="B4381" t="s">
        <v>7</v>
      </c>
      <c r="C4381">
        <v>12</v>
      </c>
      <c r="D4381">
        <v>392</v>
      </c>
      <c r="E4381" t="s">
        <v>8</v>
      </c>
      <c r="F4381" t="s">
        <v>13</v>
      </c>
      <c r="G4381" t="s">
        <v>14</v>
      </c>
      <c r="H4381">
        <v>0</v>
      </c>
    </row>
    <row r="4382" spans="1:8" x14ac:dyDescent="0.35">
      <c r="A4382">
        <v>17856</v>
      </c>
      <c r="B4382" t="s">
        <v>7</v>
      </c>
      <c r="C4382">
        <v>13</v>
      </c>
      <c r="D4382">
        <v>309</v>
      </c>
      <c r="E4382" t="s">
        <v>8</v>
      </c>
      <c r="F4382" t="s">
        <v>13</v>
      </c>
      <c r="G4382" t="s">
        <v>12</v>
      </c>
      <c r="H4382">
        <v>0</v>
      </c>
    </row>
    <row r="4383" spans="1:8" x14ac:dyDescent="0.35">
      <c r="A4383">
        <v>19132</v>
      </c>
      <c r="B4383" t="s">
        <v>11</v>
      </c>
      <c r="C4383">
        <v>14</v>
      </c>
      <c r="D4383">
        <v>434</v>
      </c>
      <c r="E4383" t="s">
        <v>8</v>
      </c>
      <c r="F4383" t="s">
        <v>9</v>
      </c>
      <c r="G4383" t="s">
        <v>14</v>
      </c>
      <c r="H4383">
        <v>0</v>
      </c>
    </row>
    <row r="4384" spans="1:8" x14ac:dyDescent="0.35">
      <c r="A4384">
        <v>13318</v>
      </c>
      <c r="B4384" t="s">
        <v>11</v>
      </c>
      <c r="C4384">
        <v>14</v>
      </c>
      <c r="D4384">
        <v>76</v>
      </c>
      <c r="E4384" t="s">
        <v>8</v>
      </c>
      <c r="F4384" t="s">
        <v>13</v>
      </c>
      <c r="G4384" t="s">
        <v>16</v>
      </c>
      <c r="H4384">
        <v>0</v>
      </c>
    </row>
    <row r="4385" spans="1:8" x14ac:dyDescent="0.35">
      <c r="A4385">
        <v>11578</v>
      </c>
      <c r="B4385" t="s">
        <v>7</v>
      </c>
      <c r="C4385">
        <v>14</v>
      </c>
      <c r="D4385">
        <v>379</v>
      </c>
      <c r="E4385" t="s">
        <v>8</v>
      </c>
      <c r="F4385" t="s">
        <v>9</v>
      </c>
      <c r="G4385" t="s">
        <v>12</v>
      </c>
      <c r="H4385">
        <v>0</v>
      </c>
    </row>
    <row r="4386" spans="1:8" x14ac:dyDescent="0.35">
      <c r="A4386">
        <v>12030</v>
      </c>
      <c r="B4386" t="s">
        <v>7</v>
      </c>
      <c r="C4386">
        <v>1</v>
      </c>
      <c r="D4386">
        <v>398</v>
      </c>
      <c r="E4386" t="s">
        <v>8</v>
      </c>
      <c r="F4386" t="s">
        <v>13</v>
      </c>
      <c r="G4386" t="s">
        <v>14</v>
      </c>
      <c r="H4386">
        <v>0</v>
      </c>
    </row>
    <row r="4387" spans="1:8" x14ac:dyDescent="0.35">
      <c r="A4387">
        <v>11690</v>
      </c>
      <c r="B4387" t="s">
        <v>11</v>
      </c>
      <c r="C4387">
        <v>1</v>
      </c>
      <c r="D4387">
        <v>219</v>
      </c>
      <c r="E4387" t="s">
        <v>8</v>
      </c>
      <c r="F4387" t="s">
        <v>9</v>
      </c>
      <c r="G4387" t="s">
        <v>10</v>
      </c>
      <c r="H4387">
        <v>0</v>
      </c>
    </row>
    <row r="4388" spans="1:8" x14ac:dyDescent="0.35">
      <c r="A4388">
        <v>13657</v>
      </c>
      <c r="B4388" t="s">
        <v>11</v>
      </c>
      <c r="C4388">
        <v>13</v>
      </c>
      <c r="D4388">
        <v>312</v>
      </c>
      <c r="E4388" t="s">
        <v>8</v>
      </c>
      <c r="F4388" t="s">
        <v>13</v>
      </c>
      <c r="G4388" t="s">
        <v>12</v>
      </c>
      <c r="H4388">
        <v>0</v>
      </c>
    </row>
    <row r="4389" spans="1:8" x14ac:dyDescent="0.35">
      <c r="A4389">
        <v>17826</v>
      </c>
      <c r="B4389" t="s">
        <v>11</v>
      </c>
      <c r="C4389">
        <v>12</v>
      </c>
      <c r="D4389">
        <v>100</v>
      </c>
      <c r="E4389" t="s">
        <v>8</v>
      </c>
      <c r="F4389" t="s">
        <v>13</v>
      </c>
      <c r="G4389" t="s">
        <v>16</v>
      </c>
      <c r="H4389">
        <v>0</v>
      </c>
    </row>
    <row r="4390" spans="1:8" x14ac:dyDescent="0.35">
      <c r="A4390">
        <v>16762</v>
      </c>
      <c r="B4390" t="s">
        <v>7</v>
      </c>
      <c r="C4390">
        <v>3</v>
      </c>
      <c r="D4390">
        <v>176</v>
      </c>
      <c r="E4390" t="s">
        <v>15</v>
      </c>
      <c r="F4390" t="s">
        <v>9</v>
      </c>
      <c r="G4390" t="s">
        <v>12</v>
      </c>
      <c r="H4390">
        <v>1</v>
      </c>
    </row>
    <row r="4391" spans="1:8" x14ac:dyDescent="0.35">
      <c r="A4391">
        <v>11595</v>
      </c>
      <c r="B4391" t="s">
        <v>11</v>
      </c>
      <c r="C4391">
        <v>10</v>
      </c>
      <c r="D4391">
        <v>133</v>
      </c>
      <c r="E4391" t="s">
        <v>8</v>
      </c>
      <c r="F4391" t="s">
        <v>9</v>
      </c>
      <c r="G4391" t="s">
        <v>16</v>
      </c>
      <c r="H4391">
        <v>0</v>
      </c>
    </row>
    <row r="4392" spans="1:8" x14ac:dyDescent="0.35">
      <c r="A4392">
        <v>15060</v>
      </c>
      <c r="B4392" t="s">
        <v>11</v>
      </c>
      <c r="C4392">
        <v>3</v>
      </c>
      <c r="D4392">
        <v>231</v>
      </c>
      <c r="E4392" t="s">
        <v>8</v>
      </c>
      <c r="F4392" t="s">
        <v>9</v>
      </c>
      <c r="G4392" t="s">
        <v>10</v>
      </c>
      <c r="H4392">
        <v>0</v>
      </c>
    </row>
    <row r="4393" spans="1:8" x14ac:dyDescent="0.35">
      <c r="A4393">
        <v>13920</v>
      </c>
      <c r="B4393" t="s">
        <v>11</v>
      </c>
      <c r="C4393">
        <v>13</v>
      </c>
      <c r="D4393">
        <v>188</v>
      </c>
      <c r="E4393" t="s">
        <v>15</v>
      </c>
      <c r="F4393" t="s">
        <v>13</v>
      </c>
      <c r="G4393" t="s">
        <v>16</v>
      </c>
      <c r="H4393">
        <v>1</v>
      </c>
    </row>
    <row r="4394" spans="1:8" x14ac:dyDescent="0.35">
      <c r="A4394">
        <v>17877</v>
      </c>
      <c r="B4394" t="s">
        <v>11</v>
      </c>
      <c r="C4394">
        <v>12</v>
      </c>
      <c r="D4394">
        <v>110</v>
      </c>
      <c r="E4394" t="s">
        <v>8</v>
      </c>
      <c r="F4394" t="s">
        <v>9</v>
      </c>
      <c r="G4394" t="s">
        <v>16</v>
      </c>
      <c r="H4394">
        <v>0</v>
      </c>
    </row>
    <row r="4395" spans="1:8" x14ac:dyDescent="0.35">
      <c r="A4395">
        <v>13009</v>
      </c>
      <c r="B4395" t="s">
        <v>7</v>
      </c>
      <c r="C4395">
        <v>11</v>
      </c>
      <c r="D4395">
        <v>449</v>
      </c>
      <c r="E4395" t="s">
        <v>8</v>
      </c>
      <c r="F4395" t="s">
        <v>9</v>
      </c>
      <c r="G4395" t="s">
        <v>14</v>
      </c>
      <c r="H4395">
        <v>0</v>
      </c>
    </row>
    <row r="4396" spans="1:8" x14ac:dyDescent="0.35">
      <c r="A4396">
        <v>14378</v>
      </c>
      <c r="B4396" t="s">
        <v>7</v>
      </c>
      <c r="C4396">
        <v>3</v>
      </c>
      <c r="D4396">
        <v>197</v>
      </c>
      <c r="E4396" t="s">
        <v>8</v>
      </c>
      <c r="F4396" t="s">
        <v>9</v>
      </c>
      <c r="G4396" t="s">
        <v>14</v>
      </c>
      <c r="H4396">
        <v>0</v>
      </c>
    </row>
    <row r="4397" spans="1:8" x14ac:dyDescent="0.35">
      <c r="A4397">
        <v>19658</v>
      </c>
      <c r="B4397" t="s">
        <v>7</v>
      </c>
      <c r="C4397">
        <v>5</v>
      </c>
      <c r="D4397">
        <v>58</v>
      </c>
      <c r="E4397" t="s">
        <v>8</v>
      </c>
      <c r="F4397" t="s">
        <v>13</v>
      </c>
      <c r="G4397" t="s">
        <v>12</v>
      </c>
      <c r="H4397">
        <v>0</v>
      </c>
    </row>
    <row r="4398" spans="1:8" x14ac:dyDescent="0.35">
      <c r="A4398">
        <v>16974</v>
      </c>
      <c r="B4398" t="s">
        <v>11</v>
      </c>
      <c r="C4398">
        <v>14</v>
      </c>
      <c r="D4398">
        <v>209</v>
      </c>
      <c r="E4398" t="s">
        <v>8</v>
      </c>
      <c r="F4398" t="s">
        <v>9</v>
      </c>
      <c r="G4398" t="s">
        <v>10</v>
      </c>
      <c r="H4398">
        <v>0</v>
      </c>
    </row>
    <row r="4399" spans="1:8" x14ac:dyDescent="0.35">
      <c r="A4399">
        <v>10496</v>
      </c>
      <c r="B4399" t="s">
        <v>7</v>
      </c>
      <c r="C4399">
        <v>1</v>
      </c>
      <c r="D4399">
        <v>199</v>
      </c>
      <c r="E4399" t="s">
        <v>8</v>
      </c>
      <c r="F4399" t="s">
        <v>13</v>
      </c>
      <c r="G4399" t="s">
        <v>12</v>
      </c>
      <c r="H4399">
        <v>0</v>
      </c>
    </row>
    <row r="4400" spans="1:8" x14ac:dyDescent="0.35">
      <c r="A4400">
        <v>11164</v>
      </c>
      <c r="B4400" t="s">
        <v>7</v>
      </c>
      <c r="C4400">
        <v>5</v>
      </c>
      <c r="D4400">
        <v>225</v>
      </c>
      <c r="E4400" t="s">
        <v>8</v>
      </c>
      <c r="F4400" t="s">
        <v>9</v>
      </c>
      <c r="G4400" t="s">
        <v>10</v>
      </c>
      <c r="H4400">
        <v>0</v>
      </c>
    </row>
    <row r="4401" spans="1:8" x14ac:dyDescent="0.35">
      <c r="A4401">
        <v>19056</v>
      </c>
      <c r="B4401" t="s">
        <v>7</v>
      </c>
      <c r="C4401">
        <v>5</v>
      </c>
      <c r="D4401">
        <v>216</v>
      </c>
      <c r="E4401" t="s">
        <v>8</v>
      </c>
      <c r="F4401" t="s">
        <v>9</v>
      </c>
      <c r="G4401" t="s">
        <v>12</v>
      </c>
      <c r="H4401">
        <v>0</v>
      </c>
    </row>
    <row r="4402" spans="1:8" x14ac:dyDescent="0.35">
      <c r="A4402">
        <v>18185</v>
      </c>
      <c r="B4402" t="s">
        <v>11</v>
      </c>
      <c r="C4402">
        <v>4</v>
      </c>
      <c r="D4402">
        <v>314</v>
      </c>
      <c r="E4402" t="s">
        <v>8</v>
      </c>
      <c r="F4402" t="s">
        <v>9</v>
      </c>
      <c r="G4402" t="s">
        <v>16</v>
      </c>
      <c r="H4402">
        <v>0</v>
      </c>
    </row>
    <row r="4403" spans="1:8" x14ac:dyDescent="0.35">
      <c r="A4403">
        <v>15974</v>
      </c>
      <c r="B4403" t="s">
        <v>11</v>
      </c>
      <c r="C4403">
        <v>13</v>
      </c>
      <c r="D4403">
        <v>429</v>
      </c>
      <c r="E4403" t="s">
        <v>8</v>
      </c>
      <c r="F4403" t="s">
        <v>9</v>
      </c>
      <c r="G4403" t="s">
        <v>14</v>
      </c>
      <c r="H4403">
        <v>0</v>
      </c>
    </row>
    <row r="4404" spans="1:8" x14ac:dyDescent="0.35">
      <c r="A4404">
        <v>17063</v>
      </c>
      <c r="B4404" t="s">
        <v>7</v>
      </c>
      <c r="C4404">
        <v>8</v>
      </c>
      <c r="D4404">
        <v>324</v>
      </c>
      <c r="E4404" t="s">
        <v>8</v>
      </c>
      <c r="F4404" t="s">
        <v>13</v>
      </c>
      <c r="G4404" t="s">
        <v>12</v>
      </c>
      <c r="H4404">
        <v>0</v>
      </c>
    </row>
    <row r="4405" spans="1:8" x14ac:dyDescent="0.35">
      <c r="A4405">
        <v>11304</v>
      </c>
      <c r="B4405" t="s">
        <v>7</v>
      </c>
      <c r="C4405">
        <v>10</v>
      </c>
      <c r="D4405">
        <v>389</v>
      </c>
      <c r="E4405" t="s">
        <v>8</v>
      </c>
      <c r="F4405" t="s">
        <v>13</v>
      </c>
      <c r="G4405" t="s">
        <v>12</v>
      </c>
      <c r="H4405">
        <v>0</v>
      </c>
    </row>
    <row r="4406" spans="1:8" x14ac:dyDescent="0.35">
      <c r="A4406">
        <v>15073</v>
      </c>
      <c r="B4406" t="s">
        <v>11</v>
      </c>
      <c r="C4406">
        <v>4</v>
      </c>
      <c r="D4406">
        <v>361</v>
      </c>
      <c r="E4406" t="s">
        <v>8</v>
      </c>
      <c r="F4406" t="s">
        <v>9</v>
      </c>
      <c r="G4406" t="s">
        <v>16</v>
      </c>
      <c r="H4406">
        <v>0</v>
      </c>
    </row>
    <row r="4407" spans="1:8" x14ac:dyDescent="0.35">
      <c r="A4407">
        <v>12293</v>
      </c>
      <c r="B4407" t="s">
        <v>11</v>
      </c>
      <c r="C4407">
        <v>7</v>
      </c>
      <c r="D4407">
        <v>411</v>
      </c>
      <c r="E4407" t="s">
        <v>8</v>
      </c>
      <c r="F4407" t="s">
        <v>9</v>
      </c>
      <c r="G4407" t="s">
        <v>14</v>
      </c>
      <c r="H4407">
        <v>0</v>
      </c>
    </row>
    <row r="4408" spans="1:8" x14ac:dyDescent="0.35">
      <c r="A4408">
        <v>15944</v>
      </c>
      <c r="B4408" t="s">
        <v>7</v>
      </c>
      <c r="C4408">
        <v>6</v>
      </c>
      <c r="D4408">
        <v>282</v>
      </c>
      <c r="E4408" t="s">
        <v>15</v>
      </c>
      <c r="F4408" t="s">
        <v>13</v>
      </c>
      <c r="G4408" t="s">
        <v>12</v>
      </c>
      <c r="H4408">
        <v>1</v>
      </c>
    </row>
    <row r="4409" spans="1:8" x14ac:dyDescent="0.35">
      <c r="A4409">
        <v>12034</v>
      </c>
      <c r="B4409" t="s">
        <v>7</v>
      </c>
      <c r="C4409">
        <v>7</v>
      </c>
      <c r="D4409">
        <v>138</v>
      </c>
      <c r="E4409" t="s">
        <v>8</v>
      </c>
      <c r="F4409" t="s">
        <v>9</v>
      </c>
      <c r="G4409" t="s">
        <v>10</v>
      </c>
      <c r="H4409">
        <v>0</v>
      </c>
    </row>
    <row r="4410" spans="1:8" x14ac:dyDescent="0.35">
      <c r="A4410">
        <v>17431</v>
      </c>
      <c r="B4410" t="s">
        <v>7</v>
      </c>
      <c r="C4410">
        <v>3</v>
      </c>
      <c r="D4410">
        <v>83</v>
      </c>
      <c r="E4410" t="s">
        <v>8</v>
      </c>
      <c r="F4410" t="s">
        <v>13</v>
      </c>
      <c r="G4410" t="s">
        <v>14</v>
      </c>
      <c r="H4410">
        <v>0</v>
      </c>
    </row>
    <row r="4411" spans="1:8" x14ac:dyDescent="0.35">
      <c r="A4411">
        <v>18211</v>
      </c>
      <c r="B4411" t="s">
        <v>7</v>
      </c>
      <c r="C4411">
        <v>7</v>
      </c>
      <c r="D4411">
        <v>280</v>
      </c>
      <c r="E4411" t="s">
        <v>8</v>
      </c>
      <c r="F4411" t="s">
        <v>13</v>
      </c>
      <c r="G4411" t="s">
        <v>12</v>
      </c>
      <c r="H4411">
        <v>0</v>
      </c>
    </row>
    <row r="4412" spans="1:8" x14ac:dyDescent="0.35">
      <c r="A4412">
        <v>17679</v>
      </c>
      <c r="B4412" t="s">
        <v>11</v>
      </c>
      <c r="C4412">
        <v>12</v>
      </c>
      <c r="D4412">
        <v>416</v>
      </c>
      <c r="E4412" t="s">
        <v>8</v>
      </c>
      <c r="F4412" t="s">
        <v>13</v>
      </c>
      <c r="G4412" t="s">
        <v>10</v>
      </c>
      <c r="H4412">
        <v>0</v>
      </c>
    </row>
    <row r="4413" spans="1:8" x14ac:dyDescent="0.35">
      <c r="A4413">
        <v>17002</v>
      </c>
      <c r="B4413" t="s">
        <v>7</v>
      </c>
      <c r="C4413">
        <v>12</v>
      </c>
      <c r="D4413">
        <v>55</v>
      </c>
      <c r="E4413" t="s">
        <v>8</v>
      </c>
      <c r="F4413" t="s">
        <v>13</v>
      </c>
      <c r="G4413" t="s">
        <v>14</v>
      </c>
      <c r="H4413">
        <v>0</v>
      </c>
    </row>
    <row r="4414" spans="1:8" x14ac:dyDescent="0.35">
      <c r="A4414">
        <v>19079</v>
      </c>
      <c r="B4414" t="s">
        <v>11</v>
      </c>
      <c r="C4414">
        <v>9</v>
      </c>
      <c r="D4414">
        <v>46</v>
      </c>
      <c r="E4414" t="s">
        <v>8</v>
      </c>
      <c r="F4414" t="s">
        <v>13</v>
      </c>
      <c r="G4414" t="s">
        <v>10</v>
      </c>
      <c r="H4414">
        <v>0</v>
      </c>
    </row>
    <row r="4415" spans="1:8" x14ac:dyDescent="0.35">
      <c r="A4415">
        <v>14085</v>
      </c>
      <c r="B4415" t="s">
        <v>11</v>
      </c>
      <c r="C4415">
        <v>2</v>
      </c>
      <c r="D4415">
        <v>135</v>
      </c>
      <c r="E4415" t="s">
        <v>8</v>
      </c>
      <c r="F4415" t="s">
        <v>9</v>
      </c>
      <c r="G4415" t="s">
        <v>16</v>
      </c>
      <c r="H4415">
        <v>0</v>
      </c>
    </row>
    <row r="4416" spans="1:8" x14ac:dyDescent="0.35">
      <c r="A4416">
        <v>16950</v>
      </c>
      <c r="B4416" t="s">
        <v>7</v>
      </c>
      <c r="C4416">
        <v>10</v>
      </c>
      <c r="D4416">
        <v>233</v>
      </c>
      <c r="E4416" t="s">
        <v>8</v>
      </c>
      <c r="F4416" t="s">
        <v>9</v>
      </c>
      <c r="G4416" t="s">
        <v>12</v>
      </c>
      <c r="H4416">
        <v>0</v>
      </c>
    </row>
    <row r="4417" spans="1:8" x14ac:dyDescent="0.35">
      <c r="A4417">
        <v>17437</v>
      </c>
      <c r="B4417" t="s">
        <v>7</v>
      </c>
      <c r="C4417">
        <v>12</v>
      </c>
      <c r="D4417">
        <v>124</v>
      </c>
      <c r="E4417" t="s">
        <v>8</v>
      </c>
      <c r="F4417" t="s">
        <v>9</v>
      </c>
      <c r="G4417" t="s">
        <v>14</v>
      </c>
      <c r="H4417">
        <v>0</v>
      </c>
    </row>
    <row r="4418" spans="1:8" x14ac:dyDescent="0.35">
      <c r="A4418">
        <v>15300</v>
      </c>
      <c r="B4418" t="s">
        <v>11</v>
      </c>
      <c r="C4418">
        <v>1</v>
      </c>
      <c r="D4418">
        <v>153</v>
      </c>
      <c r="E4418" t="s">
        <v>8</v>
      </c>
      <c r="F4418" t="s">
        <v>9</v>
      </c>
      <c r="G4418" t="s">
        <v>16</v>
      </c>
      <c r="H4418">
        <v>0</v>
      </c>
    </row>
    <row r="4419" spans="1:8" x14ac:dyDescent="0.35">
      <c r="A4419">
        <v>12217</v>
      </c>
      <c r="B4419" t="s">
        <v>7</v>
      </c>
      <c r="C4419">
        <v>13</v>
      </c>
      <c r="D4419">
        <v>132</v>
      </c>
      <c r="E4419" t="s">
        <v>8</v>
      </c>
      <c r="F4419" t="s">
        <v>13</v>
      </c>
      <c r="G4419" t="s">
        <v>10</v>
      </c>
      <c r="H4419">
        <v>0</v>
      </c>
    </row>
    <row r="4420" spans="1:8" x14ac:dyDescent="0.35">
      <c r="A4420">
        <v>13485</v>
      </c>
      <c r="B4420" t="s">
        <v>11</v>
      </c>
      <c r="C4420">
        <v>3</v>
      </c>
      <c r="D4420">
        <v>316</v>
      </c>
      <c r="E4420" t="s">
        <v>8</v>
      </c>
      <c r="F4420" t="s">
        <v>13</v>
      </c>
      <c r="G4420" t="s">
        <v>10</v>
      </c>
      <c r="H4420">
        <v>0</v>
      </c>
    </row>
    <row r="4421" spans="1:8" x14ac:dyDescent="0.35">
      <c r="A4421">
        <v>19651</v>
      </c>
      <c r="B4421" t="s">
        <v>11</v>
      </c>
      <c r="C4421">
        <v>7</v>
      </c>
      <c r="D4421">
        <v>104</v>
      </c>
      <c r="E4421" t="s">
        <v>8</v>
      </c>
      <c r="F4421" t="s">
        <v>13</v>
      </c>
      <c r="G4421" t="s">
        <v>16</v>
      </c>
      <c r="H4421">
        <v>0</v>
      </c>
    </row>
    <row r="4422" spans="1:8" x14ac:dyDescent="0.35">
      <c r="A4422">
        <v>10318</v>
      </c>
      <c r="B4422" t="s">
        <v>7</v>
      </c>
      <c r="C4422">
        <v>11</v>
      </c>
      <c r="D4422">
        <v>414</v>
      </c>
      <c r="E4422" t="s">
        <v>8</v>
      </c>
      <c r="F4422" t="s">
        <v>13</v>
      </c>
      <c r="G4422" t="s">
        <v>14</v>
      </c>
      <c r="H4422">
        <v>0</v>
      </c>
    </row>
    <row r="4423" spans="1:8" x14ac:dyDescent="0.35">
      <c r="A4423">
        <v>17893</v>
      </c>
      <c r="B4423" t="s">
        <v>7</v>
      </c>
      <c r="C4423">
        <v>11</v>
      </c>
      <c r="D4423">
        <v>365</v>
      </c>
      <c r="E4423" t="s">
        <v>8</v>
      </c>
      <c r="F4423" t="s">
        <v>9</v>
      </c>
      <c r="G4423" t="s">
        <v>14</v>
      </c>
      <c r="H4423">
        <v>0</v>
      </c>
    </row>
    <row r="4424" spans="1:8" x14ac:dyDescent="0.35">
      <c r="A4424">
        <v>17288</v>
      </c>
      <c r="B4424" t="s">
        <v>11</v>
      </c>
      <c r="C4424">
        <v>6</v>
      </c>
      <c r="D4424">
        <v>198</v>
      </c>
      <c r="E4424" t="s">
        <v>8</v>
      </c>
      <c r="F4424" t="s">
        <v>13</v>
      </c>
      <c r="G4424" t="s">
        <v>12</v>
      </c>
      <c r="H4424">
        <v>0</v>
      </c>
    </row>
    <row r="4425" spans="1:8" x14ac:dyDescent="0.35">
      <c r="A4425">
        <v>13494</v>
      </c>
      <c r="B4425" t="s">
        <v>11</v>
      </c>
      <c r="C4425">
        <v>2</v>
      </c>
      <c r="D4425">
        <v>108</v>
      </c>
      <c r="E4425" t="s">
        <v>8</v>
      </c>
      <c r="F4425" t="s">
        <v>13</v>
      </c>
      <c r="G4425" t="s">
        <v>14</v>
      </c>
      <c r="H4425">
        <v>0</v>
      </c>
    </row>
    <row r="4426" spans="1:8" x14ac:dyDescent="0.35">
      <c r="A4426">
        <v>19670</v>
      </c>
      <c r="B4426" t="s">
        <v>11</v>
      </c>
      <c r="C4426">
        <v>4</v>
      </c>
      <c r="D4426">
        <v>112</v>
      </c>
      <c r="E4426" t="s">
        <v>8</v>
      </c>
      <c r="F4426" t="s">
        <v>9</v>
      </c>
      <c r="G4426" t="s">
        <v>14</v>
      </c>
      <c r="H4426">
        <v>0</v>
      </c>
    </row>
    <row r="4427" spans="1:8" x14ac:dyDescent="0.35">
      <c r="A4427">
        <v>10855</v>
      </c>
      <c r="B4427" t="s">
        <v>11</v>
      </c>
      <c r="C4427">
        <v>5</v>
      </c>
      <c r="D4427">
        <v>300</v>
      </c>
      <c r="E4427" t="s">
        <v>8</v>
      </c>
      <c r="F4427" t="s">
        <v>9</v>
      </c>
      <c r="G4427" t="s">
        <v>14</v>
      </c>
      <c r="H4427">
        <v>0</v>
      </c>
    </row>
    <row r="4428" spans="1:8" x14ac:dyDescent="0.35">
      <c r="A4428">
        <v>17518</v>
      </c>
      <c r="B4428" t="s">
        <v>7</v>
      </c>
      <c r="C4428">
        <v>4</v>
      </c>
      <c r="D4428">
        <v>303</v>
      </c>
      <c r="E4428" t="s">
        <v>15</v>
      </c>
      <c r="F4428" t="s">
        <v>9</v>
      </c>
      <c r="G4428" t="s">
        <v>12</v>
      </c>
      <c r="H4428">
        <v>1</v>
      </c>
    </row>
    <row r="4429" spans="1:8" x14ac:dyDescent="0.35">
      <c r="A4429">
        <v>11900</v>
      </c>
      <c r="B4429" t="s">
        <v>7</v>
      </c>
      <c r="C4429">
        <v>1</v>
      </c>
      <c r="D4429">
        <v>369</v>
      </c>
      <c r="E4429" t="s">
        <v>8</v>
      </c>
      <c r="F4429" t="s">
        <v>13</v>
      </c>
      <c r="G4429" t="s">
        <v>16</v>
      </c>
      <c r="H4429">
        <v>0</v>
      </c>
    </row>
    <row r="4430" spans="1:8" x14ac:dyDescent="0.35">
      <c r="A4430">
        <v>18296</v>
      </c>
      <c r="B4430" t="s">
        <v>7</v>
      </c>
      <c r="C4430">
        <v>3</v>
      </c>
      <c r="D4430">
        <v>382</v>
      </c>
      <c r="E4430" t="s">
        <v>8</v>
      </c>
      <c r="F4430" t="s">
        <v>13</v>
      </c>
      <c r="G4430" t="s">
        <v>12</v>
      </c>
      <c r="H4430">
        <v>0</v>
      </c>
    </row>
    <row r="4431" spans="1:8" x14ac:dyDescent="0.35">
      <c r="A4431">
        <v>15078</v>
      </c>
      <c r="B4431" t="s">
        <v>7</v>
      </c>
      <c r="C4431">
        <v>6</v>
      </c>
      <c r="D4431">
        <v>294</v>
      </c>
      <c r="E4431" t="s">
        <v>15</v>
      </c>
      <c r="F4431" t="s">
        <v>9</v>
      </c>
      <c r="G4431" t="s">
        <v>14</v>
      </c>
      <c r="H4431">
        <v>1</v>
      </c>
    </row>
    <row r="4432" spans="1:8" x14ac:dyDescent="0.35">
      <c r="A4432">
        <v>18432</v>
      </c>
      <c r="B4432" t="s">
        <v>11</v>
      </c>
      <c r="C4432">
        <v>10</v>
      </c>
      <c r="D4432">
        <v>355</v>
      </c>
      <c r="E4432" t="s">
        <v>8</v>
      </c>
      <c r="F4432" t="s">
        <v>9</v>
      </c>
      <c r="G4432" t="s">
        <v>16</v>
      </c>
      <c r="H4432">
        <v>0</v>
      </c>
    </row>
    <row r="4433" spans="1:8" x14ac:dyDescent="0.35">
      <c r="A4433">
        <v>17069</v>
      </c>
      <c r="B4433" t="s">
        <v>7</v>
      </c>
      <c r="C4433">
        <v>11</v>
      </c>
      <c r="D4433">
        <v>242</v>
      </c>
      <c r="E4433" t="s">
        <v>8</v>
      </c>
      <c r="F4433" t="s">
        <v>13</v>
      </c>
      <c r="G4433" t="s">
        <v>10</v>
      </c>
      <c r="H4433">
        <v>0</v>
      </c>
    </row>
    <row r="4434" spans="1:8" x14ac:dyDescent="0.35">
      <c r="A4434">
        <v>14183</v>
      </c>
      <c r="B4434" t="s">
        <v>11</v>
      </c>
      <c r="C4434">
        <v>8</v>
      </c>
      <c r="D4434">
        <v>447</v>
      </c>
      <c r="E4434" t="s">
        <v>8</v>
      </c>
      <c r="F4434" t="s">
        <v>9</v>
      </c>
      <c r="G4434" t="s">
        <v>14</v>
      </c>
      <c r="H4434">
        <v>0</v>
      </c>
    </row>
    <row r="4435" spans="1:8" x14ac:dyDescent="0.35">
      <c r="A4435">
        <v>12603</v>
      </c>
      <c r="B4435" t="s">
        <v>11</v>
      </c>
      <c r="C4435">
        <v>8</v>
      </c>
      <c r="D4435">
        <v>334</v>
      </c>
      <c r="E4435" t="s">
        <v>8</v>
      </c>
      <c r="F4435" t="s">
        <v>13</v>
      </c>
      <c r="G4435" t="s">
        <v>10</v>
      </c>
      <c r="H4435">
        <v>0</v>
      </c>
    </row>
    <row r="4436" spans="1:8" x14ac:dyDescent="0.35">
      <c r="A4436">
        <v>16226</v>
      </c>
      <c r="B4436" t="s">
        <v>7</v>
      </c>
      <c r="C4436">
        <v>11</v>
      </c>
      <c r="D4436">
        <v>351</v>
      </c>
      <c r="E4436" t="s">
        <v>8</v>
      </c>
      <c r="F4436" t="s">
        <v>13</v>
      </c>
      <c r="G4436" t="s">
        <v>12</v>
      </c>
      <c r="H4436">
        <v>0</v>
      </c>
    </row>
    <row r="4437" spans="1:8" x14ac:dyDescent="0.35">
      <c r="A4437">
        <v>13762</v>
      </c>
      <c r="B4437" t="s">
        <v>7</v>
      </c>
      <c r="C4437">
        <v>6</v>
      </c>
      <c r="D4437">
        <v>222</v>
      </c>
      <c r="E4437" t="s">
        <v>8</v>
      </c>
      <c r="F4437" t="s">
        <v>9</v>
      </c>
      <c r="G4437" t="s">
        <v>12</v>
      </c>
      <c r="H4437">
        <v>0</v>
      </c>
    </row>
    <row r="4438" spans="1:8" x14ac:dyDescent="0.35">
      <c r="A4438">
        <v>17507</v>
      </c>
      <c r="B4438" t="s">
        <v>7</v>
      </c>
      <c r="C4438">
        <v>4</v>
      </c>
      <c r="D4438">
        <v>79</v>
      </c>
      <c r="E4438" t="s">
        <v>8</v>
      </c>
      <c r="F4438" t="s">
        <v>13</v>
      </c>
      <c r="G4438" t="s">
        <v>12</v>
      </c>
      <c r="H4438">
        <v>0</v>
      </c>
    </row>
    <row r="4439" spans="1:8" x14ac:dyDescent="0.35">
      <c r="A4439">
        <v>10023</v>
      </c>
      <c r="B4439" t="s">
        <v>11</v>
      </c>
      <c r="C4439">
        <v>13</v>
      </c>
      <c r="D4439">
        <v>78</v>
      </c>
      <c r="E4439" t="s">
        <v>8</v>
      </c>
      <c r="F4439" t="s">
        <v>13</v>
      </c>
      <c r="G4439" t="s">
        <v>10</v>
      </c>
      <c r="H4439">
        <v>0</v>
      </c>
    </row>
    <row r="4440" spans="1:8" x14ac:dyDescent="0.35">
      <c r="A4440">
        <v>16618</v>
      </c>
      <c r="B4440" t="s">
        <v>7</v>
      </c>
      <c r="C4440">
        <v>9</v>
      </c>
      <c r="D4440">
        <v>275</v>
      </c>
      <c r="E4440" t="s">
        <v>15</v>
      </c>
      <c r="F4440" t="s">
        <v>13</v>
      </c>
      <c r="G4440" t="s">
        <v>10</v>
      </c>
      <c r="H4440">
        <v>1</v>
      </c>
    </row>
    <row r="4441" spans="1:8" x14ac:dyDescent="0.35">
      <c r="A4441">
        <v>16342</v>
      </c>
      <c r="B4441" t="s">
        <v>7</v>
      </c>
      <c r="C4441">
        <v>6</v>
      </c>
      <c r="D4441">
        <v>50</v>
      </c>
      <c r="E4441" t="s">
        <v>8</v>
      </c>
      <c r="F4441" t="s">
        <v>13</v>
      </c>
      <c r="G4441" t="s">
        <v>12</v>
      </c>
      <c r="H4441">
        <v>0</v>
      </c>
    </row>
    <row r="4442" spans="1:8" x14ac:dyDescent="0.35">
      <c r="A4442">
        <v>16156</v>
      </c>
      <c r="B4442" t="s">
        <v>7</v>
      </c>
      <c r="C4442">
        <v>11</v>
      </c>
      <c r="D4442">
        <v>369</v>
      </c>
      <c r="E4442" t="s">
        <v>8</v>
      </c>
      <c r="F4442" t="s">
        <v>9</v>
      </c>
      <c r="G4442" t="s">
        <v>12</v>
      </c>
      <c r="H4442">
        <v>0</v>
      </c>
    </row>
    <row r="4443" spans="1:8" x14ac:dyDescent="0.35">
      <c r="A4443">
        <v>16574</v>
      </c>
      <c r="B4443" t="s">
        <v>11</v>
      </c>
      <c r="C4443">
        <v>11</v>
      </c>
      <c r="D4443">
        <v>405</v>
      </c>
      <c r="E4443" t="s">
        <v>8</v>
      </c>
      <c r="F4443" t="s">
        <v>9</v>
      </c>
      <c r="G4443" t="s">
        <v>16</v>
      </c>
      <c r="H4443">
        <v>0</v>
      </c>
    </row>
    <row r="4444" spans="1:8" x14ac:dyDescent="0.35">
      <c r="A4444">
        <v>10488</v>
      </c>
      <c r="B4444" t="s">
        <v>11</v>
      </c>
      <c r="C4444">
        <v>8</v>
      </c>
      <c r="D4444">
        <v>335</v>
      </c>
      <c r="E4444" t="s">
        <v>8</v>
      </c>
      <c r="F4444" t="s">
        <v>13</v>
      </c>
      <c r="G4444" t="s">
        <v>12</v>
      </c>
      <c r="H4444">
        <v>0</v>
      </c>
    </row>
    <row r="4445" spans="1:8" x14ac:dyDescent="0.35">
      <c r="A4445">
        <v>14191</v>
      </c>
      <c r="B4445" t="s">
        <v>7</v>
      </c>
      <c r="C4445">
        <v>13</v>
      </c>
      <c r="D4445">
        <v>284</v>
      </c>
      <c r="E4445" t="s">
        <v>8</v>
      </c>
      <c r="F4445" t="s">
        <v>13</v>
      </c>
      <c r="G4445" t="s">
        <v>14</v>
      </c>
      <c r="H4445">
        <v>0</v>
      </c>
    </row>
    <row r="4446" spans="1:8" x14ac:dyDescent="0.35">
      <c r="A4446">
        <v>19967</v>
      </c>
      <c r="B4446" t="s">
        <v>7</v>
      </c>
      <c r="C4446">
        <v>1</v>
      </c>
      <c r="D4446">
        <v>274</v>
      </c>
      <c r="E4446" t="s">
        <v>8</v>
      </c>
      <c r="F4446" t="s">
        <v>13</v>
      </c>
      <c r="G4446" t="s">
        <v>14</v>
      </c>
      <c r="H4446">
        <v>0</v>
      </c>
    </row>
    <row r="4447" spans="1:8" x14ac:dyDescent="0.35">
      <c r="A4447">
        <v>18592</v>
      </c>
      <c r="B4447" t="s">
        <v>11</v>
      </c>
      <c r="C4447">
        <v>14</v>
      </c>
      <c r="D4447">
        <v>198</v>
      </c>
      <c r="E4447" t="s">
        <v>8</v>
      </c>
      <c r="F4447" t="s">
        <v>13</v>
      </c>
      <c r="G4447" t="s">
        <v>10</v>
      </c>
      <c r="H4447">
        <v>0</v>
      </c>
    </row>
    <row r="4448" spans="1:8" x14ac:dyDescent="0.35">
      <c r="A4448">
        <v>15511</v>
      </c>
      <c r="B4448" t="s">
        <v>11</v>
      </c>
      <c r="C4448">
        <v>10</v>
      </c>
      <c r="D4448">
        <v>409</v>
      </c>
      <c r="E4448" t="s">
        <v>8</v>
      </c>
      <c r="F4448" t="s">
        <v>9</v>
      </c>
      <c r="G4448" t="s">
        <v>12</v>
      </c>
      <c r="H4448">
        <v>0</v>
      </c>
    </row>
    <row r="4449" spans="1:8" x14ac:dyDescent="0.35">
      <c r="A4449">
        <v>18710</v>
      </c>
      <c r="B4449" t="s">
        <v>7</v>
      </c>
      <c r="C4449">
        <v>4</v>
      </c>
      <c r="D4449">
        <v>364</v>
      </c>
      <c r="E4449" t="s">
        <v>8</v>
      </c>
      <c r="F4449" t="s">
        <v>9</v>
      </c>
      <c r="G4449" t="s">
        <v>14</v>
      </c>
      <c r="H4449">
        <v>0</v>
      </c>
    </row>
    <row r="4450" spans="1:8" x14ac:dyDescent="0.35">
      <c r="A4450">
        <v>17461</v>
      </c>
      <c r="B4450" t="s">
        <v>11</v>
      </c>
      <c r="C4450">
        <v>13</v>
      </c>
      <c r="D4450">
        <v>50</v>
      </c>
      <c r="E4450" t="s">
        <v>8</v>
      </c>
      <c r="F4450" t="s">
        <v>13</v>
      </c>
      <c r="G4450" t="s">
        <v>12</v>
      </c>
      <c r="H4450">
        <v>0</v>
      </c>
    </row>
    <row r="4451" spans="1:8" x14ac:dyDescent="0.35">
      <c r="A4451">
        <v>15103</v>
      </c>
      <c r="B4451" t="s">
        <v>7</v>
      </c>
      <c r="C4451">
        <v>4</v>
      </c>
      <c r="D4451">
        <v>379</v>
      </c>
      <c r="E4451" t="s">
        <v>8</v>
      </c>
      <c r="F4451" t="s">
        <v>13</v>
      </c>
      <c r="G4451" t="s">
        <v>12</v>
      </c>
      <c r="H4451">
        <v>0</v>
      </c>
    </row>
    <row r="4452" spans="1:8" x14ac:dyDescent="0.35">
      <c r="A4452">
        <v>11877</v>
      </c>
      <c r="B4452" t="s">
        <v>11</v>
      </c>
      <c r="C4452">
        <v>2</v>
      </c>
      <c r="D4452">
        <v>168</v>
      </c>
      <c r="E4452" t="s">
        <v>8</v>
      </c>
      <c r="F4452" t="s">
        <v>13</v>
      </c>
      <c r="G4452" t="s">
        <v>10</v>
      </c>
      <c r="H4452">
        <v>0</v>
      </c>
    </row>
    <row r="4453" spans="1:8" x14ac:dyDescent="0.35">
      <c r="A4453">
        <v>12274</v>
      </c>
      <c r="B4453" t="s">
        <v>11</v>
      </c>
      <c r="C4453">
        <v>14</v>
      </c>
      <c r="D4453">
        <v>379</v>
      </c>
      <c r="E4453" t="s">
        <v>8</v>
      </c>
      <c r="F4453" t="s">
        <v>9</v>
      </c>
      <c r="G4453" t="s">
        <v>10</v>
      </c>
      <c r="H4453">
        <v>0</v>
      </c>
    </row>
    <row r="4454" spans="1:8" x14ac:dyDescent="0.35">
      <c r="A4454">
        <v>12971</v>
      </c>
      <c r="B4454" t="s">
        <v>11</v>
      </c>
      <c r="C4454">
        <v>3</v>
      </c>
      <c r="D4454">
        <v>436</v>
      </c>
      <c r="E4454" t="s">
        <v>8</v>
      </c>
      <c r="F4454" t="s">
        <v>13</v>
      </c>
      <c r="G4454" t="s">
        <v>12</v>
      </c>
      <c r="H4454">
        <v>0</v>
      </c>
    </row>
    <row r="4455" spans="1:8" x14ac:dyDescent="0.35">
      <c r="A4455">
        <v>18966</v>
      </c>
      <c r="B4455" t="s">
        <v>7</v>
      </c>
      <c r="C4455">
        <v>3</v>
      </c>
      <c r="D4455">
        <v>64</v>
      </c>
      <c r="E4455" t="s">
        <v>15</v>
      </c>
      <c r="F4455" t="s">
        <v>13</v>
      </c>
      <c r="G4455" t="s">
        <v>16</v>
      </c>
      <c r="H4455">
        <v>1</v>
      </c>
    </row>
    <row r="4456" spans="1:8" x14ac:dyDescent="0.35">
      <c r="A4456">
        <v>10283</v>
      </c>
      <c r="B4456" t="s">
        <v>7</v>
      </c>
      <c r="C4456">
        <v>1</v>
      </c>
      <c r="D4456">
        <v>405</v>
      </c>
      <c r="E4456" t="s">
        <v>8</v>
      </c>
      <c r="F4456" t="s">
        <v>9</v>
      </c>
      <c r="G4456" t="s">
        <v>10</v>
      </c>
      <c r="H4456">
        <v>0</v>
      </c>
    </row>
    <row r="4457" spans="1:8" x14ac:dyDescent="0.35">
      <c r="A4457">
        <v>13720</v>
      </c>
      <c r="B4457" t="s">
        <v>7</v>
      </c>
      <c r="C4457">
        <v>11</v>
      </c>
      <c r="D4457">
        <v>280</v>
      </c>
      <c r="E4457" t="s">
        <v>8</v>
      </c>
      <c r="F4457" t="s">
        <v>13</v>
      </c>
      <c r="G4457" t="s">
        <v>12</v>
      </c>
      <c r="H4457">
        <v>0</v>
      </c>
    </row>
    <row r="4458" spans="1:8" x14ac:dyDescent="0.35">
      <c r="A4458">
        <v>15968</v>
      </c>
      <c r="B4458" t="s">
        <v>11</v>
      </c>
      <c r="C4458">
        <v>10</v>
      </c>
      <c r="D4458">
        <v>249</v>
      </c>
      <c r="E4458" t="s">
        <v>8</v>
      </c>
      <c r="F4458" t="s">
        <v>9</v>
      </c>
      <c r="G4458" t="s">
        <v>10</v>
      </c>
      <c r="H4458">
        <v>0</v>
      </c>
    </row>
    <row r="4459" spans="1:8" x14ac:dyDescent="0.35">
      <c r="A4459">
        <v>13765</v>
      </c>
      <c r="B4459" t="s">
        <v>7</v>
      </c>
      <c r="C4459">
        <v>8</v>
      </c>
      <c r="D4459">
        <v>185</v>
      </c>
      <c r="E4459" t="s">
        <v>8</v>
      </c>
      <c r="F4459" t="s">
        <v>9</v>
      </c>
      <c r="G4459" t="s">
        <v>10</v>
      </c>
      <c r="H4459">
        <v>0</v>
      </c>
    </row>
    <row r="4460" spans="1:8" x14ac:dyDescent="0.35">
      <c r="A4460">
        <v>11032</v>
      </c>
      <c r="B4460" t="s">
        <v>11</v>
      </c>
      <c r="C4460">
        <v>9</v>
      </c>
      <c r="D4460">
        <v>350</v>
      </c>
      <c r="E4460" t="s">
        <v>8</v>
      </c>
      <c r="F4460" t="s">
        <v>13</v>
      </c>
      <c r="G4460" t="s">
        <v>10</v>
      </c>
      <c r="H4460">
        <v>0</v>
      </c>
    </row>
    <row r="4461" spans="1:8" x14ac:dyDescent="0.35">
      <c r="A4461">
        <v>12252</v>
      </c>
      <c r="B4461" t="s">
        <v>7</v>
      </c>
      <c r="C4461">
        <v>8</v>
      </c>
      <c r="D4461">
        <v>60</v>
      </c>
      <c r="E4461" t="s">
        <v>8</v>
      </c>
      <c r="F4461" t="s">
        <v>9</v>
      </c>
      <c r="G4461" t="s">
        <v>16</v>
      </c>
      <c r="H4461">
        <v>0</v>
      </c>
    </row>
    <row r="4462" spans="1:8" x14ac:dyDescent="0.35">
      <c r="A4462">
        <v>11333</v>
      </c>
      <c r="B4462" t="s">
        <v>7</v>
      </c>
      <c r="C4462">
        <v>1</v>
      </c>
      <c r="D4462">
        <v>197</v>
      </c>
      <c r="E4462" t="s">
        <v>15</v>
      </c>
      <c r="F4462" t="s">
        <v>13</v>
      </c>
      <c r="G4462" t="s">
        <v>12</v>
      </c>
      <c r="H4462">
        <v>1</v>
      </c>
    </row>
    <row r="4463" spans="1:8" x14ac:dyDescent="0.35">
      <c r="A4463">
        <v>19361</v>
      </c>
      <c r="B4463" t="s">
        <v>11</v>
      </c>
      <c r="C4463">
        <v>14</v>
      </c>
      <c r="D4463">
        <v>282</v>
      </c>
      <c r="E4463" t="s">
        <v>8</v>
      </c>
      <c r="F4463" t="s">
        <v>13</v>
      </c>
      <c r="G4463" t="s">
        <v>12</v>
      </c>
      <c r="H4463">
        <v>0</v>
      </c>
    </row>
    <row r="4464" spans="1:8" x14ac:dyDescent="0.35">
      <c r="A4464">
        <v>12355</v>
      </c>
      <c r="B4464" t="s">
        <v>11</v>
      </c>
      <c r="C4464">
        <v>8</v>
      </c>
      <c r="D4464">
        <v>176</v>
      </c>
      <c r="E4464" t="s">
        <v>8</v>
      </c>
      <c r="F4464" t="s">
        <v>13</v>
      </c>
      <c r="G4464" t="s">
        <v>16</v>
      </c>
      <c r="H4464">
        <v>0</v>
      </c>
    </row>
    <row r="4465" spans="1:8" x14ac:dyDescent="0.35">
      <c r="A4465">
        <v>13919</v>
      </c>
      <c r="B4465" t="s">
        <v>7</v>
      </c>
      <c r="C4465">
        <v>13</v>
      </c>
      <c r="D4465">
        <v>80</v>
      </c>
      <c r="E4465" t="s">
        <v>8</v>
      </c>
      <c r="F4465" t="s">
        <v>9</v>
      </c>
      <c r="G4465" t="s">
        <v>12</v>
      </c>
      <c r="H4465">
        <v>0</v>
      </c>
    </row>
    <row r="4466" spans="1:8" x14ac:dyDescent="0.35">
      <c r="A4466">
        <v>12592</v>
      </c>
      <c r="B4466" t="s">
        <v>7</v>
      </c>
      <c r="C4466">
        <v>7</v>
      </c>
      <c r="D4466">
        <v>309</v>
      </c>
      <c r="E4466" t="s">
        <v>15</v>
      </c>
      <c r="F4466" t="s">
        <v>13</v>
      </c>
      <c r="G4466" t="s">
        <v>10</v>
      </c>
      <c r="H4466">
        <v>1</v>
      </c>
    </row>
    <row r="4467" spans="1:8" x14ac:dyDescent="0.35">
      <c r="A4467">
        <v>11151</v>
      </c>
      <c r="B4467" t="s">
        <v>7</v>
      </c>
      <c r="C4467">
        <v>5</v>
      </c>
      <c r="D4467">
        <v>449</v>
      </c>
      <c r="E4467" t="s">
        <v>8</v>
      </c>
      <c r="F4467" t="s">
        <v>9</v>
      </c>
      <c r="G4467" t="s">
        <v>14</v>
      </c>
      <c r="H4467">
        <v>0</v>
      </c>
    </row>
    <row r="4468" spans="1:8" x14ac:dyDescent="0.35">
      <c r="A4468">
        <v>13372</v>
      </c>
      <c r="B4468" t="s">
        <v>11</v>
      </c>
      <c r="C4468">
        <v>1</v>
      </c>
      <c r="D4468">
        <v>325</v>
      </c>
      <c r="E4468" t="s">
        <v>15</v>
      </c>
      <c r="F4468" t="s">
        <v>9</v>
      </c>
      <c r="G4468" t="s">
        <v>12</v>
      </c>
      <c r="H4468">
        <v>1</v>
      </c>
    </row>
    <row r="4469" spans="1:8" x14ac:dyDescent="0.35">
      <c r="A4469">
        <v>16155</v>
      </c>
      <c r="B4469" t="s">
        <v>11</v>
      </c>
      <c r="C4469">
        <v>4</v>
      </c>
      <c r="D4469">
        <v>137</v>
      </c>
      <c r="E4469" t="s">
        <v>8</v>
      </c>
      <c r="F4469" t="s">
        <v>13</v>
      </c>
      <c r="G4469" t="s">
        <v>14</v>
      </c>
      <c r="H4469">
        <v>0</v>
      </c>
    </row>
    <row r="4470" spans="1:8" x14ac:dyDescent="0.35">
      <c r="A4470">
        <v>18978</v>
      </c>
      <c r="B4470" t="s">
        <v>11</v>
      </c>
      <c r="C4470">
        <v>3</v>
      </c>
      <c r="D4470">
        <v>95</v>
      </c>
      <c r="E4470" t="s">
        <v>8</v>
      </c>
      <c r="F4470" t="s">
        <v>9</v>
      </c>
      <c r="G4470" t="s">
        <v>16</v>
      </c>
      <c r="H4470">
        <v>0</v>
      </c>
    </row>
    <row r="4471" spans="1:8" x14ac:dyDescent="0.35">
      <c r="A4471">
        <v>15136</v>
      </c>
      <c r="B4471" t="s">
        <v>11</v>
      </c>
      <c r="C4471">
        <v>5</v>
      </c>
      <c r="D4471">
        <v>64</v>
      </c>
      <c r="E4471" t="s">
        <v>8</v>
      </c>
      <c r="F4471" t="s">
        <v>13</v>
      </c>
      <c r="G4471" t="s">
        <v>14</v>
      </c>
      <c r="H4471">
        <v>0</v>
      </c>
    </row>
    <row r="4472" spans="1:8" x14ac:dyDescent="0.35">
      <c r="A4472">
        <v>17572</v>
      </c>
      <c r="B4472" t="s">
        <v>11</v>
      </c>
      <c r="C4472">
        <v>5</v>
      </c>
      <c r="D4472">
        <v>444</v>
      </c>
      <c r="E4472" t="s">
        <v>8</v>
      </c>
      <c r="F4472" t="s">
        <v>9</v>
      </c>
      <c r="G4472" t="s">
        <v>14</v>
      </c>
      <c r="H4472">
        <v>0</v>
      </c>
    </row>
    <row r="4473" spans="1:8" x14ac:dyDescent="0.35">
      <c r="A4473">
        <v>12768</v>
      </c>
      <c r="B4473" t="s">
        <v>11</v>
      </c>
      <c r="C4473">
        <v>13</v>
      </c>
      <c r="D4473">
        <v>311</v>
      </c>
      <c r="E4473" t="s">
        <v>8</v>
      </c>
      <c r="F4473" t="s">
        <v>13</v>
      </c>
      <c r="G4473" t="s">
        <v>10</v>
      </c>
      <c r="H4473">
        <v>0</v>
      </c>
    </row>
    <row r="4474" spans="1:8" x14ac:dyDescent="0.35">
      <c r="A4474">
        <v>10233</v>
      </c>
      <c r="B4474" t="s">
        <v>11</v>
      </c>
      <c r="C4474">
        <v>13</v>
      </c>
      <c r="D4474">
        <v>169</v>
      </c>
      <c r="E4474" t="s">
        <v>8</v>
      </c>
      <c r="F4474" t="s">
        <v>13</v>
      </c>
      <c r="G4474" t="s">
        <v>10</v>
      </c>
      <c r="H4474">
        <v>0</v>
      </c>
    </row>
    <row r="4475" spans="1:8" x14ac:dyDescent="0.35">
      <c r="A4475">
        <v>18335</v>
      </c>
      <c r="B4475" t="s">
        <v>7</v>
      </c>
      <c r="C4475">
        <v>8</v>
      </c>
      <c r="D4475">
        <v>306</v>
      </c>
      <c r="E4475" t="s">
        <v>8</v>
      </c>
      <c r="F4475" t="s">
        <v>13</v>
      </c>
      <c r="G4475" t="s">
        <v>14</v>
      </c>
      <c r="H4475">
        <v>0</v>
      </c>
    </row>
    <row r="4476" spans="1:8" x14ac:dyDescent="0.35">
      <c r="A4476">
        <v>14198</v>
      </c>
      <c r="B4476" t="s">
        <v>11</v>
      </c>
      <c r="C4476">
        <v>1</v>
      </c>
      <c r="D4476">
        <v>421</v>
      </c>
      <c r="E4476" t="s">
        <v>8</v>
      </c>
      <c r="F4476" t="s">
        <v>13</v>
      </c>
      <c r="G4476" t="s">
        <v>12</v>
      </c>
      <c r="H4476">
        <v>0</v>
      </c>
    </row>
    <row r="4477" spans="1:8" x14ac:dyDescent="0.35">
      <c r="A4477">
        <v>15620</v>
      </c>
      <c r="B4477" t="s">
        <v>7</v>
      </c>
      <c r="C4477">
        <v>2</v>
      </c>
      <c r="D4477">
        <v>179</v>
      </c>
      <c r="E4477" t="s">
        <v>15</v>
      </c>
      <c r="F4477" t="s">
        <v>9</v>
      </c>
      <c r="G4477" t="s">
        <v>12</v>
      </c>
      <c r="H4477">
        <v>1</v>
      </c>
    </row>
    <row r="4478" spans="1:8" x14ac:dyDescent="0.35">
      <c r="A4478">
        <v>13290</v>
      </c>
      <c r="B4478" t="s">
        <v>11</v>
      </c>
      <c r="C4478">
        <v>10</v>
      </c>
      <c r="D4478">
        <v>249</v>
      </c>
      <c r="E4478" t="s">
        <v>8</v>
      </c>
      <c r="F4478" t="s">
        <v>13</v>
      </c>
      <c r="G4478" t="s">
        <v>14</v>
      </c>
      <c r="H4478">
        <v>0</v>
      </c>
    </row>
    <row r="4479" spans="1:8" x14ac:dyDescent="0.35">
      <c r="A4479">
        <v>10083</v>
      </c>
      <c r="B4479" t="s">
        <v>7</v>
      </c>
      <c r="C4479">
        <v>7</v>
      </c>
      <c r="D4479">
        <v>247</v>
      </c>
      <c r="E4479" t="s">
        <v>8</v>
      </c>
      <c r="F4479" t="s">
        <v>9</v>
      </c>
      <c r="G4479" t="s">
        <v>16</v>
      </c>
      <c r="H4479">
        <v>0</v>
      </c>
    </row>
    <row r="4480" spans="1:8" x14ac:dyDescent="0.35">
      <c r="A4480">
        <v>14409</v>
      </c>
      <c r="B4480" t="s">
        <v>11</v>
      </c>
      <c r="C4480">
        <v>13</v>
      </c>
      <c r="D4480">
        <v>447</v>
      </c>
      <c r="E4480" t="s">
        <v>8</v>
      </c>
      <c r="F4480" t="s">
        <v>9</v>
      </c>
      <c r="G4480" t="s">
        <v>12</v>
      </c>
      <c r="H4480">
        <v>0</v>
      </c>
    </row>
    <row r="4481" spans="1:8" x14ac:dyDescent="0.35">
      <c r="A4481">
        <v>19028</v>
      </c>
      <c r="B4481" t="s">
        <v>7</v>
      </c>
      <c r="C4481">
        <v>2</v>
      </c>
      <c r="D4481">
        <v>336</v>
      </c>
      <c r="E4481" t="s">
        <v>8</v>
      </c>
      <c r="F4481" t="s">
        <v>13</v>
      </c>
      <c r="G4481" t="s">
        <v>14</v>
      </c>
      <c r="H4481">
        <v>0</v>
      </c>
    </row>
    <row r="4482" spans="1:8" x14ac:dyDescent="0.35">
      <c r="A4482">
        <v>12936</v>
      </c>
      <c r="B4482" t="s">
        <v>7</v>
      </c>
      <c r="C4482">
        <v>13</v>
      </c>
      <c r="D4482">
        <v>280</v>
      </c>
      <c r="E4482" t="s">
        <v>8</v>
      </c>
      <c r="F4482" t="s">
        <v>9</v>
      </c>
      <c r="G4482" t="s">
        <v>10</v>
      </c>
      <c r="H4482">
        <v>0</v>
      </c>
    </row>
    <row r="4483" spans="1:8" x14ac:dyDescent="0.35">
      <c r="A4483">
        <v>19538</v>
      </c>
      <c r="B4483" t="s">
        <v>11</v>
      </c>
      <c r="C4483">
        <v>12</v>
      </c>
      <c r="D4483">
        <v>80</v>
      </c>
      <c r="E4483" t="s">
        <v>8</v>
      </c>
      <c r="F4483" t="s">
        <v>9</v>
      </c>
      <c r="G4483" t="s">
        <v>12</v>
      </c>
      <c r="H4483">
        <v>0</v>
      </c>
    </row>
    <row r="4484" spans="1:8" x14ac:dyDescent="0.35">
      <c r="A4484">
        <v>19545</v>
      </c>
      <c r="B4484" t="s">
        <v>11</v>
      </c>
      <c r="C4484">
        <v>8</v>
      </c>
      <c r="D4484">
        <v>267</v>
      </c>
      <c r="E4484" t="s">
        <v>8</v>
      </c>
      <c r="F4484" t="s">
        <v>13</v>
      </c>
      <c r="G4484" t="s">
        <v>10</v>
      </c>
      <c r="H4484">
        <v>0</v>
      </c>
    </row>
    <row r="4485" spans="1:8" x14ac:dyDescent="0.35">
      <c r="A4485">
        <v>14139</v>
      </c>
      <c r="B4485" t="s">
        <v>7</v>
      </c>
      <c r="C4485">
        <v>4</v>
      </c>
      <c r="D4485">
        <v>241</v>
      </c>
      <c r="E4485" t="s">
        <v>8</v>
      </c>
      <c r="F4485" t="s">
        <v>13</v>
      </c>
      <c r="G4485" t="s">
        <v>16</v>
      </c>
      <c r="H4485">
        <v>0</v>
      </c>
    </row>
    <row r="4486" spans="1:8" x14ac:dyDescent="0.35">
      <c r="A4486">
        <v>19602</v>
      </c>
      <c r="B4486" t="s">
        <v>7</v>
      </c>
      <c r="C4486">
        <v>10</v>
      </c>
      <c r="D4486">
        <v>49</v>
      </c>
      <c r="E4486" t="s">
        <v>8</v>
      </c>
      <c r="F4486" t="s">
        <v>13</v>
      </c>
      <c r="G4486" t="s">
        <v>14</v>
      </c>
      <c r="H4486">
        <v>0</v>
      </c>
    </row>
    <row r="4487" spans="1:8" x14ac:dyDescent="0.35">
      <c r="A4487">
        <v>10535</v>
      </c>
      <c r="B4487" t="s">
        <v>7</v>
      </c>
      <c r="C4487">
        <v>9</v>
      </c>
      <c r="D4487">
        <v>233</v>
      </c>
      <c r="E4487" t="s">
        <v>8</v>
      </c>
      <c r="F4487" t="s">
        <v>9</v>
      </c>
      <c r="G4487" t="s">
        <v>16</v>
      </c>
      <c r="H4487">
        <v>0</v>
      </c>
    </row>
    <row r="4488" spans="1:8" x14ac:dyDescent="0.35">
      <c r="A4488">
        <v>19664</v>
      </c>
      <c r="B4488" t="s">
        <v>7</v>
      </c>
      <c r="C4488">
        <v>8</v>
      </c>
      <c r="D4488">
        <v>51</v>
      </c>
      <c r="E4488" t="s">
        <v>15</v>
      </c>
      <c r="F4488" t="s">
        <v>13</v>
      </c>
      <c r="G4488" t="s">
        <v>16</v>
      </c>
      <c r="H4488">
        <v>1</v>
      </c>
    </row>
    <row r="4489" spans="1:8" x14ac:dyDescent="0.35">
      <c r="A4489">
        <v>19474</v>
      </c>
      <c r="B4489" t="s">
        <v>11</v>
      </c>
      <c r="C4489">
        <v>6</v>
      </c>
      <c r="D4489">
        <v>88</v>
      </c>
      <c r="E4489" t="s">
        <v>8</v>
      </c>
      <c r="F4489" t="s">
        <v>9</v>
      </c>
      <c r="G4489" t="s">
        <v>16</v>
      </c>
      <c r="H4489">
        <v>0</v>
      </c>
    </row>
    <row r="4490" spans="1:8" x14ac:dyDescent="0.35">
      <c r="A4490">
        <v>18991</v>
      </c>
      <c r="B4490" t="s">
        <v>11</v>
      </c>
      <c r="C4490">
        <v>6</v>
      </c>
      <c r="D4490">
        <v>161</v>
      </c>
      <c r="E4490" t="s">
        <v>8</v>
      </c>
      <c r="F4490" t="s">
        <v>13</v>
      </c>
      <c r="G4490" t="s">
        <v>16</v>
      </c>
      <c r="H4490">
        <v>0</v>
      </c>
    </row>
    <row r="4491" spans="1:8" x14ac:dyDescent="0.35">
      <c r="A4491">
        <v>16519</v>
      </c>
      <c r="B4491" t="s">
        <v>7</v>
      </c>
      <c r="C4491">
        <v>6</v>
      </c>
      <c r="D4491">
        <v>224</v>
      </c>
      <c r="E4491" t="s">
        <v>8</v>
      </c>
      <c r="F4491" t="s">
        <v>9</v>
      </c>
      <c r="G4491" t="s">
        <v>12</v>
      </c>
      <c r="H4491">
        <v>0</v>
      </c>
    </row>
    <row r="4492" spans="1:8" x14ac:dyDescent="0.35">
      <c r="A4492">
        <v>11868</v>
      </c>
      <c r="B4492" t="s">
        <v>11</v>
      </c>
      <c r="C4492">
        <v>9</v>
      </c>
      <c r="D4492">
        <v>145</v>
      </c>
      <c r="E4492" t="s">
        <v>15</v>
      </c>
      <c r="F4492" t="s">
        <v>13</v>
      </c>
      <c r="G4492" t="s">
        <v>12</v>
      </c>
      <c r="H4492">
        <v>1</v>
      </c>
    </row>
    <row r="4493" spans="1:8" x14ac:dyDescent="0.35">
      <c r="A4493">
        <v>13159</v>
      </c>
      <c r="B4493" t="s">
        <v>11</v>
      </c>
      <c r="C4493">
        <v>12</v>
      </c>
      <c r="D4493">
        <v>172</v>
      </c>
      <c r="E4493" t="s">
        <v>8</v>
      </c>
      <c r="F4493" t="s">
        <v>9</v>
      </c>
      <c r="G4493" t="s">
        <v>16</v>
      </c>
      <c r="H4493">
        <v>0</v>
      </c>
    </row>
    <row r="4494" spans="1:8" x14ac:dyDescent="0.35">
      <c r="A4494">
        <v>15191</v>
      </c>
      <c r="B4494" t="s">
        <v>11</v>
      </c>
      <c r="C4494">
        <v>1</v>
      </c>
      <c r="D4494">
        <v>368</v>
      </c>
      <c r="E4494" t="s">
        <v>8</v>
      </c>
      <c r="F4494" t="s">
        <v>9</v>
      </c>
      <c r="G4494" t="s">
        <v>16</v>
      </c>
      <c r="H4494">
        <v>0</v>
      </c>
    </row>
    <row r="4495" spans="1:8" x14ac:dyDescent="0.35">
      <c r="A4495">
        <v>16193</v>
      </c>
      <c r="B4495" t="s">
        <v>11</v>
      </c>
      <c r="C4495">
        <v>14</v>
      </c>
      <c r="D4495">
        <v>291</v>
      </c>
      <c r="E4495" t="s">
        <v>8</v>
      </c>
      <c r="F4495" t="s">
        <v>13</v>
      </c>
      <c r="G4495" t="s">
        <v>16</v>
      </c>
      <c r="H4495">
        <v>0</v>
      </c>
    </row>
    <row r="4496" spans="1:8" x14ac:dyDescent="0.35">
      <c r="A4496">
        <v>13684</v>
      </c>
      <c r="B4496" t="s">
        <v>7</v>
      </c>
      <c r="C4496">
        <v>10</v>
      </c>
      <c r="D4496">
        <v>439</v>
      </c>
      <c r="E4496" t="s">
        <v>8</v>
      </c>
      <c r="F4496" t="s">
        <v>13</v>
      </c>
      <c r="G4496" t="s">
        <v>16</v>
      </c>
      <c r="H4496">
        <v>0</v>
      </c>
    </row>
    <row r="4497" spans="1:8" x14ac:dyDescent="0.35">
      <c r="A4497">
        <v>14985</v>
      </c>
      <c r="B4497" t="s">
        <v>7</v>
      </c>
      <c r="C4497">
        <v>8</v>
      </c>
      <c r="D4497">
        <v>165</v>
      </c>
      <c r="E4497" t="s">
        <v>8</v>
      </c>
      <c r="F4497" t="s">
        <v>13</v>
      </c>
      <c r="G4497" t="s">
        <v>16</v>
      </c>
      <c r="H4497">
        <v>0</v>
      </c>
    </row>
    <row r="4498" spans="1:8" x14ac:dyDescent="0.35">
      <c r="A4498">
        <v>13367</v>
      </c>
      <c r="B4498" t="s">
        <v>7</v>
      </c>
      <c r="C4498">
        <v>3</v>
      </c>
      <c r="D4498">
        <v>82</v>
      </c>
      <c r="E4498" t="s">
        <v>8</v>
      </c>
      <c r="F4498" t="s">
        <v>13</v>
      </c>
      <c r="G4498" t="s">
        <v>10</v>
      </c>
      <c r="H4498">
        <v>0</v>
      </c>
    </row>
    <row r="4499" spans="1:8" x14ac:dyDescent="0.35">
      <c r="A4499">
        <v>10013</v>
      </c>
      <c r="B4499" t="s">
        <v>11</v>
      </c>
      <c r="C4499">
        <v>8</v>
      </c>
      <c r="D4499">
        <v>367</v>
      </c>
      <c r="E4499" t="s">
        <v>8</v>
      </c>
      <c r="F4499" t="s">
        <v>9</v>
      </c>
      <c r="G4499" t="s">
        <v>12</v>
      </c>
      <c r="H4499">
        <v>0</v>
      </c>
    </row>
    <row r="4500" spans="1:8" x14ac:dyDescent="0.35">
      <c r="A4500">
        <v>14646</v>
      </c>
      <c r="B4500" t="s">
        <v>7</v>
      </c>
      <c r="C4500">
        <v>10</v>
      </c>
      <c r="D4500">
        <v>184</v>
      </c>
      <c r="E4500" t="s">
        <v>8</v>
      </c>
      <c r="F4500" t="s">
        <v>13</v>
      </c>
      <c r="G4500" t="s">
        <v>10</v>
      </c>
      <c r="H4500">
        <v>0</v>
      </c>
    </row>
    <row r="4501" spans="1:8" x14ac:dyDescent="0.35">
      <c r="A4501">
        <v>14820</v>
      </c>
      <c r="B4501" t="s">
        <v>7</v>
      </c>
      <c r="C4501">
        <v>8</v>
      </c>
      <c r="D4501">
        <v>80</v>
      </c>
      <c r="E4501" t="s">
        <v>15</v>
      </c>
      <c r="F4501" t="s">
        <v>9</v>
      </c>
      <c r="G4501" t="s">
        <v>10</v>
      </c>
      <c r="H4501">
        <v>1</v>
      </c>
    </row>
    <row r="4502" spans="1:8" x14ac:dyDescent="0.35">
      <c r="A4502">
        <v>12373</v>
      </c>
      <c r="B4502" t="s">
        <v>11</v>
      </c>
      <c r="C4502">
        <v>8</v>
      </c>
      <c r="D4502">
        <v>158</v>
      </c>
      <c r="E4502" t="s">
        <v>8</v>
      </c>
      <c r="F4502" t="s">
        <v>13</v>
      </c>
      <c r="G4502" t="s">
        <v>10</v>
      </c>
      <c r="H4502">
        <v>0</v>
      </c>
    </row>
    <row r="4503" spans="1:8" x14ac:dyDescent="0.35">
      <c r="A4503">
        <v>14249</v>
      </c>
      <c r="B4503" t="s">
        <v>11</v>
      </c>
      <c r="C4503">
        <v>14</v>
      </c>
      <c r="D4503">
        <v>180</v>
      </c>
      <c r="E4503" t="s">
        <v>8</v>
      </c>
      <c r="F4503" t="s">
        <v>9</v>
      </c>
      <c r="G4503" t="s">
        <v>16</v>
      </c>
      <c r="H4503">
        <v>0</v>
      </c>
    </row>
    <row r="4504" spans="1:8" x14ac:dyDescent="0.35">
      <c r="A4504">
        <v>19318</v>
      </c>
      <c r="B4504" t="s">
        <v>11</v>
      </c>
      <c r="C4504">
        <v>14</v>
      </c>
      <c r="D4504">
        <v>354</v>
      </c>
      <c r="E4504" t="s">
        <v>8</v>
      </c>
      <c r="F4504" t="s">
        <v>9</v>
      </c>
      <c r="G4504" t="s">
        <v>10</v>
      </c>
      <c r="H4504">
        <v>0</v>
      </c>
    </row>
    <row r="4505" spans="1:8" x14ac:dyDescent="0.35">
      <c r="A4505">
        <v>12409</v>
      </c>
      <c r="B4505" t="s">
        <v>11</v>
      </c>
      <c r="C4505">
        <v>1</v>
      </c>
      <c r="D4505">
        <v>110</v>
      </c>
      <c r="E4505" t="s">
        <v>8</v>
      </c>
      <c r="F4505" t="s">
        <v>9</v>
      </c>
      <c r="G4505" t="s">
        <v>10</v>
      </c>
      <c r="H4505">
        <v>0</v>
      </c>
    </row>
    <row r="4506" spans="1:8" x14ac:dyDescent="0.35">
      <c r="A4506">
        <v>14961</v>
      </c>
      <c r="B4506" t="s">
        <v>11</v>
      </c>
      <c r="C4506">
        <v>12</v>
      </c>
      <c r="D4506">
        <v>403</v>
      </c>
      <c r="E4506" t="s">
        <v>8</v>
      </c>
      <c r="F4506" t="s">
        <v>9</v>
      </c>
      <c r="G4506" t="s">
        <v>16</v>
      </c>
      <c r="H4506">
        <v>0</v>
      </c>
    </row>
    <row r="4507" spans="1:8" x14ac:dyDescent="0.35">
      <c r="A4507">
        <v>15092</v>
      </c>
      <c r="B4507" t="s">
        <v>7</v>
      </c>
      <c r="C4507">
        <v>4</v>
      </c>
      <c r="D4507">
        <v>192</v>
      </c>
      <c r="E4507" t="s">
        <v>8</v>
      </c>
      <c r="F4507" t="s">
        <v>13</v>
      </c>
      <c r="G4507" t="s">
        <v>12</v>
      </c>
      <c r="H4507">
        <v>0</v>
      </c>
    </row>
    <row r="4508" spans="1:8" x14ac:dyDescent="0.35">
      <c r="A4508">
        <v>12292</v>
      </c>
      <c r="B4508" t="s">
        <v>7</v>
      </c>
      <c r="C4508">
        <v>12</v>
      </c>
      <c r="D4508">
        <v>80</v>
      </c>
      <c r="E4508" t="s">
        <v>8</v>
      </c>
      <c r="F4508" t="s">
        <v>9</v>
      </c>
      <c r="G4508" t="s">
        <v>10</v>
      </c>
      <c r="H4508">
        <v>0</v>
      </c>
    </row>
    <row r="4509" spans="1:8" x14ac:dyDescent="0.35">
      <c r="A4509">
        <v>19717</v>
      </c>
      <c r="B4509" t="s">
        <v>11</v>
      </c>
      <c r="C4509">
        <v>10</v>
      </c>
      <c r="D4509">
        <v>170</v>
      </c>
      <c r="E4509" t="s">
        <v>8</v>
      </c>
      <c r="F4509" t="s">
        <v>9</v>
      </c>
      <c r="G4509" t="s">
        <v>12</v>
      </c>
      <c r="H4509">
        <v>0</v>
      </c>
    </row>
    <row r="4510" spans="1:8" x14ac:dyDescent="0.35">
      <c r="A4510">
        <v>16142</v>
      </c>
      <c r="B4510" t="s">
        <v>7</v>
      </c>
      <c r="C4510">
        <v>4</v>
      </c>
      <c r="D4510">
        <v>212</v>
      </c>
      <c r="E4510" t="s">
        <v>8</v>
      </c>
      <c r="F4510" t="s">
        <v>13</v>
      </c>
      <c r="G4510" t="s">
        <v>16</v>
      </c>
      <c r="H4510">
        <v>0</v>
      </c>
    </row>
    <row r="4511" spans="1:8" x14ac:dyDescent="0.35">
      <c r="A4511">
        <v>14764</v>
      </c>
      <c r="B4511" t="s">
        <v>7</v>
      </c>
      <c r="C4511">
        <v>13</v>
      </c>
      <c r="D4511">
        <v>282</v>
      </c>
      <c r="E4511" t="s">
        <v>8</v>
      </c>
      <c r="F4511" t="s">
        <v>13</v>
      </c>
      <c r="G4511" t="s">
        <v>14</v>
      </c>
      <c r="H4511">
        <v>0</v>
      </c>
    </row>
    <row r="4512" spans="1:8" x14ac:dyDescent="0.35">
      <c r="A4512">
        <v>10509</v>
      </c>
      <c r="B4512" t="s">
        <v>7</v>
      </c>
      <c r="C4512">
        <v>11</v>
      </c>
      <c r="D4512">
        <v>326</v>
      </c>
      <c r="E4512" t="s">
        <v>8</v>
      </c>
      <c r="F4512" t="s">
        <v>13</v>
      </c>
      <c r="G4512" t="s">
        <v>10</v>
      </c>
      <c r="H4512">
        <v>0</v>
      </c>
    </row>
    <row r="4513" spans="1:8" x14ac:dyDescent="0.35">
      <c r="A4513">
        <v>10261</v>
      </c>
      <c r="B4513" t="s">
        <v>11</v>
      </c>
      <c r="C4513">
        <v>8</v>
      </c>
      <c r="D4513">
        <v>439</v>
      </c>
      <c r="E4513" t="s">
        <v>8</v>
      </c>
      <c r="F4513" t="s">
        <v>13</v>
      </c>
      <c r="G4513" t="s">
        <v>12</v>
      </c>
      <c r="H4513">
        <v>0</v>
      </c>
    </row>
    <row r="4514" spans="1:8" x14ac:dyDescent="0.35">
      <c r="A4514">
        <v>18047</v>
      </c>
      <c r="B4514" t="s">
        <v>7</v>
      </c>
      <c r="C4514">
        <v>6</v>
      </c>
      <c r="D4514">
        <v>323</v>
      </c>
      <c r="E4514" t="s">
        <v>8</v>
      </c>
      <c r="F4514" t="s">
        <v>13</v>
      </c>
      <c r="G4514" t="s">
        <v>16</v>
      </c>
      <c r="H4514">
        <v>0</v>
      </c>
    </row>
    <row r="4515" spans="1:8" x14ac:dyDescent="0.35">
      <c r="A4515">
        <v>17553</v>
      </c>
      <c r="B4515" t="s">
        <v>11</v>
      </c>
      <c r="C4515">
        <v>8</v>
      </c>
      <c r="D4515">
        <v>156</v>
      </c>
      <c r="E4515" t="s">
        <v>8</v>
      </c>
      <c r="F4515" t="s">
        <v>13</v>
      </c>
      <c r="G4515" t="s">
        <v>16</v>
      </c>
      <c r="H4515">
        <v>0</v>
      </c>
    </row>
    <row r="4516" spans="1:8" x14ac:dyDescent="0.35">
      <c r="A4516">
        <v>14463</v>
      </c>
      <c r="B4516" t="s">
        <v>11</v>
      </c>
      <c r="C4516">
        <v>10</v>
      </c>
      <c r="D4516">
        <v>121</v>
      </c>
      <c r="E4516" t="s">
        <v>8</v>
      </c>
      <c r="F4516" t="s">
        <v>9</v>
      </c>
      <c r="G4516" t="s">
        <v>14</v>
      </c>
      <c r="H4516">
        <v>0</v>
      </c>
    </row>
    <row r="4517" spans="1:8" x14ac:dyDescent="0.35">
      <c r="A4517">
        <v>11051</v>
      </c>
      <c r="B4517" t="s">
        <v>7</v>
      </c>
      <c r="C4517">
        <v>13</v>
      </c>
      <c r="D4517">
        <v>237</v>
      </c>
      <c r="E4517" t="s">
        <v>8</v>
      </c>
      <c r="F4517" t="s">
        <v>13</v>
      </c>
      <c r="G4517" t="s">
        <v>12</v>
      </c>
      <c r="H4517">
        <v>0</v>
      </c>
    </row>
    <row r="4518" spans="1:8" x14ac:dyDescent="0.35">
      <c r="A4518">
        <v>13603</v>
      </c>
      <c r="B4518" t="s">
        <v>7</v>
      </c>
      <c r="C4518">
        <v>13</v>
      </c>
      <c r="D4518">
        <v>118</v>
      </c>
      <c r="E4518" t="s">
        <v>15</v>
      </c>
      <c r="F4518" t="s">
        <v>9</v>
      </c>
      <c r="G4518" t="s">
        <v>12</v>
      </c>
      <c r="H4518">
        <v>1</v>
      </c>
    </row>
    <row r="4519" spans="1:8" x14ac:dyDescent="0.35">
      <c r="A4519">
        <v>15200</v>
      </c>
      <c r="B4519" t="s">
        <v>11</v>
      </c>
      <c r="C4519">
        <v>5</v>
      </c>
      <c r="D4519">
        <v>156</v>
      </c>
      <c r="E4519" t="s">
        <v>8</v>
      </c>
      <c r="F4519" t="s">
        <v>13</v>
      </c>
      <c r="G4519" t="s">
        <v>10</v>
      </c>
      <c r="H4519">
        <v>0</v>
      </c>
    </row>
    <row r="4520" spans="1:8" x14ac:dyDescent="0.35">
      <c r="A4520">
        <v>10210</v>
      </c>
      <c r="B4520" t="s">
        <v>7</v>
      </c>
      <c r="C4520">
        <v>11</v>
      </c>
      <c r="D4520">
        <v>145</v>
      </c>
      <c r="E4520" t="s">
        <v>8</v>
      </c>
      <c r="F4520" t="s">
        <v>9</v>
      </c>
      <c r="G4520" t="s">
        <v>14</v>
      </c>
      <c r="H4520">
        <v>0</v>
      </c>
    </row>
    <row r="4521" spans="1:8" x14ac:dyDescent="0.35">
      <c r="A4521">
        <v>17515</v>
      </c>
      <c r="B4521" t="s">
        <v>11</v>
      </c>
      <c r="C4521">
        <v>11</v>
      </c>
      <c r="D4521">
        <v>130</v>
      </c>
      <c r="E4521" t="s">
        <v>8</v>
      </c>
      <c r="F4521" t="s">
        <v>9</v>
      </c>
      <c r="G4521" t="s">
        <v>16</v>
      </c>
      <c r="H4521">
        <v>0</v>
      </c>
    </row>
    <row r="4522" spans="1:8" x14ac:dyDescent="0.35">
      <c r="A4522">
        <v>15306</v>
      </c>
      <c r="B4522" t="s">
        <v>7</v>
      </c>
      <c r="C4522">
        <v>13</v>
      </c>
      <c r="D4522">
        <v>408</v>
      </c>
      <c r="E4522" t="s">
        <v>15</v>
      </c>
      <c r="F4522" t="s">
        <v>13</v>
      </c>
      <c r="G4522" t="s">
        <v>10</v>
      </c>
      <c r="H4522">
        <v>1</v>
      </c>
    </row>
    <row r="4523" spans="1:8" x14ac:dyDescent="0.35">
      <c r="A4523">
        <v>19780</v>
      </c>
      <c r="B4523" t="s">
        <v>7</v>
      </c>
      <c r="C4523">
        <v>6</v>
      </c>
      <c r="D4523">
        <v>126</v>
      </c>
      <c r="E4523" t="s">
        <v>8</v>
      </c>
      <c r="F4523" t="s">
        <v>13</v>
      </c>
      <c r="G4523" t="s">
        <v>16</v>
      </c>
      <c r="H4523">
        <v>0</v>
      </c>
    </row>
    <row r="4524" spans="1:8" x14ac:dyDescent="0.35">
      <c r="A4524">
        <v>19556</v>
      </c>
      <c r="B4524" t="s">
        <v>11</v>
      </c>
      <c r="C4524">
        <v>7</v>
      </c>
      <c r="D4524">
        <v>167</v>
      </c>
      <c r="E4524" t="s">
        <v>8</v>
      </c>
      <c r="F4524" t="s">
        <v>13</v>
      </c>
      <c r="G4524" t="s">
        <v>12</v>
      </c>
      <c r="H4524">
        <v>0</v>
      </c>
    </row>
    <row r="4525" spans="1:8" x14ac:dyDescent="0.35">
      <c r="A4525">
        <v>18591</v>
      </c>
      <c r="B4525" t="s">
        <v>7</v>
      </c>
      <c r="C4525">
        <v>10</v>
      </c>
      <c r="D4525">
        <v>210</v>
      </c>
      <c r="E4525" t="s">
        <v>8</v>
      </c>
      <c r="F4525" t="s">
        <v>9</v>
      </c>
      <c r="G4525" t="s">
        <v>12</v>
      </c>
      <c r="H4525">
        <v>0</v>
      </c>
    </row>
    <row r="4526" spans="1:8" x14ac:dyDescent="0.35">
      <c r="A4526">
        <v>17128</v>
      </c>
      <c r="B4526" t="s">
        <v>11</v>
      </c>
      <c r="C4526">
        <v>2</v>
      </c>
      <c r="D4526">
        <v>230</v>
      </c>
      <c r="E4526" t="s">
        <v>8</v>
      </c>
      <c r="F4526" t="s">
        <v>9</v>
      </c>
      <c r="G4526" t="s">
        <v>14</v>
      </c>
      <c r="H4526">
        <v>0</v>
      </c>
    </row>
    <row r="4527" spans="1:8" x14ac:dyDescent="0.35">
      <c r="A4527">
        <v>16622</v>
      </c>
      <c r="B4527" t="s">
        <v>7</v>
      </c>
      <c r="C4527">
        <v>10</v>
      </c>
      <c r="D4527">
        <v>308</v>
      </c>
      <c r="E4527" t="s">
        <v>8</v>
      </c>
      <c r="F4527" t="s">
        <v>9</v>
      </c>
      <c r="G4527" t="s">
        <v>16</v>
      </c>
      <c r="H4527">
        <v>0</v>
      </c>
    </row>
    <row r="4528" spans="1:8" x14ac:dyDescent="0.35">
      <c r="A4528">
        <v>16159</v>
      </c>
      <c r="B4528" t="s">
        <v>7</v>
      </c>
      <c r="C4528">
        <v>14</v>
      </c>
      <c r="D4528">
        <v>396</v>
      </c>
      <c r="E4528" t="s">
        <v>8</v>
      </c>
      <c r="F4528" t="s">
        <v>13</v>
      </c>
      <c r="G4528" t="s">
        <v>12</v>
      </c>
      <c r="H4528">
        <v>0</v>
      </c>
    </row>
    <row r="4529" spans="1:8" x14ac:dyDescent="0.35">
      <c r="A4529">
        <v>12211</v>
      </c>
      <c r="B4529" t="s">
        <v>7</v>
      </c>
      <c r="C4529">
        <v>2</v>
      </c>
      <c r="D4529">
        <v>402</v>
      </c>
      <c r="E4529" t="s">
        <v>8</v>
      </c>
      <c r="F4529" t="s">
        <v>9</v>
      </c>
      <c r="G4529" t="s">
        <v>14</v>
      </c>
      <c r="H4529">
        <v>0</v>
      </c>
    </row>
    <row r="4530" spans="1:8" x14ac:dyDescent="0.35">
      <c r="A4530">
        <v>10809</v>
      </c>
      <c r="B4530" t="s">
        <v>7</v>
      </c>
      <c r="C4530">
        <v>6</v>
      </c>
      <c r="D4530">
        <v>395</v>
      </c>
      <c r="E4530" t="s">
        <v>8</v>
      </c>
      <c r="F4530" t="s">
        <v>13</v>
      </c>
      <c r="G4530" t="s">
        <v>16</v>
      </c>
      <c r="H4530">
        <v>0</v>
      </c>
    </row>
    <row r="4531" spans="1:8" x14ac:dyDescent="0.35">
      <c r="A4531">
        <v>16001</v>
      </c>
      <c r="B4531" t="s">
        <v>11</v>
      </c>
      <c r="C4531">
        <v>8</v>
      </c>
      <c r="D4531">
        <v>420</v>
      </c>
      <c r="E4531" t="s">
        <v>8</v>
      </c>
      <c r="F4531" t="s">
        <v>13</v>
      </c>
      <c r="G4531" t="s">
        <v>16</v>
      </c>
      <c r="H4531">
        <v>0</v>
      </c>
    </row>
    <row r="4532" spans="1:8" x14ac:dyDescent="0.35">
      <c r="A4532">
        <v>17475</v>
      </c>
      <c r="B4532" t="s">
        <v>7</v>
      </c>
      <c r="C4532">
        <v>4</v>
      </c>
      <c r="D4532">
        <v>105</v>
      </c>
      <c r="E4532" t="s">
        <v>8</v>
      </c>
      <c r="F4532" t="s">
        <v>9</v>
      </c>
      <c r="G4532" t="s">
        <v>14</v>
      </c>
      <c r="H4532">
        <v>0</v>
      </c>
    </row>
    <row r="4533" spans="1:8" x14ac:dyDescent="0.35">
      <c r="A4533">
        <v>13775</v>
      </c>
      <c r="B4533" t="s">
        <v>11</v>
      </c>
      <c r="C4533">
        <v>9</v>
      </c>
      <c r="D4533">
        <v>434</v>
      </c>
      <c r="E4533" t="s">
        <v>8</v>
      </c>
      <c r="F4533" t="s">
        <v>9</v>
      </c>
      <c r="G4533" t="s">
        <v>16</v>
      </c>
      <c r="H4533">
        <v>0</v>
      </c>
    </row>
    <row r="4534" spans="1:8" x14ac:dyDescent="0.35">
      <c r="A4534">
        <v>18460</v>
      </c>
      <c r="B4534" t="s">
        <v>7</v>
      </c>
      <c r="C4534">
        <v>9</v>
      </c>
      <c r="D4534">
        <v>265</v>
      </c>
      <c r="E4534" t="s">
        <v>8</v>
      </c>
      <c r="F4534" t="s">
        <v>9</v>
      </c>
      <c r="G4534" t="s">
        <v>10</v>
      </c>
      <c r="H4534">
        <v>0</v>
      </c>
    </row>
    <row r="4535" spans="1:8" x14ac:dyDescent="0.35">
      <c r="A4535">
        <v>16135</v>
      </c>
      <c r="B4535" t="s">
        <v>7</v>
      </c>
      <c r="C4535">
        <v>8</v>
      </c>
      <c r="D4535">
        <v>366</v>
      </c>
      <c r="E4535" t="s">
        <v>8</v>
      </c>
      <c r="F4535" t="s">
        <v>9</v>
      </c>
      <c r="G4535" t="s">
        <v>16</v>
      </c>
      <c r="H4535">
        <v>0</v>
      </c>
    </row>
    <row r="4536" spans="1:8" x14ac:dyDescent="0.35">
      <c r="A4536">
        <v>12535</v>
      </c>
      <c r="B4536" t="s">
        <v>7</v>
      </c>
      <c r="C4536">
        <v>14</v>
      </c>
      <c r="D4536">
        <v>442</v>
      </c>
      <c r="E4536" t="s">
        <v>15</v>
      </c>
      <c r="F4536" t="s">
        <v>13</v>
      </c>
      <c r="G4536" t="s">
        <v>12</v>
      </c>
      <c r="H4536">
        <v>1</v>
      </c>
    </row>
    <row r="4537" spans="1:8" x14ac:dyDescent="0.35">
      <c r="A4537">
        <v>11673</v>
      </c>
      <c r="B4537" t="s">
        <v>7</v>
      </c>
      <c r="C4537">
        <v>10</v>
      </c>
      <c r="D4537">
        <v>241</v>
      </c>
      <c r="E4537" t="s">
        <v>8</v>
      </c>
      <c r="F4537" t="s">
        <v>9</v>
      </c>
      <c r="G4537" t="s">
        <v>10</v>
      </c>
      <c r="H4537">
        <v>0</v>
      </c>
    </row>
    <row r="4538" spans="1:8" x14ac:dyDescent="0.35">
      <c r="A4538">
        <v>12779</v>
      </c>
      <c r="B4538" t="s">
        <v>11</v>
      </c>
      <c r="C4538">
        <v>5</v>
      </c>
      <c r="D4538">
        <v>267</v>
      </c>
      <c r="E4538" t="s">
        <v>8</v>
      </c>
      <c r="F4538" t="s">
        <v>13</v>
      </c>
      <c r="G4538" t="s">
        <v>16</v>
      </c>
      <c r="H4538">
        <v>0</v>
      </c>
    </row>
    <row r="4539" spans="1:8" x14ac:dyDescent="0.35">
      <c r="A4539">
        <v>19162</v>
      </c>
      <c r="B4539" t="s">
        <v>7</v>
      </c>
      <c r="C4539">
        <v>2</v>
      </c>
      <c r="D4539">
        <v>245</v>
      </c>
      <c r="E4539" t="s">
        <v>8</v>
      </c>
      <c r="F4539" t="s">
        <v>9</v>
      </c>
      <c r="G4539" t="s">
        <v>14</v>
      </c>
      <c r="H4539">
        <v>0</v>
      </c>
    </row>
    <row r="4540" spans="1:8" x14ac:dyDescent="0.35">
      <c r="A4540">
        <v>14197</v>
      </c>
      <c r="B4540" t="s">
        <v>7</v>
      </c>
      <c r="C4540">
        <v>3</v>
      </c>
      <c r="D4540">
        <v>356</v>
      </c>
      <c r="E4540" t="s">
        <v>8</v>
      </c>
      <c r="F4540" t="s">
        <v>9</v>
      </c>
      <c r="G4540" t="s">
        <v>14</v>
      </c>
      <c r="H4540">
        <v>0</v>
      </c>
    </row>
    <row r="4541" spans="1:8" x14ac:dyDescent="0.35">
      <c r="A4541">
        <v>19026</v>
      </c>
      <c r="B4541" t="s">
        <v>11</v>
      </c>
      <c r="C4541">
        <v>2</v>
      </c>
      <c r="D4541">
        <v>185</v>
      </c>
      <c r="E4541" t="s">
        <v>8</v>
      </c>
      <c r="F4541" t="s">
        <v>9</v>
      </c>
      <c r="G4541" t="s">
        <v>14</v>
      </c>
      <c r="H4541">
        <v>0</v>
      </c>
    </row>
    <row r="4542" spans="1:8" x14ac:dyDescent="0.35">
      <c r="A4542">
        <v>11359</v>
      </c>
      <c r="B4542" t="s">
        <v>7</v>
      </c>
      <c r="C4542">
        <v>4</v>
      </c>
      <c r="D4542">
        <v>330</v>
      </c>
      <c r="E4542" t="s">
        <v>8</v>
      </c>
      <c r="F4542" t="s">
        <v>13</v>
      </c>
      <c r="G4542" t="s">
        <v>16</v>
      </c>
      <c r="H4542">
        <v>0</v>
      </c>
    </row>
    <row r="4543" spans="1:8" x14ac:dyDescent="0.35">
      <c r="A4543">
        <v>11763</v>
      </c>
      <c r="B4543" t="s">
        <v>11</v>
      </c>
      <c r="C4543">
        <v>5</v>
      </c>
      <c r="D4543">
        <v>175</v>
      </c>
      <c r="E4543" t="s">
        <v>8</v>
      </c>
      <c r="F4543" t="s">
        <v>13</v>
      </c>
      <c r="G4543" t="s">
        <v>12</v>
      </c>
      <c r="H4543">
        <v>0</v>
      </c>
    </row>
    <row r="4544" spans="1:8" x14ac:dyDescent="0.35">
      <c r="A4544">
        <v>13129</v>
      </c>
      <c r="B4544" t="s">
        <v>11</v>
      </c>
      <c r="C4544">
        <v>8</v>
      </c>
      <c r="D4544">
        <v>99</v>
      </c>
      <c r="E4544" t="s">
        <v>8</v>
      </c>
      <c r="F4544" t="s">
        <v>9</v>
      </c>
      <c r="G4544" t="s">
        <v>14</v>
      </c>
      <c r="H4544">
        <v>0</v>
      </c>
    </row>
    <row r="4545" spans="1:8" x14ac:dyDescent="0.35">
      <c r="A4545">
        <v>14560</v>
      </c>
      <c r="B4545" t="s">
        <v>7</v>
      </c>
      <c r="C4545">
        <v>12</v>
      </c>
      <c r="D4545">
        <v>149</v>
      </c>
      <c r="E4545" t="s">
        <v>8</v>
      </c>
      <c r="F4545" t="s">
        <v>9</v>
      </c>
      <c r="G4545" t="s">
        <v>16</v>
      </c>
      <c r="H4545">
        <v>0</v>
      </c>
    </row>
    <row r="4546" spans="1:8" x14ac:dyDescent="0.35">
      <c r="A4546">
        <v>12653</v>
      </c>
      <c r="B4546" t="s">
        <v>7</v>
      </c>
      <c r="C4546">
        <v>14</v>
      </c>
      <c r="D4546">
        <v>50</v>
      </c>
      <c r="E4546" t="s">
        <v>8</v>
      </c>
      <c r="F4546" t="s">
        <v>13</v>
      </c>
      <c r="G4546" t="s">
        <v>16</v>
      </c>
      <c r="H4546">
        <v>0</v>
      </c>
    </row>
    <row r="4547" spans="1:8" x14ac:dyDescent="0.35">
      <c r="A4547">
        <v>12120</v>
      </c>
      <c r="B4547" t="s">
        <v>7</v>
      </c>
      <c r="C4547">
        <v>7</v>
      </c>
      <c r="D4547">
        <v>45</v>
      </c>
      <c r="E4547" t="s">
        <v>8</v>
      </c>
      <c r="F4547" t="s">
        <v>13</v>
      </c>
      <c r="G4547" t="s">
        <v>10</v>
      </c>
      <c r="H4547">
        <v>0</v>
      </c>
    </row>
    <row r="4548" spans="1:8" x14ac:dyDescent="0.35">
      <c r="A4548">
        <v>10180</v>
      </c>
      <c r="B4548" t="s">
        <v>11</v>
      </c>
      <c r="C4548">
        <v>8</v>
      </c>
      <c r="D4548">
        <v>313</v>
      </c>
      <c r="E4548" t="s">
        <v>8</v>
      </c>
      <c r="F4548" t="s">
        <v>13</v>
      </c>
      <c r="G4548" t="s">
        <v>14</v>
      </c>
      <c r="H4548">
        <v>0</v>
      </c>
    </row>
    <row r="4549" spans="1:8" x14ac:dyDescent="0.35">
      <c r="A4549">
        <v>12047</v>
      </c>
      <c r="B4549" t="s">
        <v>11</v>
      </c>
      <c r="C4549">
        <v>9</v>
      </c>
      <c r="D4549">
        <v>223</v>
      </c>
      <c r="E4549" t="s">
        <v>8</v>
      </c>
      <c r="F4549" t="s">
        <v>13</v>
      </c>
      <c r="G4549" t="s">
        <v>10</v>
      </c>
      <c r="H4549">
        <v>0</v>
      </c>
    </row>
    <row r="4550" spans="1:8" x14ac:dyDescent="0.35">
      <c r="A4550">
        <v>11195</v>
      </c>
      <c r="B4550" t="s">
        <v>7</v>
      </c>
      <c r="C4550">
        <v>11</v>
      </c>
      <c r="D4550">
        <v>406</v>
      </c>
      <c r="E4550" t="s">
        <v>8</v>
      </c>
      <c r="F4550" t="s">
        <v>13</v>
      </c>
      <c r="G4550" t="s">
        <v>16</v>
      </c>
      <c r="H4550">
        <v>0</v>
      </c>
    </row>
    <row r="4551" spans="1:8" x14ac:dyDescent="0.35">
      <c r="A4551">
        <v>15746</v>
      </c>
      <c r="B4551" t="s">
        <v>11</v>
      </c>
      <c r="C4551">
        <v>8</v>
      </c>
      <c r="D4551">
        <v>78</v>
      </c>
      <c r="E4551" t="s">
        <v>8</v>
      </c>
      <c r="F4551" t="s">
        <v>13</v>
      </c>
      <c r="G4551" t="s">
        <v>16</v>
      </c>
      <c r="H4551">
        <v>0</v>
      </c>
    </row>
    <row r="4552" spans="1:8" x14ac:dyDescent="0.35">
      <c r="A4552">
        <v>18196</v>
      </c>
      <c r="B4552" t="s">
        <v>7</v>
      </c>
      <c r="C4552">
        <v>10</v>
      </c>
      <c r="D4552">
        <v>443</v>
      </c>
      <c r="E4552" t="s">
        <v>8</v>
      </c>
      <c r="F4552" t="s">
        <v>9</v>
      </c>
      <c r="G4552" t="s">
        <v>16</v>
      </c>
      <c r="H4552">
        <v>0</v>
      </c>
    </row>
    <row r="4553" spans="1:8" x14ac:dyDescent="0.35">
      <c r="A4553">
        <v>13050</v>
      </c>
      <c r="B4553" t="s">
        <v>7</v>
      </c>
      <c r="C4553">
        <v>3</v>
      </c>
      <c r="D4553">
        <v>139</v>
      </c>
      <c r="E4553" t="s">
        <v>8</v>
      </c>
      <c r="F4553" t="s">
        <v>9</v>
      </c>
      <c r="G4553" t="s">
        <v>14</v>
      </c>
      <c r="H4553">
        <v>0</v>
      </c>
    </row>
    <row r="4554" spans="1:8" x14ac:dyDescent="0.35">
      <c r="A4554">
        <v>14965</v>
      </c>
      <c r="B4554" t="s">
        <v>7</v>
      </c>
      <c r="C4554">
        <v>13</v>
      </c>
      <c r="D4554">
        <v>347</v>
      </c>
      <c r="E4554" t="s">
        <v>8</v>
      </c>
      <c r="F4554" t="s">
        <v>13</v>
      </c>
      <c r="G4554" t="s">
        <v>16</v>
      </c>
      <c r="H4554">
        <v>0</v>
      </c>
    </row>
    <row r="4555" spans="1:8" x14ac:dyDescent="0.35">
      <c r="A4555">
        <v>12566</v>
      </c>
      <c r="B4555" t="s">
        <v>7</v>
      </c>
      <c r="C4555">
        <v>6</v>
      </c>
      <c r="D4555">
        <v>379</v>
      </c>
      <c r="E4555" t="s">
        <v>8</v>
      </c>
      <c r="F4555" t="s">
        <v>13</v>
      </c>
      <c r="G4555" t="s">
        <v>14</v>
      </c>
      <c r="H4555">
        <v>0</v>
      </c>
    </row>
    <row r="4556" spans="1:8" x14ac:dyDescent="0.35">
      <c r="A4556">
        <v>17840</v>
      </c>
      <c r="B4556" t="s">
        <v>7</v>
      </c>
      <c r="C4556">
        <v>11</v>
      </c>
      <c r="D4556">
        <v>257</v>
      </c>
      <c r="E4556" t="s">
        <v>8</v>
      </c>
      <c r="F4556" t="s">
        <v>13</v>
      </c>
      <c r="G4556" t="s">
        <v>12</v>
      </c>
      <c r="H4556">
        <v>0</v>
      </c>
    </row>
    <row r="4557" spans="1:8" x14ac:dyDescent="0.35">
      <c r="A4557">
        <v>13393</v>
      </c>
      <c r="B4557" t="s">
        <v>11</v>
      </c>
      <c r="C4557">
        <v>1</v>
      </c>
      <c r="D4557">
        <v>191</v>
      </c>
      <c r="E4557" t="s">
        <v>15</v>
      </c>
      <c r="F4557" t="s">
        <v>13</v>
      </c>
      <c r="G4557" t="s">
        <v>14</v>
      </c>
      <c r="H4557">
        <v>1</v>
      </c>
    </row>
    <row r="4558" spans="1:8" x14ac:dyDescent="0.35">
      <c r="A4558">
        <v>17595</v>
      </c>
      <c r="B4558" t="s">
        <v>11</v>
      </c>
      <c r="C4558">
        <v>9</v>
      </c>
      <c r="D4558">
        <v>125</v>
      </c>
      <c r="E4558" t="s">
        <v>8</v>
      </c>
      <c r="F4558" t="s">
        <v>9</v>
      </c>
      <c r="G4558" t="s">
        <v>12</v>
      </c>
      <c r="H4558">
        <v>0</v>
      </c>
    </row>
    <row r="4559" spans="1:8" x14ac:dyDescent="0.35">
      <c r="A4559">
        <v>15524</v>
      </c>
      <c r="B4559" t="s">
        <v>11</v>
      </c>
      <c r="C4559">
        <v>12</v>
      </c>
      <c r="D4559">
        <v>407</v>
      </c>
      <c r="E4559" t="s">
        <v>8</v>
      </c>
      <c r="F4559" t="s">
        <v>13</v>
      </c>
      <c r="G4559" t="s">
        <v>12</v>
      </c>
      <c r="H4559">
        <v>0</v>
      </c>
    </row>
    <row r="4560" spans="1:8" x14ac:dyDescent="0.35">
      <c r="A4560">
        <v>14881</v>
      </c>
      <c r="B4560" t="s">
        <v>7</v>
      </c>
      <c r="C4560">
        <v>5</v>
      </c>
      <c r="D4560">
        <v>293</v>
      </c>
      <c r="E4560" t="s">
        <v>8</v>
      </c>
      <c r="F4560" t="s">
        <v>13</v>
      </c>
      <c r="G4560" t="s">
        <v>10</v>
      </c>
      <c r="H4560">
        <v>0</v>
      </c>
    </row>
    <row r="4561" spans="1:8" x14ac:dyDescent="0.35">
      <c r="A4561">
        <v>10348</v>
      </c>
      <c r="B4561" t="s">
        <v>7</v>
      </c>
      <c r="C4561">
        <v>8</v>
      </c>
      <c r="D4561">
        <v>397</v>
      </c>
      <c r="E4561" t="s">
        <v>15</v>
      </c>
      <c r="F4561" t="s">
        <v>9</v>
      </c>
      <c r="G4561" t="s">
        <v>10</v>
      </c>
      <c r="H4561">
        <v>1</v>
      </c>
    </row>
    <row r="4562" spans="1:8" x14ac:dyDescent="0.35">
      <c r="A4562">
        <v>11625</v>
      </c>
      <c r="B4562" t="s">
        <v>11</v>
      </c>
      <c r="C4562">
        <v>8</v>
      </c>
      <c r="D4562">
        <v>136</v>
      </c>
      <c r="E4562" t="s">
        <v>8</v>
      </c>
      <c r="F4562" t="s">
        <v>13</v>
      </c>
      <c r="G4562" t="s">
        <v>14</v>
      </c>
      <c r="H4562">
        <v>0</v>
      </c>
    </row>
    <row r="4563" spans="1:8" x14ac:dyDescent="0.35">
      <c r="A4563">
        <v>16164</v>
      </c>
      <c r="B4563" t="s">
        <v>11</v>
      </c>
      <c r="C4563">
        <v>5</v>
      </c>
      <c r="D4563">
        <v>378</v>
      </c>
      <c r="E4563" t="s">
        <v>8</v>
      </c>
      <c r="F4563" t="s">
        <v>9</v>
      </c>
      <c r="G4563" t="s">
        <v>14</v>
      </c>
      <c r="H4563">
        <v>0</v>
      </c>
    </row>
    <row r="4564" spans="1:8" x14ac:dyDescent="0.35">
      <c r="A4564">
        <v>15760</v>
      </c>
      <c r="B4564" t="s">
        <v>7</v>
      </c>
      <c r="C4564">
        <v>4</v>
      </c>
      <c r="D4564">
        <v>393</v>
      </c>
      <c r="E4564" t="s">
        <v>8</v>
      </c>
      <c r="F4564" t="s">
        <v>13</v>
      </c>
      <c r="G4564" t="s">
        <v>12</v>
      </c>
      <c r="H4564">
        <v>0</v>
      </c>
    </row>
    <row r="4565" spans="1:8" x14ac:dyDescent="0.35">
      <c r="A4565">
        <v>13149</v>
      </c>
      <c r="B4565" t="s">
        <v>11</v>
      </c>
      <c r="C4565">
        <v>5</v>
      </c>
      <c r="D4565">
        <v>126</v>
      </c>
      <c r="E4565" t="s">
        <v>8</v>
      </c>
      <c r="F4565" t="s">
        <v>9</v>
      </c>
      <c r="G4565" t="s">
        <v>16</v>
      </c>
      <c r="H4565">
        <v>0</v>
      </c>
    </row>
    <row r="4566" spans="1:8" x14ac:dyDescent="0.35">
      <c r="A4566">
        <v>14653</v>
      </c>
      <c r="B4566" t="s">
        <v>7</v>
      </c>
      <c r="C4566">
        <v>3</v>
      </c>
      <c r="D4566">
        <v>260</v>
      </c>
      <c r="E4566" t="s">
        <v>15</v>
      </c>
      <c r="F4566" t="s">
        <v>13</v>
      </c>
      <c r="G4566" t="s">
        <v>14</v>
      </c>
      <c r="H4566">
        <v>1</v>
      </c>
    </row>
    <row r="4567" spans="1:8" x14ac:dyDescent="0.35">
      <c r="A4567">
        <v>19241</v>
      </c>
      <c r="B4567" t="s">
        <v>7</v>
      </c>
      <c r="C4567">
        <v>2</v>
      </c>
      <c r="D4567">
        <v>422</v>
      </c>
      <c r="E4567" t="s">
        <v>8</v>
      </c>
      <c r="F4567" t="s">
        <v>13</v>
      </c>
      <c r="G4567" t="s">
        <v>16</v>
      </c>
      <c r="H4567">
        <v>0</v>
      </c>
    </row>
    <row r="4568" spans="1:8" x14ac:dyDescent="0.35">
      <c r="A4568">
        <v>18048</v>
      </c>
      <c r="B4568" t="s">
        <v>11</v>
      </c>
      <c r="C4568">
        <v>8</v>
      </c>
      <c r="D4568">
        <v>315</v>
      </c>
      <c r="E4568" t="s">
        <v>8</v>
      </c>
      <c r="F4568" t="s">
        <v>9</v>
      </c>
      <c r="G4568" t="s">
        <v>12</v>
      </c>
      <c r="H4568">
        <v>0</v>
      </c>
    </row>
    <row r="4569" spans="1:8" x14ac:dyDescent="0.35">
      <c r="A4569">
        <v>16591</v>
      </c>
      <c r="B4569" t="s">
        <v>7</v>
      </c>
      <c r="C4569">
        <v>6</v>
      </c>
      <c r="D4569">
        <v>207</v>
      </c>
      <c r="E4569" t="s">
        <v>8</v>
      </c>
      <c r="F4569" t="s">
        <v>9</v>
      </c>
      <c r="G4569" t="s">
        <v>16</v>
      </c>
      <c r="H4569">
        <v>0</v>
      </c>
    </row>
    <row r="4570" spans="1:8" x14ac:dyDescent="0.35">
      <c r="A4570">
        <v>18563</v>
      </c>
      <c r="B4570" t="s">
        <v>11</v>
      </c>
      <c r="C4570">
        <v>10</v>
      </c>
      <c r="D4570">
        <v>155</v>
      </c>
      <c r="E4570" t="s">
        <v>8</v>
      </c>
      <c r="F4570" t="s">
        <v>9</v>
      </c>
      <c r="G4570" t="s">
        <v>10</v>
      </c>
      <c r="H4570">
        <v>0</v>
      </c>
    </row>
    <row r="4571" spans="1:8" x14ac:dyDescent="0.35">
      <c r="A4571">
        <v>18547</v>
      </c>
      <c r="B4571" t="s">
        <v>7</v>
      </c>
      <c r="C4571">
        <v>10</v>
      </c>
      <c r="D4571">
        <v>109</v>
      </c>
      <c r="E4571" t="s">
        <v>15</v>
      </c>
      <c r="F4571" t="s">
        <v>9</v>
      </c>
      <c r="G4571" t="s">
        <v>12</v>
      </c>
      <c r="H4571">
        <v>1</v>
      </c>
    </row>
    <row r="4572" spans="1:8" x14ac:dyDescent="0.35">
      <c r="A4572">
        <v>14054</v>
      </c>
      <c r="B4572" t="s">
        <v>11</v>
      </c>
      <c r="C4572">
        <v>8</v>
      </c>
      <c r="D4572">
        <v>53</v>
      </c>
      <c r="E4572" t="s">
        <v>8</v>
      </c>
      <c r="F4572" t="s">
        <v>9</v>
      </c>
      <c r="G4572" t="s">
        <v>16</v>
      </c>
      <c r="H4572">
        <v>0</v>
      </c>
    </row>
    <row r="4573" spans="1:8" x14ac:dyDescent="0.35">
      <c r="A4573">
        <v>15322</v>
      </c>
      <c r="B4573" t="s">
        <v>7</v>
      </c>
      <c r="C4573">
        <v>6</v>
      </c>
      <c r="D4573">
        <v>276</v>
      </c>
      <c r="E4573" t="s">
        <v>8</v>
      </c>
      <c r="F4573" t="s">
        <v>13</v>
      </c>
      <c r="G4573" t="s">
        <v>16</v>
      </c>
      <c r="H4573">
        <v>0</v>
      </c>
    </row>
    <row r="4574" spans="1:8" x14ac:dyDescent="0.35">
      <c r="A4574">
        <v>12145</v>
      </c>
      <c r="B4574" t="s">
        <v>11</v>
      </c>
      <c r="C4574">
        <v>2</v>
      </c>
      <c r="D4574">
        <v>258</v>
      </c>
      <c r="E4574" t="s">
        <v>8</v>
      </c>
      <c r="F4574" t="s">
        <v>13</v>
      </c>
      <c r="G4574" t="s">
        <v>12</v>
      </c>
      <c r="H4574">
        <v>0</v>
      </c>
    </row>
    <row r="4575" spans="1:8" x14ac:dyDescent="0.35">
      <c r="A4575">
        <v>11518</v>
      </c>
      <c r="B4575" t="s">
        <v>11</v>
      </c>
      <c r="C4575">
        <v>1</v>
      </c>
      <c r="D4575">
        <v>312</v>
      </c>
      <c r="E4575" t="s">
        <v>8</v>
      </c>
      <c r="F4575" t="s">
        <v>9</v>
      </c>
      <c r="G4575" t="s">
        <v>12</v>
      </c>
      <c r="H4575">
        <v>0</v>
      </c>
    </row>
    <row r="4576" spans="1:8" x14ac:dyDescent="0.35">
      <c r="A4576">
        <v>10091</v>
      </c>
      <c r="B4576" t="s">
        <v>7</v>
      </c>
      <c r="C4576">
        <v>13</v>
      </c>
      <c r="D4576">
        <v>288</v>
      </c>
      <c r="E4576" t="s">
        <v>15</v>
      </c>
      <c r="F4576" t="s">
        <v>9</v>
      </c>
      <c r="G4576" t="s">
        <v>10</v>
      </c>
      <c r="H4576">
        <v>1</v>
      </c>
    </row>
    <row r="4577" spans="1:8" x14ac:dyDescent="0.35">
      <c r="A4577">
        <v>19442</v>
      </c>
      <c r="B4577" t="s">
        <v>11</v>
      </c>
      <c r="C4577">
        <v>14</v>
      </c>
      <c r="D4577">
        <v>295</v>
      </c>
      <c r="E4577" t="s">
        <v>8</v>
      </c>
      <c r="F4577" t="s">
        <v>13</v>
      </c>
      <c r="G4577" t="s">
        <v>14</v>
      </c>
      <c r="H4577">
        <v>0</v>
      </c>
    </row>
    <row r="4578" spans="1:8" x14ac:dyDescent="0.35">
      <c r="A4578">
        <v>10936</v>
      </c>
      <c r="B4578" t="s">
        <v>11</v>
      </c>
      <c r="C4578">
        <v>14</v>
      </c>
      <c r="D4578">
        <v>446</v>
      </c>
      <c r="E4578" t="s">
        <v>8</v>
      </c>
      <c r="F4578" t="s">
        <v>13</v>
      </c>
      <c r="G4578" t="s">
        <v>10</v>
      </c>
      <c r="H4578">
        <v>0</v>
      </c>
    </row>
    <row r="4579" spans="1:8" x14ac:dyDescent="0.35">
      <c r="A4579">
        <v>12922</v>
      </c>
      <c r="B4579" t="s">
        <v>7</v>
      </c>
      <c r="C4579">
        <v>3</v>
      </c>
      <c r="D4579">
        <v>120</v>
      </c>
      <c r="E4579" t="s">
        <v>15</v>
      </c>
      <c r="F4579" t="s">
        <v>13</v>
      </c>
      <c r="G4579" t="s">
        <v>10</v>
      </c>
      <c r="H4579">
        <v>1</v>
      </c>
    </row>
    <row r="4580" spans="1:8" x14ac:dyDescent="0.35">
      <c r="A4580">
        <v>12943</v>
      </c>
      <c r="B4580" t="s">
        <v>11</v>
      </c>
      <c r="C4580">
        <v>3</v>
      </c>
      <c r="D4580">
        <v>397</v>
      </c>
      <c r="E4580" t="s">
        <v>8</v>
      </c>
      <c r="F4580" t="s">
        <v>9</v>
      </c>
      <c r="G4580" t="s">
        <v>10</v>
      </c>
      <c r="H4580">
        <v>0</v>
      </c>
    </row>
    <row r="4581" spans="1:8" x14ac:dyDescent="0.35">
      <c r="A4581">
        <v>14073</v>
      </c>
      <c r="B4581" t="s">
        <v>11</v>
      </c>
      <c r="C4581">
        <v>6</v>
      </c>
      <c r="D4581">
        <v>398</v>
      </c>
      <c r="E4581" t="s">
        <v>8</v>
      </c>
      <c r="F4581" t="s">
        <v>9</v>
      </c>
      <c r="G4581" t="s">
        <v>10</v>
      </c>
      <c r="H4581">
        <v>0</v>
      </c>
    </row>
    <row r="4582" spans="1:8" x14ac:dyDescent="0.35">
      <c r="A4582">
        <v>16573</v>
      </c>
      <c r="B4582" t="s">
        <v>7</v>
      </c>
      <c r="C4582">
        <v>8</v>
      </c>
      <c r="D4582">
        <v>253</v>
      </c>
      <c r="E4582" t="s">
        <v>8</v>
      </c>
      <c r="F4582" t="s">
        <v>9</v>
      </c>
      <c r="G4582" t="s">
        <v>16</v>
      </c>
      <c r="H4582">
        <v>0</v>
      </c>
    </row>
    <row r="4583" spans="1:8" x14ac:dyDescent="0.35">
      <c r="A4583">
        <v>10242</v>
      </c>
      <c r="B4583" t="s">
        <v>11</v>
      </c>
      <c r="C4583">
        <v>2</v>
      </c>
      <c r="D4583">
        <v>130</v>
      </c>
      <c r="E4583" t="s">
        <v>8</v>
      </c>
      <c r="F4583" t="s">
        <v>13</v>
      </c>
      <c r="G4583" t="s">
        <v>14</v>
      </c>
      <c r="H4583">
        <v>0</v>
      </c>
    </row>
    <row r="4584" spans="1:8" x14ac:dyDescent="0.35">
      <c r="A4584">
        <v>17108</v>
      </c>
      <c r="B4584" t="s">
        <v>11</v>
      </c>
      <c r="C4584">
        <v>13</v>
      </c>
      <c r="D4584">
        <v>231</v>
      </c>
      <c r="E4584" t="s">
        <v>8</v>
      </c>
      <c r="F4584" t="s">
        <v>9</v>
      </c>
      <c r="G4584" t="s">
        <v>16</v>
      </c>
      <c r="H4584">
        <v>0</v>
      </c>
    </row>
    <row r="4585" spans="1:8" x14ac:dyDescent="0.35">
      <c r="A4585">
        <v>14112</v>
      </c>
      <c r="B4585" t="s">
        <v>7</v>
      </c>
      <c r="C4585">
        <v>8</v>
      </c>
      <c r="D4585">
        <v>296</v>
      </c>
      <c r="E4585" t="s">
        <v>8</v>
      </c>
      <c r="F4585" t="s">
        <v>9</v>
      </c>
      <c r="G4585" t="s">
        <v>14</v>
      </c>
      <c r="H4585">
        <v>0</v>
      </c>
    </row>
    <row r="4586" spans="1:8" x14ac:dyDescent="0.35">
      <c r="A4586">
        <v>13177</v>
      </c>
      <c r="B4586" t="s">
        <v>11</v>
      </c>
      <c r="C4586">
        <v>12</v>
      </c>
      <c r="D4586">
        <v>78</v>
      </c>
      <c r="E4586" t="s">
        <v>8</v>
      </c>
      <c r="F4586" t="s">
        <v>13</v>
      </c>
      <c r="G4586" t="s">
        <v>12</v>
      </c>
      <c r="H4586">
        <v>0</v>
      </c>
    </row>
    <row r="4587" spans="1:8" x14ac:dyDescent="0.35">
      <c r="A4587">
        <v>18472</v>
      </c>
      <c r="B4587" t="s">
        <v>11</v>
      </c>
      <c r="C4587">
        <v>3</v>
      </c>
      <c r="D4587">
        <v>63</v>
      </c>
      <c r="E4587" t="s">
        <v>8</v>
      </c>
      <c r="F4587" t="s">
        <v>9</v>
      </c>
      <c r="G4587" t="s">
        <v>10</v>
      </c>
      <c r="H4587">
        <v>0</v>
      </c>
    </row>
    <row r="4588" spans="1:8" x14ac:dyDescent="0.35">
      <c r="A4588">
        <v>12808</v>
      </c>
      <c r="B4588" t="s">
        <v>11</v>
      </c>
      <c r="C4588">
        <v>8</v>
      </c>
      <c r="D4588">
        <v>354</v>
      </c>
      <c r="E4588" t="s">
        <v>8</v>
      </c>
      <c r="F4588" t="s">
        <v>13</v>
      </c>
      <c r="G4588" t="s">
        <v>14</v>
      </c>
      <c r="H4588">
        <v>0</v>
      </c>
    </row>
    <row r="4589" spans="1:8" x14ac:dyDescent="0.35">
      <c r="A4589">
        <v>11886</v>
      </c>
      <c r="B4589" t="s">
        <v>7</v>
      </c>
      <c r="C4589">
        <v>4</v>
      </c>
      <c r="D4589">
        <v>369</v>
      </c>
      <c r="E4589" t="s">
        <v>8</v>
      </c>
      <c r="F4589" t="s">
        <v>9</v>
      </c>
      <c r="G4589" t="s">
        <v>14</v>
      </c>
      <c r="H4589">
        <v>0</v>
      </c>
    </row>
    <row r="4590" spans="1:8" x14ac:dyDescent="0.35">
      <c r="A4590">
        <v>12479</v>
      </c>
      <c r="B4590" t="s">
        <v>11</v>
      </c>
      <c r="C4590">
        <v>14</v>
      </c>
      <c r="D4590">
        <v>437</v>
      </c>
      <c r="E4590" t="s">
        <v>8</v>
      </c>
      <c r="F4590" t="s">
        <v>9</v>
      </c>
      <c r="G4590" t="s">
        <v>16</v>
      </c>
      <c r="H4590">
        <v>0</v>
      </c>
    </row>
    <row r="4591" spans="1:8" x14ac:dyDescent="0.35">
      <c r="A4591">
        <v>11173</v>
      </c>
      <c r="B4591" t="s">
        <v>11</v>
      </c>
      <c r="C4591">
        <v>7</v>
      </c>
      <c r="D4591">
        <v>359</v>
      </c>
      <c r="E4591" t="s">
        <v>8</v>
      </c>
      <c r="F4591" t="s">
        <v>9</v>
      </c>
      <c r="G4591" t="s">
        <v>10</v>
      </c>
      <c r="H4591">
        <v>0</v>
      </c>
    </row>
    <row r="4592" spans="1:8" x14ac:dyDescent="0.35">
      <c r="A4592">
        <v>17584</v>
      </c>
      <c r="B4592" t="s">
        <v>7</v>
      </c>
      <c r="C4592">
        <v>12</v>
      </c>
      <c r="D4592">
        <v>148</v>
      </c>
      <c r="E4592" t="s">
        <v>8</v>
      </c>
      <c r="F4592" t="s">
        <v>9</v>
      </c>
      <c r="G4592" t="s">
        <v>10</v>
      </c>
      <c r="H4592">
        <v>0</v>
      </c>
    </row>
    <row r="4593" spans="1:8" x14ac:dyDescent="0.35">
      <c r="A4593">
        <v>13521</v>
      </c>
      <c r="B4593" t="s">
        <v>7</v>
      </c>
      <c r="C4593">
        <v>2</v>
      </c>
      <c r="D4593">
        <v>260</v>
      </c>
      <c r="E4593" t="s">
        <v>15</v>
      </c>
      <c r="F4593" t="s">
        <v>13</v>
      </c>
      <c r="G4593" t="s">
        <v>16</v>
      </c>
      <c r="H4593">
        <v>1</v>
      </c>
    </row>
    <row r="4594" spans="1:8" x14ac:dyDescent="0.35">
      <c r="A4594">
        <v>17034</v>
      </c>
      <c r="B4594" t="s">
        <v>11</v>
      </c>
      <c r="C4594">
        <v>5</v>
      </c>
      <c r="D4594">
        <v>446</v>
      </c>
      <c r="E4594" t="s">
        <v>8</v>
      </c>
      <c r="F4594" t="s">
        <v>13</v>
      </c>
      <c r="G4594" t="s">
        <v>14</v>
      </c>
      <c r="H4594">
        <v>0</v>
      </c>
    </row>
    <row r="4595" spans="1:8" x14ac:dyDescent="0.35">
      <c r="A4595">
        <v>15913</v>
      </c>
      <c r="B4595" t="s">
        <v>11</v>
      </c>
      <c r="C4595">
        <v>9</v>
      </c>
      <c r="D4595">
        <v>333</v>
      </c>
      <c r="E4595" t="s">
        <v>8</v>
      </c>
      <c r="F4595" t="s">
        <v>9</v>
      </c>
      <c r="G4595" t="s">
        <v>14</v>
      </c>
      <c r="H4595">
        <v>0</v>
      </c>
    </row>
    <row r="4596" spans="1:8" x14ac:dyDescent="0.35">
      <c r="A4596">
        <v>14113</v>
      </c>
      <c r="B4596" t="s">
        <v>7</v>
      </c>
      <c r="C4596">
        <v>9</v>
      </c>
      <c r="D4596">
        <v>295</v>
      </c>
      <c r="E4596" t="s">
        <v>8</v>
      </c>
      <c r="F4596" t="s">
        <v>13</v>
      </c>
      <c r="G4596" t="s">
        <v>12</v>
      </c>
      <c r="H4596">
        <v>0</v>
      </c>
    </row>
    <row r="4597" spans="1:8" x14ac:dyDescent="0.35">
      <c r="A4597">
        <v>15040</v>
      </c>
      <c r="B4597" t="s">
        <v>7</v>
      </c>
      <c r="C4597">
        <v>11</v>
      </c>
      <c r="D4597">
        <v>230</v>
      </c>
      <c r="E4597" t="s">
        <v>8</v>
      </c>
      <c r="F4597" t="s">
        <v>9</v>
      </c>
      <c r="G4597" t="s">
        <v>10</v>
      </c>
      <c r="H4597">
        <v>0</v>
      </c>
    </row>
    <row r="4598" spans="1:8" x14ac:dyDescent="0.35">
      <c r="A4598">
        <v>17186</v>
      </c>
      <c r="B4598" t="s">
        <v>7</v>
      </c>
      <c r="C4598">
        <v>1</v>
      </c>
      <c r="D4598">
        <v>177</v>
      </c>
      <c r="E4598" t="s">
        <v>8</v>
      </c>
      <c r="F4598" t="s">
        <v>13</v>
      </c>
      <c r="G4598" t="s">
        <v>12</v>
      </c>
      <c r="H4598">
        <v>0</v>
      </c>
    </row>
    <row r="4599" spans="1:8" x14ac:dyDescent="0.35">
      <c r="A4599">
        <v>11704</v>
      </c>
      <c r="B4599" t="s">
        <v>11</v>
      </c>
      <c r="C4599">
        <v>4</v>
      </c>
      <c r="D4599">
        <v>359</v>
      </c>
      <c r="E4599" t="s">
        <v>15</v>
      </c>
      <c r="F4599" t="s">
        <v>13</v>
      </c>
      <c r="G4599" t="s">
        <v>14</v>
      </c>
      <c r="H4599">
        <v>1</v>
      </c>
    </row>
    <row r="4600" spans="1:8" x14ac:dyDescent="0.35">
      <c r="A4600">
        <v>19251</v>
      </c>
      <c r="B4600" t="s">
        <v>7</v>
      </c>
      <c r="C4600">
        <v>9</v>
      </c>
      <c r="D4600">
        <v>222</v>
      </c>
      <c r="E4600" t="s">
        <v>15</v>
      </c>
      <c r="F4600" t="s">
        <v>13</v>
      </c>
      <c r="G4600" t="s">
        <v>14</v>
      </c>
      <c r="H4600">
        <v>1</v>
      </c>
    </row>
    <row r="4601" spans="1:8" x14ac:dyDescent="0.35">
      <c r="A4601">
        <v>12420</v>
      </c>
      <c r="B4601" t="s">
        <v>7</v>
      </c>
      <c r="C4601">
        <v>8</v>
      </c>
      <c r="D4601">
        <v>175</v>
      </c>
      <c r="E4601" t="s">
        <v>8</v>
      </c>
      <c r="F4601" t="s">
        <v>9</v>
      </c>
      <c r="G4601" t="s">
        <v>10</v>
      </c>
      <c r="H4601">
        <v>0</v>
      </c>
    </row>
    <row r="4602" spans="1:8" x14ac:dyDescent="0.35">
      <c r="A4602">
        <v>18887</v>
      </c>
      <c r="B4602" t="s">
        <v>11</v>
      </c>
      <c r="C4602">
        <v>9</v>
      </c>
      <c r="D4602">
        <v>180</v>
      </c>
      <c r="E4602" t="s">
        <v>8</v>
      </c>
      <c r="F4602" t="s">
        <v>13</v>
      </c>
      <c r="G4602" t="s">
        <v>16</v>
      </c>
      <c r="H4602">
        <v>0</v>
      </c>
    </row>
    <row r="4603" spans="1:8" x14ac:dyDescent="0.35">
      <c r="A4603">
        <v>16597</v>
      </c>
      <c r="B4603" t="s">
        <v>7</v>
      </c>
      <c r="C4603">
        <v>8</v>
      </c>
      <c r="D4603">
        <v>344</v>
      </c>
      <c r="E4603" t="s">
        <v>8</v>
      </c>
      <c r="F4603" t="s">
        <v>9</v>
      </c>
      <c r="G4603" t="s">
        <v>14</v>
      </c>
      <c r="H4603">
        <v>0</v>
      </c>
    </row>
    <row r="4604" spans="1:8" x14ac:dyDescent="0.35">
      <c r="A4604">
        <v>18423</v>
      </c>
      <c r="B4604" t="s">
        <v>11</v>
      </c>
      <c r="C4604">
        <v>2</v>
      </c>
      <c r="D4604">
        <v>357</v>
      </c>
      <c r="E4604" t="s">
        <v>8</v>
      </c>
      <c r="F4604" t="s">
        <v>9</v>
      </c>
      <c r="G4604" t="s">
        <v>14</v>
      </c>
      <c r="H4604">
        <v>0</v>
      </c>
    </row>
    <row r="4605" spans="1:8" x14ac:dyDescent="0.35">
      <c r="A4605">
        <v>16970</v>
      </c>
      <c r="B4605" t="s">
        <v>11</v>
      </c>
      <c r="C4605">
        <v>6</v>
      </c>
      <c r="D4605">
        <v>102</v>
      </c>
      <c r="E4605" t="s">
        <v>8</v>
      </c>
      <c r="F4605" t="s">
        <v>9</v>
      </c>
      <c r="G4605" t="s">
        <v>12</v>
      </c>
      <c r="H4605">
        <v>0</v>
      </c>
    </row>
    <row r="4606" spans="1:8" x14ac:dyDescent="0.35">
      <c r="A4606">
        <v>13064</v>
      </c>
      <c r="B4606" t="s">
        <v>7</v>
      </c>
      <c r="C4606">
        <v>8</v>
      </c>
      <c r="D4606">
        <v>286</v>
      </c>
      <c r="E4606" t="s">
        <v>8</v>
      </c>
      <c r="F4606" t="s">
        <v>13</v>
      </c>
      <c r="G4606" t="s">
        <v>12</v>
      </c>
      <c r="H4606">
        <v>0</v>
      </c>
    </row>
    <row r="4607" spans="1:8" x14ac:dyDescent="0.35">
      <c r="A4607">
        <v>17967</v>
      </c>
      <c r="B4607" t="s">
        <v>11</v>
      </c>
      <c r="C4607">
        <v>6</v>
      </c>
      <c r="D4607">
        <v>187</v>
      </c>
      <c r="E4607" t="s">
        <v>8</v>
      </c>
      <c r="F4607" t="s">
        <v>13</v>
      </c>
      <c r="G4607" t="s">
        <v>16</v>
      </c>
      <c r="H4607">
        <v>0</v>
      </c>
    </row>
    <row r="4608" spans="1:8" x14ac:dyDescent="0.35">
      <c r="A4608">
        <v>14437</v>
      </c>
      <c r="B4608" t="s">
        <v>11</v>
      </c>
      <c r="C4608">
        <v>12</v>
      </c>
      <c r="D4608">
        <v>252</v>
      </c>
      <c r="E4608" t="s">
        <v>8</v>
      </c>
      <c r="F4608" t="s">
        <v>9</v>
      </c>
      <c r="G4608" t="s">
        <v>16</v>
      </c>
      <c r="H4608">
        <v>0</v>
      </c>
    </row>
    <row r="4609" spans="1:8" x14ac:dyDescent="0.35">
      <c r="A4609">
        <v>19045</v>
      </c>
      <c r="B4609" t="s">
        <v>7</v>
      </c>
      <c r="C4609">
        <v>3</v>
      </c>
      <c r="D4609">
        <v>121</v>
      </c>
      <c r="E4609" t="s">
        <v>8</v>
      </c>
      <c r="F4609" t="s">
        <v>13</v>
      </c>
      <c r="G4609" t="s">
        <v>12</v>
      </c>
      <c r="H4609">
        <v>0</v>
      </c>
    </row>
    <row r="4610" spans="1:8" x14ac:dyDescent="0.35">
      <c r="A4610">
        <v>17616</v>
      </c>
      <c r="B4610" t="s">
        <v>7</v>
      </c>
      <c r="C4610">
        <v>7</v>
      </c>
      <c r="D4610">
        <v>318</v>
      </c>
      <c r="E4610" t="s">
        <v>8</v>
      </c>
      <c r="F4610" t="s">
        <v>13</v>
      </c>
      <c r="G4610" t="s">
        <v>10</v>
      </c>
      <c r="H4610">
        <v>0</v>
      </c>
    </row>
    <row r="4611" spans="1:8" x14ac:dyDescent="0.35">
      <c r="A4611">
        <v>15459</v>
      </c>
      <c r="B4611" t="s">
        <v>11</v>
      </c>
      <c r="C4611">
        <v>11</v>
      </c>
      <c r="D4611">
        <v>277</v>
      </c>
      <c r="E4611" t="s">
        <v>8</v>
      </c>
      <c r="F4611" t="s">
        <v>9</v>
      </c>
      <c r="G4611" t="s">
        <v>14</v>
      </c>
      <c r="H4611">
        <v>0</v>
      </c>
    </row>
    <row r="4612" spans="1:8" x14ac:dyDescent="0.35">
      <c r="A4612">
        <v>12165</v>
      </c>
      <c r="B4612" t="s">
        <v>11</v>
      </c>
      <c r="C4612">
        <v>11</v>
      </c>
      <c r="D4612">
        <v>198</v>
      </c>
      <c r="E4612" t="s">
        <v>8</v>
      </c>
      <c r="F4612" t="s">
        <v>13</v>
      </c>
      <c r="G4612" t="s">
        <v>12</v>
      </c>
      <c r="H4612">
        <v>0</v>
      </c>
    </row>
    <row r="4613" spans="1:8" x14ac:dyDescent="0.35">
      <c r="A4613">
        <v>17363</v>
      </c>
      <c r="B4613" t="s">
        <v>7</v>
      </c>
      <c r="C4613">
        <v>1</v>
      </c>
      <c r="D4613">
        <v>158</v>
      </c>
      <c r="E4613" t="s">
        <v>8</v>
      </c>
      <c r="F4613" t="s">
        <v>13</v>
      </c>
      <c r="G4613" t="s">
        <v>16</v>
      </c>
      <c r="H4613">
        <v>0</v>
      </c>
    </row>
    <row r="4614" spans="1:8" x14ac:dyDescent="0.35">
      <c r="A4614">
        <v>13143</v>
      </c>
      <c r="B4614" t="s">
        <v>7</v>
      </c>
      <c r="C4614">
        <v>8</v>
      </c>
      <c r="D4614">
        <v>214</v>
      </c>
      <c r="E4614" t="s">
        <v>15</v>
      </c>
      <c r="F4614" t="s">
        <v>13</v>
      </c>
      <c r="G4614" t="s">
        <v>10</v>
      </c>
      <c r="H4614">
        <v>1</v>
      </c>
    </row>
    <row r="4615" spans="1:8" x14ac:dyDescent="0.35">
      <c r="A4615">
        <v>12028</v>
      </c>
      <c r="B4615" t="s">
        <v>7</v>
      </c>
      <c r="C4615">
        <v>5</v>
      </c>
      <c r="D4615">
        <v>262</v>
      </c>
      <c r="E4615" t="s">
        <v>15</v>
      </c>
      <c r="F4615" t="s">
        <v>9</v>
      </c>
      <c r="G4615" t="s">
        <v>10</v>
      </c>
      <c r="H4615">
        <v>1</v>
      </c>
    </row>
    <row r="4616" spans="1:8" x14ac:dyDescent="0.35">
      <c r="A4616">
        <v>11745</v>
      </c>
      <c r="B4616" t="s">
        <v>11</v>
      </c>
      <c r="C4616">
        <v>11</v>
      </c>
      <c r="D4616">
        <v>424</v>
      </c>
      <c r="E4616" t="s">
        <v>8</v>
      </c>
      <c r="F4616" t="s">
        <v>13</v>
      </c>
      <c r="G4616" t="s">
        <v>16</v>
      </c>
      <c r="H4616">
        <v>0</v>
      </c>
    </row>
    <row r="4617" spans="1:8" x14ac:dyDescent="0.35">
      <c r="A4617">
        <v>10353</v>
      </c>
      <c r="B4617" t="s">
        <v>11</v>
      </c>
      <c r="C4617">
        <v>1</v>
      </c>
      <c r="D4617">
        <v>347</v>
      </c>
      <c r="E4617" t="s">
        <v>8</v>
      </c>
      <c r="F4617" t="s">
        <v>13</v>
      </c>
      <c r="G4617" t="s">
        <v>16</v>
      </c>
      <c r="H4617">
        <v>0</v>
      </c>
    </row>
    <row r="4618" spans="1:8" x14ac:dyDescent="0.35">
      <c r="A4618">
        <v>11670</v>
      </c>
      <c r="B4618" t="s">
        <v>11</v>
      </c>
      <c r="C4618">
        <v>13</v>
      </c>
      <c r="D4618">
        <v>402</v>
      </c>
      <c r="E4618" t="s">
        <v>8</v>
      </c>
      <c r="F4618" t="s">
        <v>13</v>
      </c>
      <c r="G4618" t="s">
        <v>10</v>
      </c>
      <c r="H4618">
        <v>0</v>
      </c>
    </row>
    <row r="4619" spans="1:8" x14ac:dyDescent="0.35">
      <c r="A4619">
        <v>17692</v>
      </c>
      <c r="B4619" t="s">
        <v>11</v>
      </c>
      <c r="C4619">
        <v>12</v>
      </c>
      <c r="D4619">
        <v>83</v>
      </c>
      <c r="E4619" t="s">
        <v>8</v>
      </c>
      <c r="F4619" t="s">
        <v>9</v>
      </c>
      <c r="G4619" t="s">
        <v>14</v>
      </c>
      <c r="H4619">
        <v>0</v>
      </c>
    </row>
    <row r="4620" spans="1:8" x14ac:dyDescent="0.35">
      <c r="A4620">
        <v>16852</v>
      </c>
      <c r="B4620" t="s">
        <v>11</v>
      </c>
      <c r="C4620">
        <v>13</v>
      </c>
      <c r="D4620">
        <v>444</v>
      </c>
      <c r="E4620" t="s">
        <v>8</v>
      </c>
      <c r="F4620" t="s">
        <v>9</v>
      </c>
      <c r="G4620" t="s">
        <v>10</v>
      </c>
      <c r="H4620">
        <v>0</v>
      </c>
    </row>
    <row r="4621" spans="1:8" x14ac:dyDescent="0.35">
      <c r="A4621">
        <v>16766</v>
      </c>
      <c r="B4621" t="s">
        <v>11</v>
      </c>
      <c r="C4621">
        <v>7</v>
      </c>
      <c r="D4621">
        <v>217</v>
      </c>
      <c r="E4621" t="s">
        <v>8</v>
      </c>
      <c r="F4621" t="s">
        <v>13</v>
      </c>
      <c r="G4621" t="s">
        <v>14</v>
      </c>
      <c r="H4621">
        <v>0</v>
      </c>
    </row>
    <row r="4622" spans="1:8" x14ac:dyDescent="0.35">
      <c r="A4622">
        <v>13312</v>
      </c>
      <c r="B4622" t="s">
        <v>11</v>
      </c>
      <c r="C4622">
        <v>11</v>
      </c>
      <c r="D4622">
        <v>152</v>
      </c>
      <c r="E4622" t="s">
        <v>8</v>
      </c>
      <c r="F4622" t="s">
        <v>13</v>
      </c>
      <c r="G4622" t="s">
        <v>14</v>
      </c>
      <c r="H4622">
        <v>0</v>
      </c>
    </row>
    <row r="4623" spans="1:8" x14ac:dyDescent="0.35">
      <c r="A4623">
        <v>19116</v>
      </c>
      <c r="B4623" t="s">
        <v>7</v>
      </c>
      <c r="C4623">
        <v>8</v>
      </c>
      <c r="D4623">
        <v>435</v>
      </c>
      <c r="E4623" t="s">
        <v>15</v>
      </c>
      <c r="F4623" t="s">
        <v>13</v>
      </c>
      <c r="G4623" t="s">
        <v>16</v>
      </c>
      <c r="H4623">
        <v>1</v>
      </c>
    </row>
    <row r="4624" spans="1:8" x14ac:dyDescent="0.35">
      <c r="A4624">
        <v>10436</v>
      </c>
      <c r="B4624" t="s">
        <v>7</v>
      </c>
      <c r="C4624">
        <v>11</v>
      </c>
      <c r="D4624">
        <v>41</v>
      </c>
      <c r="E4624" t="s">
        <v>8</v>
      </c>
      <c r="F4624" t="s">
        <v>13</v>
      </c>
      <c r="G4624" t="s">
        <v>16</v>
      </c>
      <c r="H4624">
        <v>0</v>
      </c>
    </row>
    <row r="4625" spans="1:8" x14ac:dyDescent="0.35">
      <c r="A4625">
        <v>15278</v>
      </c>
      <c r="B4625" t="s">
        <v>11</v>
      </c>
      <c r="C4625">
        <v>6</v>
      </c>
      <c r="D4625">
        <v>224</v>
      </c>
      <c r="E4625" t="s">
        <v>8</v>
      </c>
      <c r="F4625" t="s">
        <v>13</v>
      </c>
      <c r="G4625" t="s">
        <v>16</v>
      </c>
      <c r="H4625">
        <v>0</v>
      </c>
    </row>
    <row r="4626" spans="1:8" x14ac:dyDescent="0.35">
      <c r="A4626">
        <v>11921</v>
      </c>
      <c r="B4626" t="s">
        <v>11</v>
      </c>
      <c r="C4626">
        <v>10</v>
      </c>
      <c r="D4626">
        <v>138</v>
      </c>
      <c r="E4626" t="s">
        <v>8</v>
      </c>
      <c r="F4626" t="s">
        <v>9</v>
      </c>
      <c r="G4626" t="s">
        <v>12</v>
      </c>
      <c r="H4626">
        <v>0</v>
      </c>
    </row>
    <row r="4627" spans="1:8" x14ac:dyDescent="0.35">
      <c r="A4627">
        <v>15606</v>
      </c>
      <c r="B4627" t="s">
        <v>11</v>
      </c>
      <c r="C4627">
        <v>1</v>
      </c>
      <c r="D4627">
        <v>248</v>
      </c>
      <c r="E4627" t="s">
        <v>8</v>
      </c>
      <c r="F4627" t="s">
        <v>9</v>
      </c>
      <c r="G4627" t="s">
        <v>14</v>
      </c>
      <c r="H4627">
        <v>0</v>
      </c>
    </row>
    <row r="4628" spans="1:8" x14ac:dyDescent="0.35">
      <c r="A4628">
        <v>12816</v>
      </c>
      <c r="B4628" t="s">
        <v>11</v>
      </c>
      <c r="C4628">
        <v>12</v>
      </c>
      <c r="D4628">
        <v>127</v>
      </c>
      <c r="E4628" t="s">
        <v>8</v>
      </c>
      <c r="F4628" t="s">
        <v>9</v>
      </c>
      <c r="G4628" t="s">
        <v>10</v>
      </c>
      <c r="H4628">
        <v>0</v>
      </c>
    </row>
    <row r="4629" spans="1:8" x14ac:dyDescent="0.35">
      <c r="A4629">
        <v>19174</v>
      </c>
      <c r="B4629" t="s">
        <v>7</v>
      </c>
      <c r="C4629">
        <v>3</v>
      </c>
      <c r="D4629">
        <v>136</v>
      </c>
      <c r="E4629" t="s">
        <v>8</v>
      </c>
      <c r="F4629" t="s">
        <v>9</v>
      </c>
      <c r="G4629" t="s">
        <v>16</v>
      </c>
      <c r="H4629">
        <v>0</v>
      </c>
    </row>
    <row r="4630" spans="1:8" x14ac:dyDescent="0.35">
      <c r="A4630">
        <v>10460</v>
      </c>
      <c r="B4630" t="s">
        <v>7</v>
      </c>
      <c r="C4630">
        <v>13</v>
      </c>
      <c r="D4630">
        <v>231</v>
      </c>
      <c r="E4630" t="s">
        <v>8</v>
      </c>
      <c r="F4630" t="s">
        <v>13</v>
      </c>
      <c r="G4630" t="s">
        <v>16</v>
      </c>
      <c r="H4630">
        <v>0</v>
      </c>
    </row>
    <row r="4631" spans="1:8" x14ac:dyDescent="0.35">
      <c r="A4631">
        <v>19738</v>
      </c>
      <c r="B4631" t="s">
        <v>7</v>
      </c>
      <c r="C4631">
        <v>14</v>
      </c>
      <c r="D4631">
        <v>111</v>
      </c>
      <c r="E4631" t="s">
        <v>8</v>
      </c>
      <c r="F4631" t="s">
        <v>13</v>
      </c>
      <c r="G4631" t="s">
        <v>16</v>
      </c>
      <c r="H4631">
        <v>0</v>
      </c>
    </row>
    <row r="4632" spans="1:8" x14ac:dyDescent="0.35">
      <c r="A4632">
        <v>10939</v>
      </c>
      <c r="B4632" t="s">
        <v>7</v>
      </c>
      <c r="C4632">
        <v>8</v>
      </c>
      <c r="D4632">
        <v>51</v>
      </c>
      <c r="E4632" t="s">
        <v>8</v>
      </c>
      <c r="F4632" t="s">
        <v>9</v>
      </c>
      <c r="G4632" t="s">
        <v>12</v>
      </c>
      <c r="H4632">
        <v>0</v>
      </c>
    </row>
    <row r="4633" spans="1:8" x14ac:dyDescent="0.35">
      <c r="A4633">
        <v>10874</v>
      </c>
      <c r="B4633" t="s">
        <v>11</v>
      </c>
      <c r="C4633">
        <v>4</v>
      </c>
      <c r="D4633">
        <v>113</v>
      </c>
      <c r="E4633" t="s">
        <v>8</v>
      </c>
      <c r="F4633" t="s">
        <v>13</v>
      </c>
      <c r="G4633" t="s">
        <v>12</v>
      </c>
      <c r="H4633">
        <v>0</v>
      </c>
    </row>
    <row r="4634" spans="1:8" x14ac:dyDescent="0.35">
      <c r="A4634">
        <v>12361</v>
      </c>
      <c r="B4634" t="s">
        <v>11</v>
      </c>
      <c r="C4634">
        <v>4</v>
      </c>
      <c r="D4634">
        <v>369</v>
      </c>
      <c r="E4634" t="s">
        <v>8</v>
      </c>
      <c r="F4634" t="s">
        <v>9</v>
      </c>
      <c r="G4634" t="s">
        <v>12</v>
      </c>
      <c r="H4634">
        <v>0</v>
      </c>
    </row>
    <row r="4635" spans="1:8" x14ac:dyDescent="0.35">
      <c r="A4635">
        <v>12856</v>
      </c>
      <c r="B4635" t="s">
        <v>7</v>
      </c>
      <c r="C4635">
        <v>4</v>
      </c>
      <c r="D4635">
        <v>149</v>
      </c>
      <c r="E4635" t="s">
        <v>8</v>
      </c>
      <c r="F4635" t="s">
        <v>9</v>
      </c>
      <c r="G4635" t="s">
        <v>10</v>
      </c>
      <c r="H4635">
        <v>0</v>
      </c>
    </row>
    <row r="4636" spans="1:8" x14ac:dyDescent="0.35">
      <c r="A4636">
        <v>17748</v>
      </c>
      <c r="B4636" t="s">
        <v>7</v>
      </c>
      <c r="C4636">
        <v>10</v>
      </c>
      <c r="D4636">
        <v>395</v>
      </c>
      <c r="E4636" t="s">
        <v>8</v>
      </c>
      <c r="F4636" t="s">
        <v>9</v>
      </c>
      <c r="G4636" t="s">
        <v>12</v>
      </c>
      <c r="H4636">
        <v>0</v>
      </c>
    </row>
    <row r="4637" spans="1:8" x14ac:dyDescent="0.35">
      <c r="A4637">
        <v>13769</v>
      </c>
      <c r="B4637" t="s">
        <v>11</v>
      </c>
      <c r="C4637">
        <v>14</v>
      </c>
      <c r="D4637">
        <v>145</v>
      </c>
      <c r="E4637" t="s">
        <v>8</v>
      </c>
      <c r="F4637" t="s">
        <v>9</v>
      </c>
      <c r="G4637" t="s">
        <v>12</v>
      </c>
      <c r="H4637">
        <v>0</v>
      </c>
    </row>
    <row r="4638" spans="1:8" x14ac:dyDescent="0.35">
      <c r="A4638">
        <v>13158</v>
      </c>
      <c r="B4638" t="s">
        <v>11</v>
      </c>
      <c r="C4638">
        <v>10</v>
      </c>
      <c r="D4638">
        <v>240</v>
      </c>
      <c r="E4638" t="s">
        <v>8</v>
      </c>
      <c r="F4638" t="s">
        <v>9</v>
      </c>
      <c r="G4638" t="s">
        <v>16</v>
      </c>
      <c r="H4638">
        <v>0</v>
      </c>
    </row>
    <row r="4639" spans="1:8" x14ac:dyDescent="0.35">
      <c r="A4639">
        <v>13856</v>
      </c>
      <c r="B4639" t="s">
        <v>11</v>
      </c>
      <c r="C4639">
        <v>9</v>
      </c>
      <c r="D4639">
        <v>178</v>
      </c>
      <c r="E4639" t="s">
        <v>8</v>
      </c>
      <c r="F4639" t="s">
        <v>13</v>
      </c>
      <c r="G4639" t="s">
        <v>10</v>
      </c>
      <c r="H4639">
        <v>0</v>
      </c>
    </row>
    <row r="4640" spans="1:8" x14ac:dyDescent="0.35">
      <c r="A4640">
        <v>14130</v>
      </c>
      <c r="B4640" t="s">
        <v>11</v>
      </c>
      <c r="C4640">
        <v>11</v>
      </c>
      <c r="D4640">
        <v>174</v>
      </c>
      <c r="E4640" t="s">
        <v>8</v>
      </c>
      <c r="F4640" t="s">
        <v>13</v>
      </c>
      <c r="G4640" t="s">
        <v>16</v>
      </c>
      <c r="H4640">
        <v>0</v>
      </c>
    </row>
    <row r="4641" spans="1:8" x14ac:dyDescent="0.35">
      <c r="A4641">
        <v>14601</v>
      </c>
      <c r="B4641" t="s">
        <v>11</v>
      </c>
      <c r="C4641">
        <v>2</v>
      </c>
      <c r="D4641">
        <v>176</v>
      </c>
      <c r="E4641" t="s">
        <v>8</v>
      </c>
      <c r="F4641" t="s">
        <v>13</v>
      </c>
      <c r="G4641" t="s">
        <v>12</v>
      </c>
      <c r="H4641">
        <v>0</v>
      </c>
    </row>
    <row r="4642" spans="1:8" x14ac:dyDescent="0.35">
      <c r="A4642">
        <v>17772</v>
      </c>
      <c r="B4642" t="s">
        <v>11</v>
      </c>
      <c r="C4642">
        <v>6</v>
      </c>
      <c r="D4642">
        <v>247</v>
      </c>
      <c r="E4642" t="s">
        <v>8</v>
      </c>
      <c r="F4642" t="s">
        <v>9</v>
      </c>
      <c r="G4642" t="s">
        <v>12</v>
      </c>
      <c r="H4642">
        <v>0</v>
      </c>
    </row>
    <row r="4643" spans="1:8" x14ac:dyDescent="0.35">
      <c r="A4643">
        <v>15470</v>
      </c>
      <c r="B4643" t="s">
        <v>11</v>
      </c>
      <c r="C4643">
        <v>1</v>
      </c>
      <c r="D4643">
        <v>221</v>
      </c>
      <c r="E4643" t="s">
        <v>15</v>
      </c>
      <c r="F4643" t="s">
        <v>13</v>
      </c>
      <c r="G4643" t="s">
        <v>12</v>
      </c>
      <c r="H4643">
        <v>1</v>
      </c>
    </row>
    <row r="4644" spans="1:8" x14ac:dyDescent="0.35">
      <c r="A4644">
        <v>12382</v>
      </c>
      <c r="B4644" t="s">
        <v>7</v>
      </c>
      <c r="C4644">
        <v>11</v>
      </c>
      <c r="D4644">
        <v>225</v>
      </c>
      <c r="E4644" t="s">
        <v>8</v>
      </c>
      <c r="F4644" t="s">
        <v>9</v>
      </c>
      <c r="G4644" t="s">
        <v>14</v>
      </c>
      <c r="H4644">
        <v>0</v>
      </c>
    </row>
    <row r="4645" spans="1:8" x14ac:dyDescent="0.35">
      <c r="A4645">
        <v>14318</v>
      </c>
      <c r="B4645" t="s">
        <v>7</v>
      </c>
      <c r="C4645">
        <v>10</v>
      </c>
      <c r="D4645">
        <v>214</v>
      </c>
      <c r="E4645" t="s">
        <v>8</v>
      </c>
      <c r="F4645" t="s">
        <v>13</v>
      </c>
      <c r="G4645" t="s">
        <v>10</v>
      </c>
      <c r="H4645">
        <v>0</v>
      </c>
    </row>
    <row r="4646" spans="1:8" x14ac:dyDescent="0.35">
      <c r="A4646">
        <v>19148</v>
      </c>
      <c r="B4646" t="s">
        <v>11</v>
      </c>
      <c r="C4646">
        <v>3</v>
      </c>
      <c r="D4646">
        <v>319</v>
      </c>
      <c r="E4646" t="s">
        <v>8</v>
      </c>
      <c r="F4646" t="s">
        <v>13</v>
      </c>
      <c r="G4646" t="s">
        <v>14</v>
      </c>
      <c r="H4646">
        <v>0</v>
      </c>
    </row>
    <row r="4647" spans="1:8" x14ac:dyDescent="0.35">
      <c r="A4647">
        <v>14283</v>
      </c>
      <c r="B4647" t="s">
        <v>11</v>
      </c>
      <c r="C4647">
        <v>13</v>
      </c>
      <c r="D4647">
        <v>269</v>
      </c>
      <c r="E4647" t="s">
        <v>8</v>
      </c>
      <c r="F4647" t="s">
        <v>9</v>
      </c>
      <c r="G4647" t="s">
        <v>14</v>
      </c>
      <c r="H4647">
        <v>0</v>
      </c>
    </row>
    <row r="4648" spans="1:8" x14ac:dyDescent="0.35">
      <c r="A4648">
        <v>10477</v>
      </c>
      <c r="B4648" t="s">
        <v>7</v>
      </c>
      <c r="C4648">
        <v>4</v>
      </c>
      <c r="D4648">
        <v>256</v>
      </c>
      <c r="E4648" t="s">
        <v>8</v>
      </c>
      <c r="F4648" t="s">
        <v>13</v>
      </c>
      <c r="G4648" t="s">
        <v>16</v>
      </c>
      <c r="H4648">
        <v>0</v>
      </c>
    </row>
    <row r="4649" spans="1:8" x14ac:dyDescent="0.35">
      <c r="A4649">
        <v>19365</v>
      </c>
      <c r="B4649" t="s">
        <v>7</v>
      </c>
      <c r="C4649">
        <v>7</v>
      </c>
      <c r="D4649">
        <v>210</v>
      </c>
      <c r="E4649" t="s">
        <v>8</v>
      </c>
      <c r="F4649" t="s">
        <v>9</v>
      </c>
      <c r="G4649" t="s">
        <v>14</v>
      </c>
      <c r="H4649">
        <v>0</v>
      </c>
    </row>
    <row r="4650" spans="1:8" x14ac:dyDescent="0.35">
      <c r="A4650">
        <v>15650</v>
      </c>
      <c r="B4650" t="s">
        <v>7</v>
      </c>
      <c r="C4650">
        <v>7</v>
      </c>
      <c r="D4650">
        <v>205</v>
      </c>
      <c r="E4650" t="s">
        <v>8</v>
      </c>
      <c r="F4650" t="s">
        <v>13</v>
      </c>
      <c r="G4650" t="s">
        <v>16</v>
      </c>
      <c r="H4650">
        <v>0</v>
      </c>
    </row>
    <row r="4651" spans="1:8" x14ac:dyDescent="0.35">
      <c r="A4651">
        <v>15293</v>
      </c>
      <c r="B4651" t="s">
        <v>7</v>
      </c>
      <c r="C4651">
        <v>10</v>
      </c>
      <c r="D4651">
        <v>47</v>
      </c>
      <c r="E4651" t="s">
        <v>8</v>
      </c>
      <c r="F4651" t="s">
        <v>9</v>
      </c>
      <c r="G4651" t="s">
        <v>14</v>
      </c>
      <c r="H4651">
        <v>0</v>
      </c>
    </row>
    <row r="4652" spans="1:8" x14ac:dyDescent="0.35">
      <c r="A4652">
        <v>10298</v>
      </c>
      <c r="B4652" t="s">
        <v>7</v>
      </c>
      <c r="C4652">
        <v>6</v>
      </c>
      <c r="D4652">
        <v>282</v>
      </c>
      <c r="E4652" t="s">
        <v>8</v>
      </c>
      <c r="F4652" t="s">
        <v>13</v>
      </c>
      <c r="G4652" t="s">
        <v>12</v>
      </c>
      <c r="H4652">
        <v>0</v>
      </c>
    </row>
    <row r="4653" spans="1:8" x14ac:dyDescent="0.35">
      <c r="A4653">
        <v>15782</v>
      </c>
      <c r="B4653" t="s">
        <v>11</v>
      </c>
      <c r="C4653">
        <v>3</v>
      </c>
      <c r="D4653">
        <v>64</v>
      </c>
      <c r="E4653" t="s">
        <v>8</v>
      </c>
      <c r="F4653" t="s">
        <v>9</v>
      </c>
      <c r="G4653" t="s">
        <v>12</v>
      </c>
      <c r="H4653">
        <v>0</v>
      </c>
    </row>
    <row r="4654" spans="1:8" x14ac:dyDescent="0.35">
      <c r="A4654">
        <v>11925</v>
      </c>
      <c r="B4654" t="s">
        <v>11</v>
      </c>
      <c r="C4654">
        <v>4</v>
      </c>
      <c r="D4654">
        <v>357</v>
      </c>
      <c r="E4654" t="s">
        <v>8</v>
      </c>
      <c r="F4654" t="s">
        <v>13</v>
      </c>
      <c r="G4654" t="s">
        <v>12</v>
      </c>
      <c r="H4654">
        <v>0</v>
      </c>
    </row>
    <row r="4655" spans="1:8" x14ac:dyDescent="0.35">
      <c r="A4655">
        <v>10287</v>
      </c>
      <c r="B4655" t="s">
        <v>11</v>
      </c>
      <c r="C4655">
        <v>4</v>
      </c>
      <c r="D4655">
        <v>105</v>
      </c>
      <c r="E4655" t="s">
        <v>8</v>
      </c>
      <c r="F4655" t="s">
        <v>9</v>
      </c>
      <c r="G4655" t="s">
        <v>14</v>
      </c>
      <c r="H4655">
        <v>0</v>
      </c>
    </row>
    <row r="4656" spans="1:8" x14ac:dyDescent="0.35">
      <c r="A4656">
        <v>19883</v>
      </c>
      <c r="B4656" t="s">
        <v>11</v>
      </c>
      <c r="C4656">
        <v>11</v>
      </c>
      <c r="D4656">
        <v>76</v>
      </c>
      <c r="E4656" t="s">
        <v>8</v>
      </c>
      <c r="F4656" t="s">
        <v>9</v>
      </c>
      <c r="G4656" t="s">
        <v>12</v>
      </c>
      <c r="H4656">
        <v>0</v>
      </c>
    </row>
    <row r="4657" spans="1:8" x14ac:dyDescent="0.35">
      <c r="A4657">
        <v>12477</v>
      </c>
      <c r="B4657" t="s">
        <v>7</v>
      </c>
      <c r="C4657">
        <v>10</v>
      </c>
      <c r="D4657">
        <v>48</v>
      </c>
      <c r="E4657" t="s">
        <v>8</v>
      </c>
      <c r="F4657" t="s">
        <v>9</v>
      </c>
      <c r="G4657" t="s">
        <v>14</v>
      </c>
      <c r="H4657">
        <v>0</v>
      </c>
    </row>
    <row r="4658" spans="1:8" x14ac:dyDescent="0.35">
      <c r="A4658">
        <v>12763</v>
      </c>
      <c r="B4658" t="s">
        <v>11</v>
      </c>
      <c r="C4658">
        <v>1</v>
      </c>
      <c r="D4658">
        <v>310</v>
      </c>
      <c r="E4658" t="s">
        <v>15</v>
      </c>
      <c r="F4658" t="s">
        <v>13</v>
      </c>
      <c r="G4658" t="s">
        <v>10</v>
      </c>
      <c r="H4658">
        <v>1</v>
      </c>
    </row>
    <row r="4659" spans="1:8" x14ac:dyDescent="0.35">
      <c r="A4659">
        <v>11974</v>
      </c>
      <c r="B4659" t="s">
        <v>7</v>
      </c>
      <c r="C4659">
        <v>9</v>
      </c>
      <c r="D4659">
        <v>87</v>
      </c>
      <c r="E4659" t="s">
        <v>15</v>
      </c>
      <c r="F4659" t="s">
        <v>9</v>
      </c>
      <c r="G4659" t="s">
        <v>16</v>
      </c>
      <c r="H4659">
        <v>1</v>
      </c>
    </row>
    <row r="4660" spans="1:8" x14ac:dyDescent="0.35">
      <c r="A4660">
        <v>10580</v>
      </c>
      <c r="B4660" t="s">
        <v>7</v>
      </c>
      <c r="C4660">
        <v>2</v>
      </c>
      <c r="D4660">
        <v>46</v>
      </c>
      <c r="E4660" t="s">
        <v>8</v>
      </c>
      <c r="F4660" t="s">
        <v>9</v>
      </c>
      <c r="G4660" t="s">
        <v>10</v>
      </c>
      <c r="H4660">
        <v>0</v>
      </c>
    </row>
    <row r="4661" spans="1:8" x14ac:dyDescent="0.35">
      <c r="A4661">
        <v>15548</v>
      </c>
      <c r="B4661" t="s">
        <v>11</v>
      </c>
      <c r="C4661">
        <v>2</v>
      </c>
      <c r="D4661">
        <v>280</v>
      </c>
      <c r="E4661" t="s">
        <v>8</v>
      </c>
      <c r="F4661" t="s">
        <v>13</v>
      </c>
      <c r="G4661" t="s">
        <v>14</v>
      </c>
      <c r="H4661">
        <v>0</v>
      </c>
    </row>
    <row r="4662" spans="1:8" x14ac:dyDescent="0.35">
      <c r="A4662">
        <v>19536</v>
      </c>
      <c r="B4662" t="s">
        <v>7</v>
      </c>
      <c r="C4662">
        <v>11</v>
      </c>
      <c r="D4662">
        <v>192</v>
      </c>
      <c r="E4662" t="s">
        <v>8</v>
      </c>
      <c r="F4662" t="s">
        <v>9</v>
      </c>
      <c r="G4662" t="s">
        <v>14</v>
      </c>
      <c r="H4662">
        <v>0</v>
      </c>
    </row>
    <row r="4663" spans="1:8" x14ac:dyDescent="0.35">
      <c r="A4663">
        <v>13204</v>
      </c>
      <c r="B4663" t="s">
        <v>7</v>
      </c>
      <c r="C4663">
        <v>9</v>
      </c>
      <c r="D4663">
        <v>128</v>
      </c>
      <c r="E4663" t="s">
        <v>8</v>
      </c>
      <c r="F4663" t="s">
        <v>13</v>
      </c>
      <c r="G4663" t="s">
        <v>16</v>
      </c>
      <c r="H4663">
        <v>0</v>
      </c>
    </row>
    <row r="4664" spans="1:8" x14ac:dyDescent="0.35">
      <c r="A4664">
        <v>19041</v>
      </c>
      <c r="B4664" t="s">
        <v>11</v>
      </c>
      <c r="C4664">
        <v>6</v>
      </c>
      <c r="D4664">
        <v>108</v>
      </c>
      <c r="E4664" t="s">
        <v>8</v>
      </c>
      <c r="F4664" t="s">
        <v>9</v>
      </c>
      <c r="G4664" t="s">
        <v>12</v>
      </c>
      <c r="H4664">
        <v>0</v>
      </c>
    </row>
    <row r="4665" spans="1:8" x14ac:dyDescent="0.35">
      <c r="A4665">
        <v>18182</v>
      </c>
      <c r="B4665" t="s">
        <v>7</v>
      </c>
      <c r="C4665">
        <v>10</v>
      </c>
      <c r="D4665">
        <v>204</v>
      </c>
      <c r="E4665" t="s">
        <v>8</v>
      </c>
      <c r="F4665" t="s">
        <v>13</v>
      </c>
      <c r="G4665" t="s">
        <v>12</v>
      </c>
      <c r="H4665">
        <v>0</v>
      </c>
    </row>
    <row r="4666" spans="1:8" x14ac:dyDescent="0.35">
      <c r="A4666">
        <v>14620</v>
      </c>
      <c r="B4666" t="s">
        <v>7</v>
      </c>
      <c r="C4666">
        <v>3</v>
      </c>
      <c r="D4666">
        <v>107</v>
      </c>
      <c r="E4666" t="s">
        <v>8</v>
      </c>
      <c r="F4666" t="s">
        <v>13</v>
      </c>
      <c r="G4666" t="s">
        <v>16</v>
      </c>
      <c r="H4666">
        <v>0</v>
      </c>
    </row>
    <row r="4667" spans="1:8" x14ac:dyDescent="0.35">
      <c r="A4667">
        <v>13398</v>
      </c>
      <c r="B4667" t="s">
        <v>7</v>
      </c>
      <c r="C4667">
        <v>1</v>
      </c>
      <c r="D4667">
        <v>63</v>
      </c>
      <c r="E4667" t="s">
        <v>8</v>
      </c>
      <c r="F4667" t="s">
        <v>13</v>
      </c>
      <c r="G4667" t="s">
        <v>14</v>
      </c>
      <c r="H4667">
        <v>0</v>
      </c>
    </row>
    <row r="4668" spans="1:8" x14ac:dyDescent="0.35">
      <c r="A4668">
        <v>17552</v>
      </c>
      <c r="B4668" t="s">
        <v>11</v>
      </c>
      <c r="C4668">
        <v>11</v>
      </c>
      <c r="D4668">
        <v>439</v>
      </c>
      <c r="E4668" t="s">
        <v>8</v>
      </c>
      <c r="F4668" t="s">
        <v>9</v>
      </c>
      <c r="G4668" t="s">
        <v>14</v>
      </c>
      <c r="H4668">
        <v>0</v>
      </c>
    </row>
    <row r="4669" spans="1:8" x14ac:dyDescent="0.35">
      <c r="A4669">
        <v>17727</v>
      </c>
      <c r="B4669" t="s">
        <v>11</v>
      </c>
      <c r="C4669">
        <v>4</v>
      </c>
      <c r="D4669">
        <v>329</v>
      </c>
      <c r="E4669" t="s">
        <v>8</v>
      </c>
      <c r="F4669" t="s">
        <v>13</v>
      </c>
      <c r="G4669" t="s">
        <v>14</v>
      </c>
      <c r="H4669">
        <v>0</v>
      </c>
    </row>
    <row r="4670" spans="1:8" x14ac:dyDescent="0.35">
      <c r="A4670">
        <v>13429</v>
      </c>
      <c r="B4670" t="s">
        <v>11</v>
      </c>
      <c r="C4670">
        <v>7</v>
      </c>
      <c r="D4670">
        <v>323</v>
      </c>
      <c r="E4670" t="s">
        <v>8</v>
      </c>
      <c r="F4670" t="s">
        <v>9</v>
      </c>
      <c r="G4670" t="s">
        <v>10</v>
      </c>
      <c r="H4670">
        <v>0</v>
      </c>
    </row>
    <row r="4671" spans="1:8" x14ac:dyDescent="0.35">
      <c r="A4671">
        <v>16457</v>
      </c>
      <c r="B4671" t="s">
        <v>7</v>
      </c>
      <c r="C4671">
        <v>11</v>
      </c>
      <c r="D4671">
        <v>379</v>
      </c>
      <c r="E4671" t="s">
        <v>8</v>
      </c>
      <c r="F4671" t="s">
        <v>9</v>
      </c>
      <c r="G4671" t="s">
        <v>12</v>
      </c>
      <c r="H4671">
        <v>0</v>
      </c>
    </row>
    <row r="4672" spans="1:8" x14ac:dyDescent="0.35">
      <c r="A4672">
        <v>12670</v>
      </c>
      <c r="B4672" t="s">
        <v>11</v>
      </c>
      <c r="C4672">
        <v>14</v>
      </c>
      <c r="D4672">
        <v>397</v>
      </c>
      <c r="E4672" t="s">
        <v>8</v>
      </c>
      <c r="F4672" t="s">
        <v>13</v>
      </c>
      <c r="G4672" t="s">
        <v>14</v>
      </c>
      <c r="H4672">
        <v>0</v>
      </c>
    </row>
    <row r="4673" spans="1:8" x14ac:dyDescent="0.35">
      <c r="A4673">
        <v>17254</v>
      </c>
      <c r="B4673" t="s">
        <v>11</v>
      </c>
      <c r="C4673">
        <v>6</v>
      </c>
      <c r="D4673">
        <v>370</v>
      </c>
      <c r="E4673" t="s">
        <v>8</v>
      </c>
      <c r="F4673" t="s">
        <v>13</v>
      </c>
      <c r="G4673" t="s">
        <v>14</v>
      </c>
      <c r="H4673">
        <v>0</v>
      </c>
    </row>
    <row r="4674" spans="1:8" x14ac:dyDescent="0.35">
      <c r="A4674">
        <v>16577</v>
      </c>
      <c r="B4674" t="s">
        <v>11</v>
      </c>
      <c r="C4674">
        <v>3</v>
      </c>
      <c r="D4674">
        <v>370</v>
      </c>
      <c r="E4674" t="s">
        <v>8</v>
      </c>
      <c r="F4674" t="s">
        <v>13</v>
      </c>
      <c r="G4674" t="s">
        <v>16</v>
      </c>
      <c r="H4674">
        <v>0</v>
      </c>
    </row>
    <row r="4675" spans="1:8" x14ac:dyDescent="0.35">
      <c r="A4675">
        <v>17982</v>
      </c>
      <c r="B4675" t="s">
        <v>11</v>
      </c>
      <c r="C4675">
        <v>8</v>
      </c>
      <c r="D4675">
        <v>314</v>
      </c>
      <c r="E4675" t="s">
        <v>8</v>
      </c>
      <c r="F4675" t="s">
        <v>13</v>
      </c>
      <c r="G4675" t="s">
        <v>14</v>
      </c>
      <c r="H4675">
        <v>0</v>
      </c>
    </row>
    <row r="4676" spans="1:8" x14ac:dyDescent="0.35">
      <c r="A4676">
        <v>12065</v>
      </c>
      <c r="B4676" t="s">
        <v>11</v>
      </c>
      <c r="C4676">
        <v>4</v>
      </c>
      <c r="D4676">
        <v>416</v>
      </c>
      <c r="E4676" t="s">
        <v>8</v>
      </c>
      <c r="F4676" t="s">
        <v>13</v>
      </c>
      <c r="G4676" t="s">
        <v>16</v>
      </c>
      <c r="H4676">
        <v>0</v>
      </c>
    </row>
    <row r="4677" spans="1:8" x14ac:dyDescent="0.35">
      <c r="A4677">
        <v>12195</v>
      </c>
      <c r="B4677" t="s">
        <v>11</v>
      </c>
      <c r="C4677">
        <v>7</v>
      </c>
      <c r="D4677">
        <v>138</v>
      </c>
      <c r="E4677" t="s">
        <v>8</v>
      </c>
      <c r="F4677" t="s">
        <v>13</v>
      </c>
      <c r="G4677" t="s">
        <v>12</v>
      </c>
      <c r="H4677">
        <v>0</v>
      </c>
    </row>
    <row r="4678" spans="1:8" x14ac:dyDescent="0.35">
      <c r="A4678">
        <v>11395</v>
      </c>
      <c r="B4678" t="s">
        <v>11</v>
      </c>
      <c r="C4678">
        <v>8</v>
      </c>
      <c r="D4678">
        <v>399</v>
      </c>
      <c r="E4678" t="s">
        <v>8</v>
      </c>
      <c r="F4678" t="s">
        <v>13</v>
      </c>
      <c r="G4678" t="s">
        <v>12</v>
      </c>
      <c r="H4678">
        <v>0</v>
      </c>
    </row>
    <row r="4679" spans="1:8" x14ac:dyDescent="0.35">
      <c r="A4679">
        <v>19473</v>
      </c>
      <c r="B4679" t="s">
        <v>7</v>
      </c>
      <c r="C4679">
        <v>11</v>
      </c>
      <c r="D4679">
        <v>296</v>
      </c>
      <c r="E4679" t="s">
        <v>8</v>
      </c>
      <c r="F4679" t="s">
        <v>13</v>
      </c>
      <c r="G4679" t="s">
        <v>14</v>
      </c>
      <c r="H4679">
        <v>0</v>
      </c>
    </row>
    <row r="4680" spans="1:8" x14ac:dyDescent="0.35">
      <c r="A4680">
        <v>10205</v>
      </c>
      <c r="B4680" t="s">
        <v>11</v>
      </c>
      <c r="C4680">
        <v>8</v>
      </c>
      <c r="D4680">
        <v>174</v>
      </c>
      <c r="E4680" t="s">
        <v>8</v>
      </c>
      <c r="F4680" t="s">
        <v>9</v>
      </c>
      <c r="G4680" t="s">
        <v>14</v>
      </c>
      <c r="H4680">
        <v>0</v>
      </c>
    </row>
    <row r="4681" spans="1:8" x14ac:dyDescent="0.35">
      <c r="A4681">
        <v>18268</v>
      </c>
      <c r="B4681" t="s">
        <v>7</v>
      </c>
      <c r="C4681">
        <v>1</v>
      </c>
      <c r="D4681">
        <v>295</v>
      </c>
      <c r="E4681" t="s">
        <v>15</v>
      </c>
      <c r="F4681" t="s">
        <v>9</v>
      </c>
      <c r="G4681" t="s">
        <v>10</v>
      </c>
      <c r="H4681">
        <v>1</v>
      </c>
    </row>
    <row r="4682" spans="1:8" x14ac:dyDescent="0.35">
      <c r="A4682">
        <v>17962</v>
      </c>
      <c r="B4682" t="s">
        <v>7</v>
      </c>
      <c r="C4682">
        <v>8</v>
      </c>
      <c r="D4682">
        <v>389</v>
      </c>
      <c r="E4682" t="s">
        <v>15</v>
      </c>
      <c r="F4682" t="s">
        <v>9</v>
      </c>
      <c r="G4682" t="s">
        <v>10</v>
      </c>
      <c r="H4682">
        <v>1</v>
      </c>
    </row>
    <row r="4683" spans="1:8" x14ac:dyDescent="0.35">
      <c r="A4683">
        <v>13430</v>
      </c>
      <c r="B4683" t="s">
        <v>11</v>
      </c>
      <c r="C4683">
        <v>14</v>
      </c>
      <c r="D4683">
        <v>59</v>
      </c>
      <c r="E4683" t="s">
        <v>8</v>
      </c>
      <c r="F4683" t="s">
        <v>13</v>
      </c>
      <c r="G4683" t="s">
        <v>12</v>
      </c>
      <c r="H4683">
        <v>0</v>
      </c>
    </row>
    <row r="4684" spans="1:8" x14ac:dyDescent="0.35">
      <c r="A4684">
        <v>19565</v>
      </c>
      <c r="B4684" t="s">
        <v>7</v>
      </c>
      <c r="C4684">
        <v>10</v>
      </c>
      <c r="D4684">
        <v>197</v>
      </c>
      <c r="E4684" t="s">
        <v>8</v>
      </c>
      <c r="F4684" t="s">
        <v>13</v>
      </c>
      <c r="G4684" t="s">
        <v>12</v>
      </c>
      <c r="H4684">
        <v>0</v>
      </c>
    </row>
    <row r="4685" spans="1:8" x14ac:dyDescent="0.35">
      <c r="A4685">
        <v>16680</v>
      </c>
      <c r="B4685" t="s">
        <v>11</v>
      </c>
      <c r="C4685">
        <v>11</v>
      </c>
      <c r="D4685">
        <v>257</v>
      </c>
      <c r="E4685" t="s">
        <v>8</v>
      </c>
      <c r="F4685" t="s">
        <v>13</v>
      </c>
      <c r="G4685" t="s">
        <v>10</v>
      </c>
      <c r="H4685">
        <v>0</v>
      </c>
    </row>
    <row r="4686" spans="1:8" x14ac:dyDescent="0.35">
      <c r="A4686">
        <v>13712</v>
      </c>
      <c r="B4686" t="s">
        <v>7</v>
      </c>
      <c r="C4686">
        <v>2</v>
      </c>
      <c r="D4686">
        <v>155</v>
      </c>
      <c r="E4686" t="s">
        <v>15</v>
      </c>
      <c r="F4686" t="s">
        <v>13</v>
      </c>
      <c r="G4686" t="s">
        <v>16</v>
      </c>
      <c r="H4686">
        <v>1</v>
      </c>
    </row>
    <row r="4687" spans="1:8" x14ac:dyDescent="0.35">
      <c r="A4687">
        <v>14752</v>
      </c>
      <c r="B4687" t="s">
        <v>11</v>
      </c>
      <c r="C4687">
        <v>9</v>
      </c>
      <c r="D4687">
        <v>238</v>
      </c>
      <c r="E4687" t="s">
        <v>8</v>
      </c>
      <c r="F4687" t="s">
        <v>13</v>
      </c>
      <c r="G4687" t="s">
        <v>12</v>
      </c>
      <c r="H4687">
        <v>0</v>
      </c>
    </row>
    <row r="4688" spans="1:8" x14ac:dyDescent="0.35">
      <c r="A4688">
        <v>19561</v>
      </c>
      <c r="B4688" t="s">
        <v>7</v>
      </c>
      <c r="C4688">
        <v>2</v>
      </c>
      <c r="D4688">
        <v>399</v>
      </c>
      <c r="E4688" t="s">
        <v>8</v>
      </c>
      <c r="F4688" t="s">
        <v>9</v>
      </c>
      <c r="G4688" t="s">
        <v>12</v>
      </c>
      <c r="H4688">
        <v>0</v>
      </c>
    </row>
    <row r="4689" spans="1:8" x14ac:dyDescent="0.35">
      <c r="A4689">
        <v>10935</v>
      </c>
      <c r="B4689" t="s">
        <v>11</v>
      </c>
      <c r="C4689">
        <v>2</v>
      </c>
      <c r="D4689">
        <v>101</v>
      </c>
      <c r="E4689" t="s">
        <v>8</v>
      </c>
      <c r="F4689" t="s">
        <v>9</v>
      </c>
      <c r="G4689" t="s">
        <v>10</v>
      </c>
      <c r="H4689">
        <v>0</v>
      </c>
    </row>
    <row r="4690" spans="1:8" x14ac:dyDescent="0.35">
      <c r="A4690">
        <v>11171</v>
      </c>
      <c r="B4690" t="s">
        <v>7</v>
      </c>
      <c r="C4690">
        <v>10</v>
      </c>
      <c r="D4690">
        <v>248</v>
      </c>
      <c r="E4690" t="s">
        <v>8</v>
      </c>
      <c r="F4690" t="s">
        <v>13</v>
      </c>
      <c r="G4690" t="s">
        <v>10</v>
      </c>
      <c r="H4690">
        <v>0</v>
      </c>
    </row>
    <row r="4691" spans="1:8" x14ac:dyDescent="0.35">
      <c r="A4691">
        <v>15718</v>
      </c>
      <c r="B4691" t="s">
        <v>7</v>
      </c>
      <c r="C4691">
        <v>5</v>
      </c>
      <c r="D4691">
        <v>51</v>
      </c>
      <c r="E4691" t="s">
        <v>8</v>
      </c>
      <c r="F4691" t="s">
        <v>13</v>
      </c>
      <c r="G4691" t="s">
        <v>12</v>
      </c>
      <c r="H4691">
        <v>0</v>
      </c>
    </row>
    <row r="4692" spans="1:8" x14ac:dyDescent="0.35">
      <c r="A4692">
        <v>13893</v>
      </c>
      <c r="B4692" t="s">
        <v>7</v>
      </c>
      <c r="C4692">
        <v>2</v>
      </c>
      <c r="D4692">
        <v>143</v>
      </c>
      <c r="E4692" t="s">
        <v>15</v>
      </c>
      <c r="F4692" t="s">
        <v>9</v>
      </c>
      <c r="G4692" t="s">
        <v>12</v>
      </c>
      <c r="H4692">
        <v>1</v>
      </c>
    </row>
    <row r="4693" spans="1:8" x14ac:dyDescent="0.35">
      <c r="A4693">
        <v>11766</v>
      </c>
      <c r="B4693" t="s">
        <v>7</v>
      </c>
      <c r="C4693">
        <v>12</v>
      </c>
      <c r="D4693">
        <v>318</v>
      </c>
      <c r="E4693" t="s">
        <v>8</v>
      </c>
      <c r="F4693" t="s">
        <v>13</v>
      </c>
      <c r="G4693" t="s">
        <v>14</v>
      </c>
      <c r="H4693">
        <v>0</v>
      </c>
    </row>
    <row r="4694" spans="1:8" x14ac:dyDescent="0.35">
      <c r="A4694">
        <v>18850</v>
      </c>
      <c r="B4694" t="s">
        <v>11</v>
      </c>
      <c r="C4694">
        <v>4</v>
      </c>
      <c r="D4694">
        <v>54</v>
      </c>
      <c r="E4694" t="s">
        <v>8</v>
      </c>
      <c r="F4694" t="s">
        <v>13</v>
      </c>
      <c r="G4694" t="s">
        <v>14</v>
      </c>
      <c r="H4694">
        <v>0</v>
      </c>
    </row>
    <row r="4695" spans="1:8" x14ac:dyDescent="0.35">
      <c r="A4695">
        <v>19920</v>
      </c>
      <c r="B4695" t="s">
        <v>7</v>
      </c>
      <c r="C4695">
        <v>4</v>
      </c>
      <c r="D4695">
        <v>227</v>
      </c>
      <c r="E4695" t="s">
        <v>8</v>
      </c>
      <c r="F4695" t="s">
        <v>9</v>
      </c>
      <c r="G4695" t="s">
        <v>14</v>
      </c>
      <c r="H4695">
        <v>0</v>
      </c>
    </row>
    <row r="4696" spans="1:8" x14ac:dyDescent="0.35">
      <c r="A4696">
        <v>13601</v>
      </c>
      <c r="B4696" t="s">
        <v>11</v>
      </c>
      <c r="C4696">
        <v>9</v>
      </c>
      <c r="D4696">
        <v>157</v>
      </c>
      <c r="E4696" t="s">
        <v>8</v>
      </c>
      <c r="F4696" t="s">
        <v>9</v>
      </c>
      <c r="G4696" t="s">
        <v>12</v>
      </c>
      <c r="H4696">
        <v>0</v>
      </c>
    </row>
    <row r="4697" spans="1:8" x14ac:dyDescent="0.35">
      <c r="A4697">
        <v>14537</v>
      </c>
      <c r="B4697" t="s">
        <v>7</v>
      </c>
      <c r="C4697">
        <v>6</v>
      </c>
      <c r="D4697">
        <v>406</v>
      </c>
      <c r="E4697" t="s">
        <v>8</v>
      </c>
      <c r="F4697" t="s">
        <v>13</v>
      </c>
      <c r="G4697" t="s">
        <v>16</v>
      </c>
      <c r="H4697">
        <v>0</v>
      </c>
    </row>
    <row r="4698" spans="1:8" x14ac:dyDescent="0.35">
      <c r="A4698">
        <v>15331</v>
      </c>
      <c r="B4698" t="s">
        <v>7</v>
      </c>
      <c r="C4698">
        <v>4</v>
      </c>
      <c r="D4698">
        <v>436</v>
      </c>
      <c r="E4698" t="s">
        <v>8</v>
      </c>
      <c r="F4698" t="s">
        <v>13</v>
      </c>
      <c r="G4698" t="s">
        <v>12</v>
      </c>
      <c r="H4698">
        <v>0</v>
      </c>
    </row>
    <row r="4699" spans="1:8" x14ac:dyDescent="0.35">
      <c r="A4699">
        <v>12340</v>
      </c>
      <c r="B4699" t="s">
        <v>7</v>
      </c>
      <c r="C4699">
        <v>3</v>
      </c>
      <c r="D4699">
        <v>41</v>
      </c>
      <c r="E4699" t="s">
        <v>8</v>
      </c>
      <c r="F4699" t="s">
        <v>9</v>
      </c>
      <c r="G4699" t="s">
        <v>14</v>
      </c>
      <c r="H4699">
        <v>0</v>
      </c>
    </row>
    <row r="4700" spans="1:8" x14ac:dyDescent="0.35">
      <c r="A4700">
        <v>16461</v>
      </c>
      <c r="B4700" t="s">
        <v>7</v>
      </c>
      <c r="C4700">
        <v>4</v>
      </c>
      <c r="D4700">
        <v>262</v>
      </c>
      <c r="E4700" t="s">
        <v>8</v>
      </c>
      <c r="F4700" t="s">
        <v>9</v>
      </c>
      <c r="G4700" t="s">
        <v>12</v>
      </c>
      <c r="H4700">
        <v>0</v>
      </c>
    </row>
    <row r="4701" spans="1:8" x14ac:dyDescent="0.35">
      <c r="A4701">
        <v>10288</v>
      </c>
      <c r="B4701" t="s">
        <v>11</v>
      </c>
      <c r="C4701">
        <v>9</v>
      </c>
      <c r="D4701">
        <v>88</v>
      </c>
      <c r="E4701" t="s">
        <v>8</v>
      </c>
      <c r="F4701" t="s">
        <v>13</v>
      </c>
      <c r="G4701" t="s">
        <v>16</v>
      </c>
      <c r="H4701">
        <v>0</v>
      </c>
    </row>
    <row r="4702" spans="1:8" x14ac:dyDescent="0.35">
      <c r="A4702">
        <v>17032</v>
      </c>
      <c r="B4702" t="s">
        <v>7</v>
      </c>
      <c r="C4702">
        <v>5</v>
      </c>
      <c r="D4702">
        <v>198</v>
      </c>
      <c r="E4702" t="s">
        <v>8</v>
      </c>
      <c r="F4702" t="s">
        <v>9</v>
      </c>
      <c r="G4702" t="s">
        <v>14</v>
      </c>
      <c r="H4702">
        <v>0</v>
      </c>
    </row>
    <row r="4703" spans="1:8" x14ac:dyDescent="0.35">
      <c r="A4703">
        <v>13371</v>
      </c>
      <c r="B4703" t="s">
        <v>7</v>
      </c>
      <c r="C4703">
        <v>10</v>
      </c>
      <c r="D4703">
        <v>146</v>
      </c>
      <c r="E4703" t="s">
        <v>8</v>
      </c>
      <c r="F4703" t="s">
        <v>13</v>
      </c>
      <c r="G4703" t="s">
        <v>14</v>
      </c>
      <c r="H4703">
        <v>0</v>
      </c>
    </row>
    <row r="4704" spans="1:8" x14ac:dyDescent="0.35">
      <c r="A4704">
        <v>13260</v>
      </c>
      <c r="B4704" t="s">
        <v>7</v>
      </c>
      <c r="C4704">
        <v>11</v>
      </c>
      <c r="D4704">
        <v>225</v>
      </c>
      <c r="E4704" t="s">
        <v>8</v>
      </c>
      <c r="F4704" t="s">
        <v>13</v>
      </c>
      <c r="G4704" t="s">
        <v>10</v>
      </c>
      <c r="H4704">
        <v>0</v>
      </c>
    </row>
    <row r="4705" spans="1:8" x14ac:dyDescent="0.35">
      <c r="A4705">
        <v>18390</v>
      </c>
      <c r="B4705" t="s">
        <v>11</v>
      </c>
      <c r="C4705">
        <v>12</v>
      </c>
      <c r="D4705">
        <v>377</v>
      </c>
      <c r="E4705" t="s">
        <v>8</v>
      </c>
      <c r="F4705" t="s">
        <v>13</v>
      </c>
      <c r="G4705" t="s">
        <v>14</v>
      </c>
      <c r="H4705">
        <v>0</v>
      </c>
    </row>
    <row r="4706" spans="1:8" x14ac:dyDescent="0.35">
      <c r="A4706">
        <v>15721</v>
      </c>
      <c r="B4706" t="s">
        <v>11</v>
      </c>
      <c r="C4706">
        <v>7</v>
      </c>
      <c r="D4706">
        <v>439</v>
      </c>
      <c r="E4706" t="s">
        <v>15</v>
      </c>
      <c r="F4706" t="s">
        <v>13</v>
      </c>
      <c r="G4706" t="s">
        <v>14</v>
      </c>
      <c r="H4706">
        <v>1</v>
      </c>
    </row>
    <row r="4707" spans="1:8" x14ac:dyDescent="0.35">
      <c r="A4707">
        <v>19214</v>
      </c>
      <c r="B4707" t="s">
        <v>11</v>
      </c>
      <c r="C4707">
        <v>1</v>
      </c>
      <c r="D4707">
        <v>386</v>
      </c>
      <c r="E4707" t="s">
        <v>8</v>
      </c>
      <c r="F4707" t="s">
        <v>13</v>
      </c>
      <c r="G4707" t="s">
        <v>12</v>
      </c>
      <c r="H4707">
        <v>0</v>
      </c>
    </row>
    <row r="4708" spans="1:8" x14ac:dyDescent="0.35">
      <c r="A4708">
        <v>13809</v>
      </c>
      <c r="B4708" t="s">
        <v>7</v>
      </c>
      <c r="C4708">
        <v>5</v>
      </c>
      <c r="D4708">
        <v>436</v>
      </c>
      <c r="E4708" t="s">
        <v>15</v>
      </c>
      <c r="F4708" t="s">
        <v>9</v>
      </c>
      <c r="G4708" t="s">
        <v>10</v>
      </c>
      <c r="H4708">
        <v>1</v>
      </c>
    </row>
    <row r="4709" spans="1:8" x14ac:dyDescent="0.35">
      <c r="A4709">
        <v>17891</v>
      </c>
      <c r="B4709" t="s">
        <v>11</v>
      </c>
      <c r="C4709">
        <v>9</v>
      </c>
      <c r="D4709">
        <v>209</v>
      </c>
      <c r="E4709" t="s">
        <v>8</v>
      </c>
      <c r="F4709" t="s">
        <v>9</v>
      </c>
      <c r="G4709" t="s">
        <v>12</v>
      </c>
      <c r="H4709">
        <v>0</v>
      </c>
    </row>
    <row r="4710" spans="1:8" x14ac:dyDescent="0.35">
      <c r="A4710">
        <v>14155</v>
      </c>
      <c r="B4710" t="s">
        <v>7</v>
      </c>
      <c r="C4710">
        <v>5</v>
      </c>
      <c r="D4710">
        <v>213</v>
      </c>
      <c r="E4710" t="s">
        <v>8</v>
      </c>
      <c r="F4710" t="s">
        <v>9</v>
      </c>
      <c r="G4710" t="s">
        <v>12</v>
      </c>
      <c r="H4710">
        <v>0</v>
      </c>
    </row>
    <row r="4711" spans="1:8" x14ac:dyDescent="0.35">
      <c r="A4711">
        <v>11679</v>
      </c>
      <c r="B4711" t="s">
        <v>7</v>
      </c>
      <c r="C4711">
        <v>1</v>
      </c>
      <c r="D4711">
        <v>403</v>
      </c>
      <c r="E4711" t="s">
        <v>8</v>
      </c>
      <c r="F4711" t="s">
        <v>9</v>
      </c>
      <c r="G4711" t="s">
        <v>10</v>
      </c>
      <c r="H4711">
        <v>0</v>
      </c>
    </row>
    <row r="4712" spans="1:8" x14ac:dyDescent="0.35">
      <c r="A4712">
        <v>16029</v>
      </c>
      <c r="B4712" t="s">
        <v>11</v>
      </c>
      <c r="C4712">
        <v>11</v>
      </c>
      <c r="D4712">
        <v>178</v>
      </c>
      <c r="E4712" t="s">
        <v>8</v>
      </c>
      <c r="F4712" t="s">
        <v>13</v>
      </c>
      <c r="G4712" t="s">
        <v>14</v>
      </c>
      <c r="H4712">
        <v>0</v>
      </c>
    </row>
    <row r="4713" spans="1:8" x14ac:dyDescent="0.35">
      <c r="A4713">
        <v>10627</v>
      </c>
      <c r="B4713" t="s">
        <v>11</v>
      </c>
      <c r="C4713">
        <v>8</v>
      </c>
      <c r="D4713">
        <v>75</v>
      </c>
      <c r="E4713" t="s">
        <v>8</v>
      </c>
      <c r="F4713" t="s">
        <v>13</v>
      </c>
      <c r="G4713" t="s">
        <v>12</v>
      </c>
      <c r="H4713">
        <v>0</v>
      </c>
    </row>
    <row r="4714" spans="1:8" x14ac:dyDescent="0.35">
      <c r="A4714">
        <v>10607</v>
      </c>
      <c r="B4714" t="s">
        <v>7</v>
      </c>
      <c r="C4714">
        <v>8</v>
      </c>
      <c r="D4714">
        <v>149</v>
      </c>
      <c r="E4714" t="s">
        <v>8</v>
      </c>
      <c r="F4714" t="s">
        <v>13</v>
      </c>
      <c r="G4714" t="s">
        <v>10</v>
      </c>
      <c r="H4714">
        <v>0</v>
      </c>
    </row>
    <row r="4715" spans="1:8" x14ac:dyDescent="0.35">
      <c r="A4715">
        <v>19865</v>
      </c>
      <c r="B4715" t="s">
        <v>11</v>
      </c>
      <c r="C4715">
        <v>8</v>
      </c>
      <c r="D4715">
        <v>104</v>
      </c>
      <c r="E4715" t="s">
        <v>8</v>
      </c>
      <c r="F4715" t="s">
        <v>9</v>
      </c>
      <c r="G4715" t="s">
        <v>10</v>
      </c>
      <c r="H4715">
        <v>0</v>
      </c>
    </row>
    <row r="4716" spans="1:8" x14ac:dyDescent="0.35">
      <c r="A4716">
        <v>16362</v>
      </c>
      <c r="B4716" t="s">
        <v>11</v>
      </c>
      <c r="C4716">
        <v>7</v>
      </c>
      <c r="D4716">
        <v>261</v>
      </c>
      <c r="E4716" t="s">
        <v>8</v>
      </c>
      <c r="F4716" t="s">
        <v>13</v>
      </c>
      <c r="G4716" t="s">
        <v>14</v>
      </c>
      <c r="H4716">
        <v>0</v>
      </c>
    </row>
    <row r="4717" spans="1:8" x14ac:dyDescent="0.35">
      <c r="A4717">
        <v>12257</v>
      </c>
      <c r="B4717" t="s">
        <v>11</v>
      </c>
      <c r="C4717">
        <v>12</v>
      </c>
      <c r="D4717">
        <v>236</v>
      </c>
      <c r="E4717" t="s">
        <v>8</v>
      </c>
      <c r="F4717" t="s">
        <v>9</v>
      </c>
      <c r="G4717" t="s">
        <v>10</v>
      </c>
      <c r="H4717">
        <v>0</v>
      </c>
    </row>
    <row r="4718" spans="1:8" x14ac:dyDescent="0.35">
      <c r="A4718">
        <v>12302</v>
      </c>
      <c r="B4718" t="s">
        <v>11</v>
      </c>
      <c r="C4718">
        <v>11</v>
      </c>
      <c r="D4718">
        <v>40</v>
      </c>
      <c r="E4718" t="s">
        <v>8</v>
      </c>
      <c r="F4718" t="s">
        <v>13</v>
      </c>
      <c r="G4718" t="s">
        <v>12</v>
      </c>
      <c r="H4718">
        <v>0</v>
      </c>
    </row>
    <row r="4719" spans="1:8" x14ac:dyDescent="0.35">
      <c r="A4719">
        <v>13099</v>
      </c>
      <c r="B4719" t="s">
        <v>11</v>
      </c>
      <c r="C4719">
        <v>3</v>
      </c>
      <c r="D4719">
        <v>426</v>
      </c>
      <c r="E4719" t="s">
        <v>8</v>
      </c>
      <c r="F4719" t="s">
        <v>13</v>
      </c>
      <c r="G4719" t="s">
        <v>16</v>
      </c>
      <c r="H4719">
        <v>0</v>
      </c>
    </row>
    <row r="4720" spans="1:8" x14ac:dyDescent="0.35">
      <c r="A4720">
        <v>19160</v>
      </c>
      <c r="B4720" t="s">
        <v>7</v>
      </c>
      <c r="C4720">
        <v>8</v>
      </c>
      <c r="D4720">
        <v>403</v>
      </c>
      <c r="E4720" t="s">
        <v>8</v>
      </c>
      <c r="F4720" t="s">
        <v>13</v>
      </c>
      <c r="G4720" t="s">
        <v>10</v>
      </c>
      <c r="H4720">
        <v>0</v>
      </c>
    </row>
    <row r="4721" spans="1:8" x14ac:dyDescent="0.35">
      <c r="A4721">
        <v>10814</v>
      </c>
      <c r="B4721" t="s">
        <v>11</v>
      </c>
      <c r="C4721">
        <v>14</v>
      </c>
      <c r="D4721">
        <v>93</v>
      </c>
      <c r="E4721" t="s">
        <v>8</v>
      </c>
      <c r="F4721" t="s">
        <v>13</v>
      </c>
      <c r="G4721" t="s">
        <v>10</v>
      </c>
      <c r="H4721">
        <v>0</v>
      </c>
    </row>
    <row r="4722" spans="1:8" x14ac:dyDescent="0.35">
      <c r="A4722">
        <v>11668</v>
      </c>
      <c r="B4722" t="s">
        <v>7</v>
      </c>
      <c r="C4722">
        <v>6</v>
      </c>
      <c r="D4722">
        <v>189</v>
      </c>
      <c r="E4722" t="s">
        <v>8</v>
      </c>
      <c r="F4722" t="s">
        <v>9</v>
      </c>
      <c r="G4722" t="s">
        <v>12</v>
      </c>
      <c r="H4722">
        <v>0</v>
      </c>
    </row>
    <row r="4723" spans="1:8" x14ac:dyDescent="0.35">
      <c r="A4723">
        <v>17796</v>
      </c>
      <c r="B4723" t="s">
        <v>7</v>
      </c>
      <c r="C4723">
        <v>4</v>
      </c>
      <c r="D4723">
        <v>375</v>
      </c>
      <c r="E4723" t="s">
        <v>8</v>
      </c>
      <c r="F4723" t="s">
        <v>13</v>
      </c>
      <c r="G4723" t="s">
        <v>10</v>
      </c>
      <c r="H4723">
        <v>0</v>
      </c>
    </row>
    <row r="4724" spans="1:8" x14ac:dyDescent="0.35">
      <c r="A4724">
        <v>15768</v>
      </c>
      <c r="B4724" t="s">
        <v>7</v>
      </c>
      <c r="C4724">
        <v>1</v>
      </c>
      <c r="D4724">
        <v>192</v>
      </c>
      <c r="E4724" t="s">
        <v>8</v>
      </c>
      <c r="F4724" t="s">
        <v>9</v>
      </c>
      <c r="G4724" t="s">
        <v>12</v>
      </c>
      <c r="H4724">
        <v>0</v>
      </c>
    </row>
    <row r="4725" spans="1:8" x14ac:dyDescent="0.35">
      <c r="A4725">
        <v>19001</v>
      </c>
      <c r="B4725" t="s">
        <v>11</v>
      </c>
      <c r="C4725">
        <v>2</v>
      </c>
      <c r="D4725">
        <v>437</v>
      </c>
      <c r="E4725" t="s">
        <v>8</v>
      </c>
      <c r="F4725" t="s">
        <v>13</v>
      </c>
      <c r="G4725" t="s">
        <v>12</v>
      </c>
      <c r="H4725">
        <v>0</v>
      </c>
    </row>
    <row r="4726" spans="1:8" x14ac:dyDescent="0.35">
      <c r="A4726">
        <v>14057</v>
      </c>
      <c r="B4726" t="s">
        <v>7</v>
      </c>
      <c r="C4726">
        <v>10</v>
      </c>
      <c r="D4726">
        <v>89</v>
      </c>
      <c r="E4726" t="s">
        <v>15</v>
      </c>
      <c r="F4726" t="s">
        <v>13</v>
      </c>
      <c r="G4726" t="s">
        <v>16</v>
      </c>
      <c r="H4726">
        <v>1</v>
      </c>
    </row>
    <row r="4727" spans="1:8" x14ac:dyDescent="0.35">
      <c r="A4727">
        <v>11806</v>
      </c>
      <c r="B4727" t="s">
        <v>11</v>
      </c>
      <c r="C4727">
        <v>3</v>
      </c>
      <c r="D4727">
        <v>381</v>
      </c>
      <c r="E4727" t="s">
        <v>8</v>
      </c>
      <c r="F4727" t="s">
        <v>13</v>
      </c>
      <c r="G4727" t="s">
        <v>12</v>
      </c>
      <c r="H4727">
        <v>0</v>
      </c>
    </row>
    <row r="4728" spans="1:8" x14ac:dyDescent="0.35">
      <c r="A4728">
        <v>19337</v>
      </c>
      <c r="B4728" t="s">
        <v>7</v>
      </c>
      <c r="C4728">
        <v>6</v>
      </c>
      <c r="D4728">
        <v>354</v>
      </c>
      <c r="E4728" t="s">
        <v>15</v>
      </c>
      <c r="F4728" t="s">
        <v>9</v>
      </c>
      <c r="G4728" t="s">
        <v>14</v>
      </c>
      <c r="H4728">
        <v>1</v>
      </c>
    </row>
    <row r="4729" spans="1:8" x14ac:dyDescent="0.35">
      <c r="A4729">
        <v>17674</v>
      </c>
      <c r="B4729" t="s">
        <v>7</v>
      </c>
      <c r="C4729">
        <v>10</v>
      </c>
      <c r="D4729">
        <v>403</v>
      </c>
      <c r="E4729" t="s">
        <v>8</v>
      </c>
      <c r="F4729" t="s">
        <v>9</v>
      </c>
      <c r="G4729" t="s">
        <v>10</v>
      </c>
      <c r="H4729">
        <v>0</v>
      </c>
    </row>
    <row r="4730" spans="1:8" x14ac:dyDescent="0.35">
      <c r="A4730">
        <v>12392</v>
      </c>
      <c r="B4730" t="s">
        <v>7</v>
      </c>
      <c r="C4730">
        <v>10</v>
      </c>
      <c r="D4730">
        <v>311</v>
      </c>
      <c r="E4730" t="s">
        <v>8</v>
      </c>
      <c r="F4730" t="s">
        <v>9</v>
      </c>
      <c r="G4730" t="s">
        <v>16</v>
      </c>
      <c r="H4730">
        <v>0</v>
      </c>
    </row>
    <row r="4731" spans="1:8" x14ac:dyDescent="0.35">
      <c r="A4731">
        <v>13447</v>
      </c>
      <c r="B4731" t="s">
        <v>7</v>
      </c>
      <c r="C4731">
        <v>5</v>
      </c>
      <c r="D4731">
        <v>61</v>
      </c>
      <c r="E4731" t="s">
        <v>8</v>
      </c>
      <c r="F4731" t="s">
        <v>9</v>
      </c>
      <c r="G4731" t="s">
        <v>14</v>
      </c>
      <c r="H4731">
        <v>0</v>
      </c>
    </row>
    <row r="4732" spans="1:8" x14ac:dyDescent="0.35">
      <c r="A4732">
        <v>18503</v>
      </c>
      <c r="B4732" t="s">
        <v>7</v>
      </c>
      <c r="C4732">
        <v>7</v>
      </c>
      <c r="D4732">
        <v>108</v>
      </c>
      <c r="E4732" t="s">
        <v>8</v>
      </c>
      <c r="F4732" t="s">
        <v>13</v>
      </c>
      <c r="G4732" t="s">
        <v>16</v>
      </c>
      <c r="H4732">
        <v>0</v>
      </c>
    </row>
    <row r="4733" spans="1:8" x14ac:dyDescent="0.35">
      <c r="A4733">
        <v>19583</v>
      </c>
      <c r="B4733" t="s">
        <v>7</v>
      </c>
      <c r="C4733">
        <v>5</v>
      </c>
      <c r="D4733">
        <v>313</v>
      </c>
      <c r="E4733" t="s">
        <v>8</v>
      </c>
      <c r="F4733" t="s">
        <v>9</v>
      </c>
      <c r="G4733" t="s">
        <v>14</v>
      </c>
      <c r="H4733">
        <v>0</v>
      </c>
    </row>
    <row r="4734" spans="1:8" x14ac:dyDescent="0.35">
      <c r="A4734">
        <v>18413</v>
      </c>
      <c r="B4734" t="s">
        <v>11</v>
      </c>
      <c r="C4734">
        <v>1</v>
      </c>
      <c r="D4734">
        <v>293</v>
      </c>
      <c r="E4734" t="s">
        <v>8</v>
      </c>
      <c r="F4734" t="s">
        <v>9</v>
      </c>
      <c r="G4734" t="s">
        <v>10</v>
      </c>
      <c r="H4734">
        <v>0</v>
      </c>
    </row>
    <row r="4735" spans="1:8" x14ac:dyDescent="0.35">
      <c r="A4735">
        <v>18367</v>
      </c>
      <c r="B4735" t="s">
        <v>7</v>
      </c>
      <c r="C4735">
        <v>5</v>
      </c>
      <c r="D4735">
        <v>93</v>
      </c>
      <c r="E4735" t="s">
        <v>8</v>
      </c>
      <c r="F4735" t="s">
        <v>13</v>
      </c>
      <c r="G4735" t="s">
        <v>14</v>
      </c>
      <c r="H4735">
        <v>0</v>
      </c>
    </row>
    <row r="4736" spans="1:8" x14ac:dyDescent="0.35">
      <c r="A4736">
        <v>19837</v>
      </c>
      <c r="B4736" t="s">
        <v>7</v>
      </c>
      <c r="C4736">
        <v>7</v>
      </c>
      <c r="D4736">
        <v>449</v>
      </c>
      <c r="E4736" t="s">
        <v>15</v>
      </c>
      <c r="F4736" t="s">
        <v>9</v>
      </c>
      <c r="G4736" t="s">
        <v>12</v>
      </c>
      <c r="H4736">
        <v>1</v>
      </c>
    </row>
    <row r="4737" spans="1:8" x14ac:dyDescent="0.35">
      <c r="A4737">
        <v>12999</v>
      </c>
      <c r="B4737" t="s">
        <v>7</v>
      </c>
      <c r="C4737">
        <v>4</v>
      </c>
      <c r="D4737">
        <v>289</v>
      </c>
      <c r="E4737" t="s">
        <v>8</v>
      </c>
      <c r="F4737" t="s">
        <v>13</v>
      </c>
      <c r="G4737" t="s">
        <v>10</v>
      </c>
      <c r="H4737">
        <v>0</v>
      </c>
    </row>
    <row r="4738" spans="1:8" x14ac:dyDescent="0.35">
      <c r="A4738">
        <v>17561</v>
      </c>
      <c r="B4738" t="s">
        <v>11</v>
      </c>
      <c r="C4738">
        <v>5</v>
      </c>
      <c r="D4738">
        <v>445</v>
      </c>
      <c r="E4738" t="s">
        <v>8</v>
      </c>
      <c r="F4738" t="s">
        <v>9</v>
      </c>
      <c r="G4738" t="s">
        <v>16</v>
      </c>
      <c r="H4738">
        <v>0</v>
      </c>
    </row>
    <row r="4739" spans="1:8" x14ac:dyDescent="0.35">
      <c r="A4739">
        <v>18310</v>
      </c>
      <c r="B4739" t="s">
        <v>7</v>
      </c>
      <c r="C4739">
        <v>4</v>
      </c>
      <c r="D4739">
        <v>348</v>
      </c>
      <c r="E4739" t="s">
        <v>8</v>
      </c>
      <c r="F4739" t="s">
        <v>9</v>
      </c>
      <c r="G4739" t="s">
        <v>16</v>
      </c>
      <c r="H4739">
        <v>0</v>
      </c>
    </row>
    <row r="4740" spans="1:8" x14ac:dyDescent="0.35">
      <c r="A4740">
        <v>15747</v>
      </c>
      <c r="B4740" t="s">
        <v>11</v>
      </c>
      <c r="C4740">
        <v>14</v>
      </c>
      <c r="D4740">
        <v>40</v>
      </c>
      <c r="E4740" t="s">
        <v>8</v>
      </c>
      <c r="F4740" t="s">
        <v>9</v>
      </c>
      <c r="G4740" t="s">
        <v>10</v>
      </c>
      <c r="H4740">
        <v>0</v>
      </c>
    </row>
    <row r="4741" spans="1:8" x14ac:dyDescent="0.35">
      <c r="A4741">
        <v>12384</v>
      </c>
      <c r="B4741" t="s">
        <v>7</v>
      </c>
      <c r="C4741">
        <v>10</v>
      </c>
      <c r="D4741">
        <v>138</v>
      </c>
      <c r="E4741" t="s">
        <v>8</v>
      </c>
      <c r="F4741" t="s">
        <v>9</v>
      </c>
      <c r="G4741" t="s">
        <v>16</v>
      </c>
      <c r="H4741">
        <v>0</v>
      </c>
    </row>
    <row r="4742" spans="1:8" x14ac:dyDescent="0.35">
      <c r="A4742">
        <v>18488</v>
      </c>
      <c r="B4742" t="s">
        <v>11</v>
      </c>
      <c r="C4742">
        <v>10</v>
      </c>
      <c r="D4742">
        <v>139</v>
      </c>
      <c r="E4742" t="s">
        <v>8</v>
      </c>
      <c r="F4742" t="s">
        <v>13</v>
      </c>
      <c r="G4742" t="s">
        <v>12</v>
      </c>
      <c r="H4742">
        <v>0</v>
      </c>
    </row>
    <row r="4743" spans="1:8" x14ac:dyDescent="0.35">
      <c r="A4743">
        <v>16897</v>
      </c>
      <c r="B4743" t="s">
        <v>11</v>
      </c>
      <c r="C4743">
        <v>5</v>
      </c>
      <c r="D4743">
        <v>306</v>
      </c>
      <c r="E4743" t="s">
        <v>8</v>
      </c>
      <c r="F4743" t="s">
        <v>13</v>
      </c>
      <c r="G4743" t="s">
        <v>14</v>
      </c>
      <c r="H4743">
        <v>0</v>
      </c>
    </row>
    <row r="4744" spans="1:8" x14ac:dyDescent="0.35">
      <c r="A4744">
        <v>14912</v>
      </c>
      <c r="B4744" t="s">
        <v>11</v>
      </c>
      <c r="C4744">
        <v>1</v>
      </c>
      <c r="D4744">
        <v>114</v>
      </c>
      <c r="E4744" t="s">
        <v>15</v>
      </c>
      <c r="F4744" t="s">
        <v>13</v>
      </c>
      <c r="G4744" t="s">
        <v>10</v>
      </c>
      <c r="H4744">
        <v>1</v>
      </c>
    </row>
    <row r="4745" spans="1:8" x14ac:dyDescent="0.35">
      <c r="A4745">
        <v>15529</v>
      </c>
      <c r="B4745" t="s">
        <v>7</v>
      </c>
      <c r="C4745">
        <v>9</v>
      </c>
      <c r="D4745">
        <v>341</v>
      </c>
      <c r="E4745" t="s">
        <v>8</v>
      </c>
      <c r="F4745" t="s">
        <v>9</v>
      </c>
      <c r="G4745" t="s">
        <v>10</v>
      </c>
      <c r="H4745">
        <v>0</v>
      </c>
    </row>
    <row r="4746" spans="1:8" x14ac:dyDescent="0.35">
      <c r="A4746">
        <v>13899</v>
      </c>
      <c r="B4746" t="s">
        <v>7</v>
      </c>
      <c r="C4746">
        <v>4</v>
      </c>
      <c r="D4746">
        <v>84</v>
      </c>
      <c r="E4746" t="s">
        <v>8</v>
      </c>
      <c r="F4746" t="s">
        <v>13</v>
      </c>
      <c r="G4746" t="s">
        <v>14</v>
      </c>
      <c r="H4746">
        <v>0</v>
      </c>
    </row>
    <row r="4747" spans="1:8" x14ac:dyDescent="0.35">
      <c r="A4747">
        <v>13843</v>
      </c>
      <c r="B4747" t="s">
        <v>7</v>
      </c>
      <c r="C4747">
        <v>8</v>
      </c>
      <c r="D4747">
        <v>396</v>
      </c>
      <c r="E4747" t="s">
        <v>8</v>
      </c>
      <c r="F4747" t="s">
        <v>13</v>
      </c>
      <c r="G4747" t="s">
        <v>12</v>
      </c>
      <c r="H4747">
        <v>0</v>
      </c>
    </row>
    <row r="4748" spans="1:8" x14ac:dyDescent="0.35">
      <c r="A4748">
        <v>16827</v>
      </c>
      <c r="B4748" t="s">
        <v>11</v>
      </c>
      <c r="C4748">
        <v>13</v>
      </c>
      <c r="D4748">
        <v>312</v>
      </c>
      <c r="E4748" t="s">
        <v>8</v>
      </c>
      <c r="F4748" t="s">
        <v>13</v>
      </c>
      <c r="G4748" t="s">
        <v>16</v>
      </c>
      <c r="H4748">
        <v>0</v>
      </c>
    </row>
    <row r="4749" spans="1:8" x14ac:dyDescent="0.35">
      <c r="A4749">
        <v>17513</v>
      </c>
      <c r="B4749" t="s">
        <v>7</v>
      </c>
      <c r="C4749">
        <v>7</v>
      </c>
      <c r="D4749">
        <v>114</v>
      </c>
      <c r="E4749" t="s">
        <v>8</v>
      </c>
      <c r="F4749" t="s">
        <v>13</v>
      </c>
      <c r="G4749" t="s">
        <v>12</v>
      </c>
      <c r="H4749">
        <v>0</v>
      </c>
    </row>
    <row r="4750" spans="1:8" x14ac:dyDescent="0.35">
      <c r="A4750">
        <v>15114</v>
      </c>
      <c r="B4750" t="s">
        <v>7</v>
      </c>
      <c r="C4750">
        <v>12</v>
      </c>
      <c r="D4750">
        <v>112</v>
      </c>
      <c r="E4750" t="s">
        <v>15</v>
      </c>
      <c r="F4750" t="s">
        <v>13</v>
      </c>
      <c r="G4750" t="s">
        <v>16</v>
      </c>
      <c r="H4750">
        <v>1</v>
      </c>
    </row>
    <row r="4751" spans="1:8" x14ac:dyDescent="0.35">
      <c r="A4751">
        <v>16868</v>
      </c>
      <c r="B4751" t="s">
        <v>7</v>
      </c>
      <c r="C4751">
        <v>9</v>
      </c>
      <c r="D4751">
        <v>232</v>
      </c>
      <c r="E4751" t="s">
        <v>15</v>
      </c>
      <c r="F4751" t="s">
        <v>9</v>
      </c>
      <c r="G4751" t="s">
        <v>14</v>
      </c>
      <c r="H4751">
        <v>1</v>
      </c>
    </row>
    <row r="4752" spans="1:8" x14ac:dyDescent="0.35">
      <c r="A4752">
        <v>12540</v>
      </c>
      <c r="B4752" t="s">
        <v>11</v>
      </c>
      <c r="C4752">
        <v>10</v>
      </c>
      <c r="D4752">
        <v>402</v>
      </c>
      <c r="E4752" t="s">
        <v>8</v>
      </c>
      <c r="F4752" t="s">
        <v>9</v>
      </c>
      <c r="G4752" t="s">
        <v>12</v>
      </c>
      <c r="H4752">
        <v>0</v>
      </c>
    </row>
    <row r="4753" spans="1:8" x14ac:dyDescent="0.35">
      <c r="A4753">
        <v>18625</v>
      </c>
      <c r="B4753" t="s">
        <v>7</v>
      </c>
      <c r="C4753">
        <v>1</v>
      </c>
      <c r="D4753">
        <v>173</v>
      </c>
      <c r="E4753" t="s">
        <v>8</v>
      </c>
      <c r="F4753" t="s">
        <v>13</v>
      </c>
      <c r="G4753" t="s">
        <v>10</v>
      </c>
      <c r="H4753">
        <v>0</v>
      </c>
    </row>
    <row r="4754" spans="1:8" x14ac:dyDescent="0.35">
      <c r="A4754">
        <v>18451</v>
      </c>
      <c r="B4754" t="s">
        <v>7</v>
      </c>
      <c r="C4754">
        <v>12</v>
      </c>
      <c r="D4754">
        <v>426</v>
      </c>
      <c r="E4754" t="s">
        <v>15</v>
      </c>
      <c r="F4754" t="s">
        <v>9</v>
      </c>
      <c r="G4754" t="s">
        <v>16</v>
      </c>
      <c r="H4754">
        <v>1</v>
      </c>
    </row>
    <row r="4755" spans="1:8" x14ac:dyDescent="0.35">
      <c r="A4755">
        <v>15447</v>
      </c>
      <c r="B4755" t="s">
        <v>11</v>
      </c>
      <c r="C4755">
        <v>2</v>
      </c>
      <c r="D4755">
        <v>230</v>
      </c>
      <c r="E4755" t="s">
        <v>8</v>
      </c>
      <c r="F4755" t="s">
        <v>9</v>
      </c>
      <c r="G4755" t="s">
        <v>10</v>
      </c>
      <c r="H4755">
        <v>0</v>
      </c>
    </row>
    <row r="4756" spans="1:8" x14ac:dyDescent="0.35">
      <c r="A4756">
        <v>13445</v>
      </c>
      <c r="B4756" t="s">
        <v>7</v>
      </c>
      <c r="C4756">
        <v>13</v>
      </c>
      <c r="D4756">
        <v>339</v>
      </c>
      <c r="E4756" t="s">
        <v>8</v>
      </c>
      <c r="F4756" t="s">
        <v>13</v>
      </c>
      <c r="G4756" t="s">
        <v>12</v>
      </c>
      <c r="H4756">
        <v>0</v>
      </c>
    </row>
    <row r="4757" spans="1:8" x14ac:dyDescent="0.35">
      <c r="A4757">
        <v>13586</v>
      </c>
      <c r="B4757" t="s">
        <v>11</v>
      </c>
      <c r="C4757">
        <v>2</v>
      </c>
      <c r="D4757">
        <v>286</v>
      </c>
      <c r="E4757" t="s">
        <v>8</v>
      </c>
      <c r="F4757" t="s">
        <v>13</v>
      </c>
      <c r="G4757" t="s">
        <v>12</v>
      </c>
      <c r="H4757">
        <v>0</v>
      </c>
    </row>
    <row r="4758" spans="1:8" x14ac:dyDescent="0.35">
      <c r="A4758">
        <v>10779</v>
      </c>
      <c r="B4758" t="s">
        <v>7</v>
      </c>
      <c r="C4758">
        <v>11</v>
      </c>
      <c r="D4758">
        <v>325</v>
      </c>
      <c r="E4758" t="s">
        <v>8</v>
      </c>
      <c r="F4758" t="s">
        <v>9</v>
      </c>
      <c r="G4758" t="s">
        <v>16</v>
      </c>
      <c r="H4758">
        <v>0</v>
      </c>
    </row>
    <row r="4759" spans="1:8" x14ac:dyDescent="0.35">
      <c r="A4759">
        <v>16383</v>
      </c>
      <c r="B4759" t="s">
        <v>7</v>
      </c>
      <c r="C4759">
        <v>10</v>
      </c>
      <c r="D4759">
        <v>114</v>
      </c>
      <c r="E4759" t="s">
        <v>8</v>
      </c>
      <c r="F4759" t="s">
        <v>9</v>
      </c>
      <c r="G4759" t="s">
        <v>16</v>
      </c>
      <c r="H4759">
        <v>0</v>
      </c>
    </row>
    <row r="4760" spans="1:8" x14ac:dyDescent="0.35">
      <c r="A4760">
        <v>14049</v>
      </c>
      <c r="B4760" t="s">
        <v>11</v>
      </c>
      <c r="C4760">
        <v>11</v>
      </c>
      <c r="D4760">
        <v>308</v>
      </c>
      <c r="E4760" t="s">
        <v>8</v>
      </c>
      <c r="F4760" t="s">
        <v>13</v>
      </c>
      <c r="G4760" t="s">
        <v>14</v>
      </c>
      <c r="H4760">
        <v>0</v>
      </c>
    </row>
    <row r="4761" spans="1:8" x14ac:dyDescent="0.35">
      <c r="A4761">
        <v>14579</v>
      </c>
      <c r="B4761" t="s">
        <v>11</v>
      </c>
      <c r="C4761">
        <v>9</v>
      </c>
      <c r="D4761">
        <v>274</v>
      </c>
      <c r="E4761" t="s">
        <v>8</v>
      </c>
      <c r="F4761" t="s">
        <v>13</v>
      </c>
      <c r="G4761" t="s">
        <v>14</v>
      </c>
      <c r="H4761">
        <v>0</v>
      </c>
    </row>
    <row r="4762" spans="1:8" x14ac:dyDescent="0.35">
      <c r="A4762">
        <v>11801</v>
      </c>
      <c r="B4762" t="s">
        <v>11</v>
      </c>
      <c r="C4762">
        <v>12</v>
      </c>
      <c r="D4762">
        <v>406</v>
      </c>
      <c r="E4762" t="s">
        <v>8</v>
      </c>
      <c r="F4762" t="s">
        <v>9</v>
      </c>
      <c r="G4762" t="s">
        <v>10</v>
      </c>
      <c r="H4762">
        <v>0</v>
      </c>
    </row>
    <row r="4763" spans="1:8" x14ac:dyDescent="0.35">
      <c r="A4763">
        <v>16319</v>
      </c>
      <c r="B4763" t="s">
        <v>11</v>
      </c>
      <c r="C4763">
        <v>8</v>
      </c>
      <c r="D4763">
        <v>78</v>
      </c>
      <c r="E4763" t="s">
        <v>8</v>
      </c>
      <c r="F4763" t="s">
        <v>13</v>
      </c>
      <c r="G4763" t="s">
        <v>14</v>
      </c>
      <c r="H4763">
        <v>0</v>
      </c>
    </row>
    <row r="4764" spans="1:8" x14ac:dyDescent="0.35">
      <c r="A4764">
        <v>15132</v>
      </c>
      <c r="B4764" t="s">
        <v>11</v>
      </c>
      <c r="C4764">
        <v>5</v>
      </c>
      <c r="D4764">
        <v>401</v>
      </c>
      <c r="E4764" t="s">
        <v>8</v>
      </c>
      <c r="F4764" t="s">
        <v>13</v>
      </c>
      <c r="G4764" t="s">
        <v>12</v>
      </c>
      <c r="H4764">
        <v>0</v>
      </c>
    </row>
    <row r="4765" spans="1:8" x14ac:dyDescent="0.35">
      <c r="A4765">
        <v>12704</v>
      </c>
      <c r="B4765" t="s">
        <v>11</v>
      </c>
      <c r="C4765">
        <v>1</v>
      </c>
      <c r="D4765">
        <v>105</v>
      </c>
      <c r="E4765" t="s">
        <v>8</v>
      </c>
      <c r="F4765" t="s">
        <v>13</v>
      </c>
      <c r="G4765" t="s">
        <v>12</v>
      </c>
      <c r="H4765">
        <v>0</v>
      </c>
    </row>
    <row r="4766" spans="1:8" x14ac:dyDescent="0.35">
      <c r="A4766">
        <v>14424</v>
      </c>
      <c r="B4766" t="s">
        <v>11</v>
      </c>
      <c r="C4766">
        <v>8</v>
      </c>
      <c r="D4766">
        <v>397</v>
      </c>
      <c r="E4766" t="s">
        <v>8</v>
      </c>
      <c r="F4766" t="s">
        <v>13</v>
      </c>
      <c r="G4766" t="s">
        <v>10</v>
      </c>
      <c r="H4766">
        <v>0</v>
      </c>
    </row>
    <row r="4767" spans="1:8" x14ac:dyDescent="0.35">
      <c r="A4767">
        <v>19989</v>
      </c>
      <c r="B4767" t="s">
        <v>7</v>
      </c>
      <c r="C4767">
        <v>9</v>
      </c>
      <c r="D4767">
        <v>433</v>
      </c>
      <c r="E4767" t="s">
        <v>15</v>
      </c>
      <c r="F4767" t="s">
        <v>9</v>
      </c>
      <c r="G4767" t="s">
        <v>12</v>
      </c>
      <c r="H4767">
        <v>1</v>
      </c>
    </row>
    <row r="4768" spans="1:8" x14ac:dyDescent="0.35">
      <c r="A4768">
        <v>15303</v>
      </c>
      <c r="B4768" t="s">
        <v>7</v>
      </c>
      <c r="C4768">
        <v>10</v>
      </c>
      <c r="D4768">
        <v>141</v>
      </c>
      <c r="E4768" t="s">
        <v>8</v>
      </c>
      <c r="F4768" t="s">
        <v>9</v>
      </c>
      <c r="G4768" t="s">
        <v>16</v>
      </c>
      <c r="H4768">
        <v>0</v>
      </c>
    </row>
    <row r="4769" spans="1:8" x14ac:dyDescent="0.35">
      <c r="A4769">
        <v>19635</v>
      </c>
      <c r="B4769" t="s">
        <v>11</v>
      </c>
      <c r="C4769">
        <v>4</v>
      </c>
      <c r="D4769">
        <v>292</v>
      </c>
      <c r="E4769" t="s">
        <v>8</v>
      </c>
      <c r="F4769" t="s">
        <v>13</v>
      </c>
      <c r="G4769" t="s">
        <v>10</v>
      </c>
      <c r="H4769">
        <v>0</v>
      </c>
    </row>
    <row r="4770" spans="1:8" x14ac:dyDescent="0.35">
      <c r="A4770">
        <v>17142</v>
      </c>
      <c r="B4770" t="s">
        <v>7</v>
      </c>
      <c r="C4770">
        <v>11</v>
      </c>
      <c r="D4770">
        <v>130</v>
      </c>
      <c r="E4770" t="s">
        <v>8</v>
      </c>
      <c r="F4770" t="s">
        <v>13</v>
      </c>
      <c r="G4770" t="s">
        <v>14</v>
      </c>
      <c r="H4770">
        <v>0</v>
      </c>
    </row>
    <row r="4771" spans="1:8" x14ac:dyDescent="0.35">
      <c r="A4771">
        <v>11521</v>
      </c>
      <c r="B4771" t="s">
        <v>7</v>
      </c>
      <c r="C4771">
        <v>10</v>
      </c>
      <c r="D4771">
        <v>114</v>
      </c>
      <c r="E4771" t="s">
        <v>8</v>
      </c>
      <c r="F4771" t="s">
        <v>9</v>
      </c>
      <c r="G4771" t="s">
        <v>14</v>
      </c>
      <c r="H4771">
        <v>0</v>
      </c>
    </row>
    <row r="4772" spans="1:8" x14ac:dyDescent="0.35">
      <c r="A4772">
        <v>16707</v>
      </c>
      <c r="B4772" t="s">
        <v>11</v>
      </c>
      <c r="C4772">
        <v>12</v>
      </c>
      <c r="D4772">
        <v>164</v>
      </c>
      <c r="E4772" t="s">
        <v>8</v>
      </c>
      <c r="F4772" t="s">
        <v>9</v>
      </c>
      <c r="G4772" t="s">
        <v>16</v>
      </c>
      <c r="H4772">
        <v>0</v>
      </c>
    </row>
    <row r="4773" spans="1:8" x14ac:dyDescent="0.35">
      <c r="A4773">
        <v>13238</v>
      </c>
      <c r="B4773" t="s">
        <v>11</v>
      </c>
      <c r="C4773">
        <v>6</v>
      </c>
      <c r="D4773">
        <v>391</v>
      </c>
      <c r="E4773" t="s">
        <v>8</v>
      </c>
      <c r="F4773" t="s">
        <v>13</v>
      </c>
      <c r="G4773" t="s">
        <v>14</v>
      </c>
      <c r="H4773">
        <v>0</v>
      </c>
    </row>
    <row r="4774" spans="1:8" x14ac:dyDescent="0.35">
      <c r="A4774">
        <v>11254</v>
      </c>
      <c r="B4774" t="s">
        <v>7</v>
      </c>
      <c r="C4774">
        <v>12</v>
      </c>
      <c r="D4774">
        <v>211</v>
      </c>
      <c r="E4774" t="s">
        <v>8</v>
      </c>
      <c r="F4774" t="s">
        <v>9</v>
      </c>
      <c r="G4774" t="s">
        <v>10</v>
      </c>
      <c r="H4774">
        <v>0</v>
      </c>
    </row>
    <row r="4775" spans="1:8" x14ac:dyDescent="0.35">
      <c r="A4775">
        <v>12702</v>
      </c>
      <c r="B4775" t="s">
        <v>11</v>
      </c>
      <c r="C4775">
        <v>2</v>
      </c>
      <c r="D4775">
        <v>286</v>
      </c>
      <c r="E4775" t="s">
        <v>15</v>
      </c>
      <c r="F4775" t="s">
        <v>9</v>
      </c>
      <c r="G4775" t="s">
        <v>10</v>
      </c>
      <c r="H4775">
        <v>1</v>
      </c>
    </row>
    <row r="4776" spans="1:8" x14ac:dyDescent="0.35">
      <c r="A4776">
        <v>16357</v>
      </c>
      <c r="B4776" t="s">
        <v>11</v>
      </c>
      <c r="C4776">
        <v>4</v>
      </c>
      <c r="D4776">
        <v>423</v>
      </c>
      <c r="E4776" t="s">
        <v>8</v>
      </c>
      <c r="F4776" t="s">
        <v>13</v>
      </c>
      <c r="G4776" t="s">
        <v>12</v>
      </c>
      <c r="H4776">
        <v>0</v>
      </c>
    </row>
    <row r="4777" spans="1:8" x14ac:dyDescent="0.35">
      <c r="A4777">
        <v>12569</v>
      </c>
      <c r="B4777" t="s">
        <v>11</v>
      </c>
      <c r="C4777">
        <v>4</v>
      </c>
      <c r="D4777">
        <v>391</v>
      </c>
      <c r="E4777" t="s">
        <v>8</v>
      </c>
      <c r="F4777" t="s">
        <v>9</v>
      </c>
      <c r="G4777" t="s">
        <v>14</v>
      </c>
      <c r="H4777">
        <v>0</v>
      </c>
    </row>
    <row r="4778" spans="1:8" x14ac:dyDescent="0.35">
      <c r="A4778">
        <v>13886</v>
      </c>
      <c r="B4778" t="s">
        <v>11</v>
      </c>
      <c r="C4778">
        <v>8</v>
      </c>
      <c r="D4778">
        <v>94</v>
      </c>
      <c r="E4778" t="s">
        <v>8</v>
      </c>
      <c r="F4778" t="s">
        <v>9</v>
      </c>
      <c r="G4778" t="s">
        <v>10</v>
      </c>
      <c r="H4778">
        <v>0</v>
      </c>
    </row>
    <row r="4779" spans="1:8" x14ac:dyDescent="0.35">
      <c r="A4779">
        <v>10521</v>
      </c>
      <c r="B4779" t="s">
        <v>11</v>
      </c>
      <c r="C4779">
        <v>1</v>
      </c>
      <c r="D4779">
        <v>185</v>
      </c>
      <c r="E4779" t="s">
        <v>8</v>
      </c>
      <c r="F4779" t="s">
        <v>13</v>
      </c>
      <c r="G4779" t="s">
        <v>12</v>
      </c>
      <c r="H4779">
        <v>0</v>
      </c>
    </row>
    <row r="4780" spans="1:8" x14ac:dyDescent="0.35">
      <c r="A4780">
        <v>18573</v>
      </c>
      <c r="B4780" t="s">
        <v>7</v>
      </c>
      <c r="C4780">
        <v>3</v>
      </c>
      <c r="D4780">
        <v>422</v>
      </c>
      <c r="E4780" t="s">
        <v>15</v>
      </c>
      <c r="F4780" t="s">
        <v>13</v>
      </c>
      <c r="G4780" t="s">
        <v>10</v>
      </c>
      <c r="H4780">
        <v>1</v>
      </c>
    </row>
    <row r="4781" spans="1:8" x14ac:dyDescent="0.35">
      <c r="A4781">
        <v>13734</v>
      </c>
      <c r="B4781" t="s">
        <v>7</v>
      </c>
      <c r="C4781">
        <v>12</v>
      </c>
      <c r="D4781">
        <v>377</v>
      </c>
      <c r="E4781" t="s">
        <v>8</v>
      </c>
      <c r="F4781" t="s">
        <v>9</v>
      </c>
      <c r="G4781" t="s">
        <v>10</v>
      </c>
      <c r="H4781">
        <v>0</v>
      </c>
    </row>
    <row r="4782" spans="1:8" x14ac:dyDescent="0.35">
      <c r="A4782">
        <v>10040</v>
      </c>
      <c r="B4782" t="s">
        <v>11</v>
      </c>
      <c r="C4782">
        <v>3</v>
      </c>
      <c r="D4782">
        <v>112</v>
      </c>
      <c r="E4782" t="s">
        <v>8</v>
      </c>
      <c r="F4782" t="s">
        <v>13</v>
      </c>
      <c r="G4782" t="s">
        <v>16</v>
      </c>
      <c r="H4782">
        <v>0</v>
      </c>
    </row>
    <row r="4783" spans="1:8" x14ac:dyDescent="0.35">
      <c r="A4783">
        <v>17488</v>
      </c>
      <c r="B4783" t="s">
        <v>7</v>
      </c>
      <c r="C4783">
        <v>10</v>
      </c>
      <c r="D4783">
        <v>445</v>
      </c>
      <c r="E4783" t="s">
        <v>15</v>
      </c>
      <c r="F4783" t="s">
        <v>13</v>
      </c>
      <c r="G4783" t="s">
        <v>12</v>
      </c>
      <c r="H4783">
        <v>1</v>
      </c>
    </row>
    <row r="4784" spans="1:8" x14ac:dyDescent="0.35">
      <c r="A4784">
        <v>12812</v>
      </c>
      <c r="B4784" t="s">
        <v>7</v>
      </c>
      <c r="C4784">
        <v>3</v>
      </c>
      <c r="D4784">
        <v>261</v>
      </c>
      <c r="E4784" t="s">
        <v>8</v>
      </c>
      <c r="F4784" t="s">
        <v>13</v>
      </c>
      <c r="G4784" t="s">
        <v>14</v>
      </c>
      <c r="H4784">
        <v>0</v>
      </c>
    </row>
    <row r="4785" spans="1:8" x14ac:dyDescent="0.35">
      <c r="A4785">
        <v>12743</v>
      </c>
      <c r="B4785" t="s">
        <v>11</v>
      </c>
      <c r="C4785">
        <v>13</v>
      </c>
      <c r="D4785">
        <v>428</v>
      </c>
      <c r="E4785" t="s">
        <v>8</v>
      </c>
      <c r="F4785" t="s">
        <v>13</v>
      </c>
      <c r="G4785" t="s">
        <v>16</v>
      </c>
      <c r="H4785">
        <v>0</v>
      </c>
    </row>
    <row r="4786" spans="1:8" x14ac:dyDescent="0.35">
      <c r="A4786">
        <v>10155</v>
      </c>
      <c r="B4786" t="s">
        <v>7</v>
      </c>
      <c r="C4786">
        <v>10</v>
      </c>
      <c r="D4786">
        <v>266</v>
      </c>
      <c r="E4786" t="s">
        <v>8</v>
      </c>
      <c r="F4786" t="s">
        <v>9</v>
      </c>
      <c r="G4786" t="s">
        <v>12</v>
      </c>
      <c r="H4786">
        <v>0</v>
      </c>
    </row>
    <row r="4787" spans="1:8" x14ac:dyDescent="0.35">
      <c r="A4787">
        <v>11259</v>
      </c>
      <c r="B4787" t="s">
        <v>7</v>
      </c>
      <c r="C4787">
        <v>1</v>
      </c>
      <c r="D4787">
        <v>279</v>
      </c>
      <c r="E4787" t="s">
        <v>8</v>
      </c>
      <c r="F4787" t="s">
        <v>13</v>
      </c>
      <c r="G4787" t="s">
        <v>10</v>
      </c>
      <c r="H4787">
        <v>0</v>
      </c>
    </row>
    <row r="4788" spans="1:8" x14ac:dyDescent="0.35">
      <c r="A4788">
        <v>11515</v>
      </c>
      <c r="B4788" t="s">
        <v>11</v>
      </c>
      <c r="C4788">
        <v>14</v>
      </c>
      <c r="D4788">
        <v>258</v>
      </c>
      <c r="E4788" t="s">
        <v>8</v>
      </c>
      <c r="F4788" t="s">
        <v>9</v>
      </c>
      <c r="G4788" t="s">
        <v>12</v>
      </c>
      <c r="H4788">
        <v>0</v>
      </c>
    </row>
    <row r="4789" spans="1:8" x14ac:dyDescent="0.35">
      <c r="A4789">
        <v>12156</v>
      </c>
      <c r="B4789" t="s">
        <v>7</v>
      </c>
      <c r="C4789">
        <v>2</v>
      </c>
      <c r="D4789">
        <v>272</v>
      </c>
      <c r="E4789" t="s">
        <v>8</v>
      </c>
      <c r="F4789" t="s">
        <v>13</v>
      </c>
      <c r="G4789" t="s">
        <v>14</v>
      </c>
      <c r="H4789">
        <v>0</v>
      </c>
    </row>
    <row r="4790" spans="1:8" x14ac:dyDescent="0.35">
      <c r="A4790">
        <v>14316</v>
      </c>
      <c r="B4790" t="s">
        <v>11</v>
      </c>
      <c r="C4790">
        <v>11</v>
      </c>
      <c r="D4790">
        <v>149</v>
      </c>
      <c r="E4790" t="s">
        <v>8</v>
      </c>
      <c r="F4790" t="s">
        <v>9</v>
      </c>
      <c r="G4790" t="s">
        <v>14</v>
      </c>
      <c r="H4790">
        <v>0</v>
      </c>
    </row>
    <row r="4791" spans="1:8" x14ac:dyDescent="0.35">
      <c r="A4791">
        <v>14559</v>
      </c>
      <c r="B4791" t="s">
        <v>11</v>
      </c>
      <c r="C4791">
        <v>1</v>
      </c>
      <c r="D4791">
        <v>320</v>
      </c>
      <c r="E4791" t="s">
        <v>8</v>
      </c>
      <c r="F4791" t="s">
        <v>9</v>
      </c>
      <c r="G4791" t="s">
        <v>14</v>
      </c>
      <c r="H4791">
        <v>0</v>
      </c>
    </row>
    <row r="4792" spans="1:8" x14ac:dyDescent="0.35">
      <c r="A4792">
        <v>18549</v>
      </c>
      <c r="B4792" t="s">
        <v>7</v>
      </c>
      <c r="C4792">
        <v>7</v>
      </c>
      <c r="D4792">
        <v>326</v>
      </c>
      <c r="E4792" t="s">
        <v>8</v>
      </c>
      <c r="F4792" t="s">
        <v>9</v>
      </c>
      <c r="G4792" t="s">
        <v>12</v>
      </c>
      <c r="H4792">
        <v>0</v>
      </c>
    </row>
    <row r="4793" spans="1:8" x14ac:dyDescent="0.35">
      <c r="A4793">
        <v>13435</v>
      </c>
      <c r="B4793" t="s">
        <v>7</v>
      </c>
      <c r="C4793">
        <v>12</v>
      </c>
      <c r="D4793">
        <v>162</v>
      </c>
      <c r="E4793" t="s">
        <v>8</v>
      </c>
      <c r="F4793" t="s">
        <v>9</v>
      </c>
      <c r="G4793" t="s">
        <v>14</v>
      </c>
      <c r="H4793">
        <v>0</v>
      </c>
    </row>
    <row r="4794" spans="1:8" x14ac:dyDescent="0.35">
      <c r="A4794">
        <v>18821</v>
      </c>
      <c r="B4794" t="s">
        <v>7</v>
      </c>
      <c r="C4794">
        <v>7</v>
      </c>
      <c r="D4794">
        <v>351</v>
      </c>
      <c r="E4794" t="s">
        <v>8</v>
      </c>
      <c r="F4794" t="s">
        <v>13</v>
      </c>
      <c r="G4794" t="s">
        <v>12</v>
      </c>
      <c r="H4794">
        <v>0</v>
      </c>
    </row>
    <row r="4795" spans="1:8" x14ac:dyDescent="0.35">
      <c r="A4795">
        <v>12872</v>
      </c>
      <c r="B4795" t="s">
        <v>11</v>
      </c>
      <c r="C4795">
        <v>7</v>
      </c>
      <c r="D4795">
        <v>129</v>
      </c>
      <c r="E4795" t="s">
        <v>8</v>
      </c>
      <c r="F4795" t="s">
        <v>9</v>
      </c>
      <c r="G4795" t="s">
        <v>12</v>
      </c>
      <c r="H4795">
        <v>0</v>
      </c>
    </row>
    <row r="4796" spans="1:8" x14ac:dyDescent="0.35">
      <c r="A4796">
        <v>15075</v>
      </c>
      <c r="B4796" t="s">
        <v>11</v>
      </c>
      <c r="C4796">
        <v>7</v>
      </c>
      <c r="D4796">
        <v>359</v>
      </c>
      <c r="E4796" t="s">
        <v>8</v>
      </c>
      <c r="F4796" t="s">
        <v>13</v>
      </c>
      <c r="G4796" t="s">
        <v>14</v>
      </c>
      <c r="H4796">
        <v>0</v>
      </c>
    </row>
    <row r="4797" spans="1:8" x14ac:dyDescent="0.35">
      <c r="A4797">
        <v>18608</v>
      </c>
      <c r="B4797" t="s">
        <v>11</v>
      </c>
      <c r="C4797">
        <v>13</v>
      </c>
      <c r="D4797">
        <v>105</v>
      </c>
      <c r="E4797" t="s">
        <v>15</v>
      </c>
      <c r="F4797" t="s">
        <v>9</v>
      </c>
      <c r="G4797" t="s">
        <v>14</v>
      </c>
      <c r="H4797">
        <v>1</v>
      </c>
    </row>
    <row r="4798" spans="1:8" x14ac:dyDescent="0.35">
      <c r="A4798">
        <v>14787</v>
      </c>
      <c r="B4798" t="s">
        <v>11</v>
      </c>
      <c r="C4798">
        <v>7</v>
      </c>
      <c r="D4798">
        <v>158</v>
      </c>
      <c r="E4798" t="s">
        <v>8</v>
      </c>
      <c r="F4798" t="s">
        <v>13</v>
      </c>
      <c r="G4798" t="s">
        <v>14</v>
      </c>
      <c r="H4798">
        <v>0</v>
      </c>
    </row>
    <row r="4799" spans="1:8" x14ac:dyDescent="0.35">
      <c r="A4799">
        <v>11857</v>
      </c>
      <c r="B4799" t="s">
        <v>7</v>
      </c>
      <c r="C4799">
        <v>8</v>
      </c>
      <c r="D4799">
        <v>239</v>
      </c>
      <c r="E4799" t="s">
        <v>8</v>
      </c>
      <c r="F4799" t="s">
        <v>13</v>
      </c>
      <c r="G4799" t="s">
        <v>14</v>
      </c>
      <c r="H4799">
        <v>0</v>
      </c>
    </row>
    <row r="4800" spans="1:8" x14ac:dyDescent="0.35">
      <c r="A4800">
        <v>18329</v>
      </c>
      <c r="B4800" t="s">
        <v>11</v>
      </c>
      <c r="C4800">
        <v>6</v>
      </c>
      <c r="D4800">
        <v>109</v>
      </c>
      <c r="E4800" t="s">
        <v>8</v>
      </c>
      <c r="F4800" t="s">
        <v>13</v>
      </c>
      <c r="G4800" t="s">
        <v>10</v>
      </c>
      <c r="H4800">
        <v>0</v>
      </c>
    </row>
    <row r="4801" spans="1:8" x14ac:dyDescent="0.35">
      <c r="A4801">
        <v>14558</v>
      </c>
      <c r="B4801" t="s">
        <v>7</v>
      </c>
      <c r="C4801">
        <v>1</v>
      </c>
      <c r="D4801">
        <v>64</v>
      </c>
      <c r="E4801" t="s">
        <v>15</v>
      </c>
      <c r="F4801" t="s">
        <v>9</v>
      </c>
      <c r="G4801" t="s">
        <v>16</v>
      </c>
      <c r="H4801">
        <v>1</v>
      </c>
    </row>
    <row r="4802" spans="1:8" x14ac:dyDescent="0.35">
      <c r="A4802">
        <v>19395</v>
      </c>
      <c r="B4802" t="s">
        <v>7</v>
      </c>
      <c r="C4802">
        <v>10</v>
      </c>
      <c r="D4802">
        <v>114</v>
      </c>
      <c r="E4802" t="s">
        <v>8</v>
      </c>
      <c r="F4802" t="s">
        <v>9</v>
      </c>
      <c r="G4802" t="s">
        <v>12</v>
      </c>
      <c r="H4802">
        <v>0</v>
      </c>
    </row>
    <row r="4803" spans="1:8" x14ac:dyDescent="0.35">
      <c r="A4803">
        <v>13644</v>
      </c>
      <c r="B4803" t="s">
        <v>11</v>
      </c>
      <c r="C4803">
        <v>3</v>
      </c>
      <c r="D4803">
        <v>189</v>
      </c>
      <c r="E4803" t="s">
        <v>15</v>
      </c>
      <c r="F4803" t="s">
        <v>9</v>
      </c>
      <c r="G4803" t="s">
        <v>16</v>
      </c>
      <c r="H4803">
        <v>1</v>
      </c>
    </row>
    <row r="4804" spans="1:8" x14ac:dyDescent="0.35">
      <c r="A4804">
        <v>18446</v>
      </c>
      <c r="B4804" t="s">
        <v>7</v>
      </c>
      <c r="C4804">
        <v>4</v>
      </c>
      <c r="D4804">
        <v>181</v>
      </c>
      <c r="E4804" t="s">
        <v>8</v>
      </c>
      <c r="F4804" t="s">
        <v>13</v>
      </c>
      <c r="G4804" t="s">
        <v>14</v>
      </c>
      <c r="H4804">
        <v>0</v>
      </c>
    </row>
    <row r="4805" spans="1:8" x14ac:dyDescent="0.35">
      <c r="A4805">
        <v>17293</v>
      </c>
      <c r="B4805" t="s">
        <v>11</v>
      </c>
      <c r="C4805">
        <v>13</v>
      </c>
      <c r="D4805">
        <v>381</v>
      </c>
      <c r="E4805" t="s">
        <v>8</v>
      </c>
      <c r="F4805" t="s">
        <v>13</v>
      </c>
      <c r="G4805" t="s">
        <v>16</v>
      </c>
      <c r="H4805">
        <v>0</v>
      </c>
    </row>
    <row r="4806" spans="1:8" x14ac:dyDescent="0.35">
      <c r="A4806">
        <v>18057</v>
      </c>
      <c r="B4806" t="s">
        <v>11</v>
      </c>
      <c r="C4806">
        <v>10</v>
      </c>
      <c r="D4806">
        <v>188</v>
      </c>
      <c r="E4806" t="s">
        <v>8</v>
      </c>
      <c r="F4806" t="s">
        <v>13</v>
      </c>
      <c r="G4806" t="s">
        <v>16</v>
      </c>
      <c r="H4806">
        <v>0</v>
      </c>
    </row>
    <row r="4807" spans="1:8" x14ac:dyDescent="0.35">
      <c r="A4807">
        <v>10427</v>
      </c>
      <c r="B4807" t="s">
        <v>11</v>
      </c>
      <c r="C4807">
        <v>4</v>
      </c>
      <c r="D4807">
        <v>213</v>
      </c>
      <c r="E4807" t="s">
        <v>8</v>
      </c>
      <c r="F4807" t="s">
        <v>13</v>
      </c>
      <c r="G4807" t="s">
        <v>16</v>
      </c>
      <c r="H4807">
        <v>0</v>
      </c>
    </row>
    <row r="4808" spans="1:8" x14ac:dyDescent="0.35">
      <c r="A4808">
        <v>16881</v>
      </c>
      <c r="B4808" t="s">
        <v>11</v>
      </c>
      <c r="C4808">
        <v>11</v>
      </c>
      <c r="D4808">
        <v>223</v>
      </c>
      <c r="E4808" t="s">
        <v>8</v>
      </c>
      <c r="F4808" t="s">
        <v>9</v>
      </c>
      <c r="G4808" t="s">
        <v>10</v>
      </c>
      <c r="H4808">
        <v>0</v>
      </c>
    </row>
    <row r="4809" spans="1:8" x14ac:dyDescent="0.35">
      <c r="A4809">
        <v>17080</v>
      </c>
      <c r="B4809" t="s">
        <v>7</v>
      </c>
      <c r="C4809">
        <v>6</v>
      </c>
      <c r="D4809">
        <v>169</v>
      </c>
      <c r="E4809" t="s">
        <v>15</v>
      </c>
      <c r="F4809" t="s">
        <v>13</v>
      </c>
      <c r="G4809" t="s">
        <v>14</v>
      </c>
      <c r="H4809">
        <v>1</v>
      </c>
    </row>
    <row r="4810" spans="1:8" x14ac:dyDescent="0.35">
      <c r="A4810">
        <v>19600</v>
      </c>
      <c r="B4810" t="s">
        <v>11</v>
      </c>
      <c r="C4810">
        <v>13</v>
      </c>
      <c r="D4810">
        <v>401</v>
      </c>
      <c r="E4810" t="s">
        <v>8</v>
      </c>
      <c r="F4810" t="s">
        <v>9</v>
      </c>
      <c r="G4810" t="s">
        <v>12</v>
      </c>
      <c r="H4810">
        <v>0</v>
      </c>
    </row>
    <row r="4811" spans="1:8" x14ac:dyDescent="0.35">
      <c r="A4811">
        <v>18151</v>
      </c>
      <c r="B4811" t="s">
        <v>7</v>
      </c>
      <c r="C4811">
        <v>12</v>
      </c>
      <c r="D4811">
        <v>436</v>
      </c>
      <c r="E4811" t="s">
        <v>8</v>
      </c>
      <c r="F4811" t="s">
        <v>9</v>
      </c>
      <c r="G4811" t="s">
        <v>16</v>
      </c>
      <c r="H4811">
        <v>0</v>
      </c>
    </row>
    <row r="4812" spans="1:8" x14ac:dyDescent="0.35">
      <c r="A4812">
        <v>18338</v>
      </c>
      <c r="B4812" t="s">
        <v>11</v>
      </c>
      <c r="C4812">
        <v>2</v>
      </c>
      <c r="D4812">
        <v>211</v>
      </c>
      <c r="E4812" t="s">
        <v>8</v>
      </c>
      <c r="F4812" t="s">
        <v>9</v>
      </c>
      <c r="G4812" t="s">
        <v>16</v>
      </c>
      <c r="H4812">
        <v>0</v>
      </c>
    </row>
    <row r="4813" spans="1:8" x14ac:dyDescent="0.35">
      <c r="A4813">
        <v>13811</v>
      </c>
      <c r="B4813" t="s">
        <v>7</v>
      </c>
      <c r="C4813">
        <v>4</v>
      </c>
      <c r="D4813">
        <v>127</v>
      </c>
      <c r="E4813" t="s">
        <v>8</v>
      </c>
      <c r="F4813" t="s">
        <v>9</v>
      </c>
      <c r="G4813" t="s">
        <v>10</v>
      </c>
      <c r="H4813">
        <v>0</v>
      </c>
    </row>
    <row r="4814" spans="1:8" x14ac:dyDescent="0.35">
      <c r="A4814">
        <v>12029</v>
      </c>
      <c r="B4814" t="s">
        <v>7</v>
      </c>
      <c r="C4814">
        <v>5</v>
      </c>
      <c r="D4814">
        <v>263</v>
      </c>
      <c r="E4814" t="s">
        <v>8</v>
      </c>
      <c r="F4814" t="s">
        <v>9</v>
      </c>
      <c r="G4814" t="s">
        <v>16</v>
      </c>
      <c r="H4814">
        <v>0</v>
      </c>
    </row>
    <row r="4815" spans="1:8" x14ac:dyDescent="0.35">
      <c r="A4815">
        <v>13053</v>
      </c>
      <c r="B4815" t="s">
        <v>11</v>
      </c>
      <c r="C4815">
        <v>13</v>
      </c>
      <c r="D4815">
        <v>144</v>
      </c>
      <c r="E4815" t="s">
        <v>8</v>
      </c>
      <c r="F4815" t="s">
        <v>13</v>
      </c>
      <c r="G4815" t="s">
        <v>10</v>
      </c>
      <c r="H4815">
        <v>0</v>
      </c>
    </row>
    <row r="4816" spans="1:8" x14ac:dyDescent="0.35">
      <c r="A4816">
        <v>15723</v>
      </c>
      <c r="B4816" t="s">
        <v>11</v>
      </c>
      <c r="C4816">
        <v>7</v>
      </c>
      <c r="D4816">
        <v>373</v>
      </c>
      <c r="E4816" t="s">
        <v>8</v>
      </c>
      <c r="F4816" t="s">
        <v>13</v>
      </c>
      <c r="G4816" t="s">
        <v>14</v>
      </c>
      <c r="H4816">
        <v>0</v>
      </c>
    </row>
    <row r="4817" spans="1:8" x14ac:dyDescent="0.35">
      <c r="A4817">
        <v>17993</v>
      </c>
      <c r="B4817" t="s">
        <v>11</v>
      </c>
      <c r="C4817">
        <v>7</v>
      </c>
      <c r="D4817">
        <v>314</v>
      </c>
      <c r="E4817" t="s">
        <v>8</v>
      </c>
      <c r="F4817" t="s">
        <v>9</v>
      </c>
      <c r="G4817" t="s">
        <v>14</v>
      </c>
      <c r="H4817">
        <v>0</v>
      </c>
    </row>
    <row r="4818" spans="1:8" x14ac:dyDescent="0.35">
      <c r="A4818">
        <v>19652</v>
      </c>
      <c r="B4818" t="s">
        <v>11</v>
      </c>
      <c r="C4818">
        <v>13</v>
      </c>
      <c r="D4818">
        <v>302</v>
      </c>
      <c r="E4818" t="s">
        <v>8</v>
      </c>
      <c r="F4818" t="s">
        <v>9</v>
      </c>
      <c r="G4818" t="s">
        <v>14</v>
      </c>
      <c r="H4818">
        <v>0</v>
      </c>
    </row>
    <row r="4819" spans="1:8" x14ac:dyDescent="0.35">
      <c r="A4819">
        <v>13979</v>
      </c>
      <c r="B4819" t="s">
        <v>7</v>
      </c>
      <c r="C4819">
        <v>2</v>
      </c>
      <c r="D4819">
        <v>386</v>
      </c>
      <c r="E4819" t="s">
        <v>8</v>
      </c>
      <c r="F4819" t="s">
        <v>13</v>
      </c>
      <c r="G4819" t="s">
        <v>10</v>
      </c>
      <c r="H4819">
        <v>0</v>
      </c>
    </row>
    <row r="4820" spans="1:8" x14ac:dyDescent="0.35">
      <c r="A4820">
        <v>18886</v>
      </c>
      <c r="B4820" t="s">
        <v>11</v>
      </c>
      <c r="C4820">
        <v>1</v>
      </c>
      <c r="D4820">
        <v>434</v>
      </c>
      <c r="E4820" t="s">
        <v>8</v>
      </c>
      <c r="F4820" t="s">
        <v>9</v>
      </c>
      <c r="G4820" t="s">
        <v>14</v>
      </c>
      <c r="H4820">
        <v>0</v>
      </c>
    </row>
    <row r="4821" spans="1:8" x14ac:dyDescent="0.35">
      <c r="A4821">
        <v>15710</v>
      </c>
      <c r="B4821" t="s">
        <v>7</v>
      </c>
      <c r="C4821">
        <v>11</v>
      </c>
      <c r="D4821">
        <v>61</v>
      </c>
      <c r="E4821" t="s">
        <v>8</v>
      </c>
      <c r="F4821" t="s">
        <v>13</v>
      </c>
      <c r="G4821" t="s">
        <v>12</v>
      </c>
      <c r="H4821">
        <v>0</v>
      </c>
    </row>
    <row r="4822" spans="1:8" x14ac:dyDescent="0.35">
      <c r="A4822">
        <v>19869</v>
      </c>
      <c r="B4822" t="s">
        <v>7</v>
      </c>
      <c r="C4822">
        <v>13</v>
      </c>
      <c r="D4822">
        <v>59</v>
      </c>
      <c r="E4822" t="s">
        <v>8</v>
      </c>
      <c r="F4822" t="s">
        <v>13</v>
      </c>
      <c r="G4822" t="s">
        <v>12</v>
      </c>
      <c r="H4822">
        <v>0</v>
      </c>
    </row>
    <row r="4823" spans="1:8" x14ac:dyDescent="0.35">
      <c r="A4823">
        <v>13048</v>
      </c>
      <c r="B4823" t="s">
        <v>7</v>
      </c>
      <c r="C4823">
        <v>14</v>
      </c>
      <c r="D4823">
        <v>204</v>
      </c>
      <c r="E4823" t="s">
        <v>8</v>
      </c>
      <c r="F4823" t="s">
        <v>13</v>
      </c>
      <c r="G4823" t="s">
        <v>10</v>
      </c>
      <c r="H4823">
        <v>0</v>
      </c>
    </row>
    <row r="4824" spans="1:8" x14ac:dyDescent="0.35">
      <c r="A4824">
        <v>19341</v>
      </c>
      <c r="B4824" t="s">
        <v>7</v>
      </c>
      <c r="C4824">
        <v>5</v>
      </c>
      <c r="D4824">
        <v>315</v>
      </c>
      <c r="E4824" t="s">
        <v>8</v>
      </c>
      <c r="F4824" t="s">
        <v>9</v>
      </c>
      <c r="G4824" t="s">
        <v>10</v>
      </c>
      <c r="H4824">
        <v>0</v>
      </c>
    </row>
    <row r="4825" spans="1:8" x14ac:dyDescent="0.35">
      <c r="A4825">
        <v>17378</v>
      </c>
      <c r="B4825" t="s">
        <v>7</v>
      </c>
      <c r="C4825">
        <v>14</v>
      </c>
      <c r="D4825">
        <v>310</v>
      </c>
      <c r="E4825" t="s">
        <v>15</v>
      </c>
      <c r="F4825" t="s">
        <v>9</v>
      </c>
      <c r="G4825" t="s">
        <v>12</v>
      </c>
      <c r="H4825">
        <v>1</v>
      </c>
    </row>
    <row r="4826" spans="1:8" x14ac:dyDescent="0.35">
      <c r="A4826">
        <v>16676</v>
      </c>
      <c r="B4826" t="s">
        <v>11</v>
      </c>
      <c r="C4826">
        <v>9</v>
      </c>
      <c r="D4826">
        <v>418</v>
      </c>
      <c r="E4826" t="s">
        <v>8</v>
      </c>
      <c r="F4826" t="s">
        <v>13</v>
      </c>
      <c r="G4826" t="s">
        <v>16</v>
      </c>
      <c r="H4826">
        <v>0</v>
      </c>
    </row>
    <row r="4827" spans="1:8" x14ac:dyDescent="0.35">
      <c r="A4827">
        <v>19091</v>
      </c>
      <c r="B4827" t="s">
        <v>7</v>
      </c>
      <c r="C4827">
        <v>3</v>
      </c>
      <c r="D4827">
        <v>346</v>
      </c>
      <c r="E4827" t="s">
        <v>8</v>
      </c>
      <c r="F4827" t="s">
        <v>9</v>
      </c>
      <c r="G4827" t="s">
        <v>12</v>
      </c>
      <c r="H4827">
        <v>0</v>
      </c>
    </row>
    <row r="4828" spans="1:8" x14ac:dyDescent="0.35">
      <c r="A4828">
        <v>10812</v>
      </c>
      <c r="B4828" t="s">
        <v>7</v>
      </c>
      <c r="C4828">
        <v>6</v>
      </c>
      <c r="D4828">
        <v>53</v>
      </c>
      <c r="E4828" t="s">
        <v>8</v>
      </c>
      <c r="F4828" t="s">
        <v>9</v>
      </c>
      <c r="G4828" t="s">
        <v>16</v>
      </c>
      <c r="H4828">
        <v>0</v>
      </c>
    </row>
    <row r="4829" spans="1:8" x14ac:dyDescent="0.35">
      <c r="A4829">
        <v>16039</v>
      </c>
      <c r="B4829" t="s">
        <v>7</v>
      </c>
      <c r="C4829">
        <v>9</v>
      </c>
      <c r="D4829">
        <v>308</v>
      </c>
      <c r="E4829" t="s">
        <v>8</v>
      </c>
      <c r="F4829" t="s">
        <v>9</v>
      </c>
      <c r="G4829" t="s">
        <v>14</v>
      </c>
      <c r="H4829">
        <v>0</v>
      </c>
    </row>
    <row r="4830" spans="1:8" x14ac:dyDescent="0.35">
      <c r="A4830">
        <v>12749</v>
      </c>
      <c r="B4830" t="s">
        <v>7</v>
      </c>
      <c r="C4830">
        <v>5</v>
      </c>
      <c r="D4830">
        <v>175</v>
      </c>
      <c r="E4830" t="s">
        <v>8</v>
      </c>
      <c r="F4830" t="s">
        <v>13</v>
      </c>
      <c r="G4830" t="s">
        <v>14</v>
      </c>
      <c r="H4830">
        <v>0</v>
      </c>
    </row>
    <row r="4831" spans="1:8" x14ac:dyDescent="0.35">
      <c r="A4831">
        <v>15497</v>
      </c>
      <c r="B4831" t="s">
        <v>11</v>
      </c>
      <c r="C4831">
        <v>11</v>
      </c>
      <c r="D4831">
        <v>195</v>
      </c>
      <c r="E4831" t="s">
        <v>8</v>
      </c>
      <c r="F4831" t="s">
        <v>9</v>
      </c>
      <c r="G4831" t="s">
        <v>10</v>
      </c>
      <c r="H4831">
        <v>0</v>
      </c>
    </row>
    <row r="4832" spans="1:8" x14ac:dyDescent="0.35">
      <c r="A4832">
        <v>17998</v>
      </c>
      <c r="B4832" t="s">
        <v>7</v>
      </c>
      <c r="C4832">
        <v>11</v>
      </c>
      <c r="D4832">
        <v>341</v>
      </c>
      <c r="E4832" t="s">
        <v>8</v>
      </c>
      <c r="F4832" t="s">
        <v>9</v>
      </c>
      <c r="G4832" t="s">
        <v>10</v>
      </c>
      <c r="H4832">
        <v>0</v>
      </c>
    </row>
    <row r="4833" spans="1:8" x14ac:dyDescent="0.35">
      <c r="A4833">
        <v>18407</v>
      </c>
      <c r="B4833" t="s">
        <v>11</v>
      </c>
      <c r="C4833">
        <v>8</v>
      </c>
      <c r="D4833">
        <v>75</v>
      </c>
      <c r="E4833" t="s">
        <v>8</v>
      </c>
      <c r="F4833" t="s">
        <v>9</v>
      </c>
      <c r="G4833" t="s">
        <v>16</v>
      </c>
      <c r="H4833">
        <v>0</v>
      </c>
    </row>
    <row r="4834" spans="1:8" x14ac:dyDescent="0.35">
      <c r="A4834">
        <v>12545</v>
      </c>
      <c r="B4834" t="s">
        <v>11</v>
      </c>
      <c r="C4834">
        <v>10</v>
      </c>
      <c r="D4834">
        <v>156</v>
      </c>
      <c r="E4834" t="s">
        <v>8</v>
      </c>
      <c r="F4834" t="s">
        <v>9</v>
      </c>
      <c r="G4834" t="s">
        <v>10</v>
      </c>
      <c r="H4834">
        <v>0</v>
      </c>
    </row>
    <row r="4835" spans="1:8" x14ac:dyDescent="0.35">
      <c r="A4835">
        <v>15126</v>
      </c>
      <c r="B4835" t="s">
        <v>11</v>
      </c>
      <c r="C4835">
        <v>9</v>
      </c>
      <c r="D4835">
        <v>412</v>
      </c>
      <c r="E4835" t="s">
        <v>8</v>
      </c>
      <c r="F4835" t="s">
        <v>13</v>
      </c>
      <c r="G4835" t="s">
        <v>14</v>
      </c>
      <c r="H4835">
        <v>0</v>
      </c>
    </row>
    <row r="4836" spans="1:8" x14ac:dyDescent="0.35">
      <c r="A4836">
        <v>19592</v>
      </c>
      <c r="B4836" t="s">
        <v>7</v>
      </c>
      <c r="C4836">
        <v>11</v>
      </c>
      <c r="D4836">
        <v>140</v>
      </c>
      <c r="E4836" t="s">
        <v>8</v>
      </c>
      <c r="F4836" t="s">
        <v>9</v>
      </c>
      <c r="G4836" t="s">
        <v>12</v>
      </c>
      <c r="H4836">
        <v>0</v>
      </c>
    </row>
    <row r="4837" spans="1:8" x14ac:dyDescent="0.35">
      <c r="A4837">
        <v>18824</v>
      </c>
      <c r="B4837" t="s">
        <v>11</v>
      </c>
      <c r="C4837">
        <v>2</v>
      </c>
      <c r="D4837">
        <v>45</v>
      </c>
      <c r="E4837" t="s">
        <v>8</v>
      </c>
      <c r="F4837" t="s">
        <v>13</v>
      </c>
      <c r="G4837" t="s">
        <v>14</v>
      </c>
      <c r="H4837">
        <v>0</v>
      </c>
    </row>
    <row r="4838" spans="1:8" x14ac:dyDescent="0.35">
      <c r="A4838">
        <v>15366</v>
      </c>
      <c r="B4838" t="s">
        <v>11</v>
      </c>
      <c r="C4838">
        <v>12</v>
      </c>
      <c r="D4838">
        <v>314</v>
      </c>
      <c r="E4838" t="s">
        <v>8</v>
      </c>
      <c r="F4838" t="s">
        <v>9</v>
      </c>
      <c r="G4838" t="s">
        <v>14</v>
      </c>
      <c r="H4838">
        <v>0</v>
      </c>
    </row>
    <row r="4839" spans="1:8" x14ac:dyDescent="0.35">
      <c r="A4839">
        <v>11659</v>
      </c>
      <c r="B4839" t="s">
        <v>11</v>
      </c>
      <c r="C4839">
        <v>8</v>
      </c>
      <c r="D4839">
        <v>230</v>
      </c>
      <c r="E4839" t="s">
        <v>8</v>
      </c>
      <c r="F4839" t="s">
        <v>9</v>
      </c>
      <c r="G4839" t="s">
        <v>14</v>
      </c>
      <c r="H4839">
        <v>0</v>
      </c>
    </row>
    <row r="4840" spans="1:8" x14ac:dyDescent="0.35">
      <c r="A4840">
        <v>18019</v>
      </c>
      <c r="B4840" t="s">
        <v>7</v>
      </c>
      <c r="C4840">
        <v>5</v>
      </c>
      <c r="D4840">
        <v>185</v>
      </c>
      <c r="E4840" t="s">
        <v>15</v>
      </c>
      <c r="F4840" t="s">
        <v>9</v>
      </c>
      <c r="G4840" t="s">
        <v>16</v>
      </c>
      <c r="H4840">
        <v>1</v>
      </c>
    </row>
    <row r="4841" spans="1:8" x14ac:dyDescent="0.35">
      <c r="A4841">
        <v>18721</v>
      </c>
      <c r="B4841" t="s">
        <v>7</v>
      </c>
      <c r="C4841">
        <v>1</v>
      </c>
      <c r="D4841">
        <v>98</v>
      </c>
      <c r="E4841" t="s">
        <v>8</v>
      </c>
      <c r="F4841" t="s">
        <v>13</v>
      </c>
      <c r="G4841" t="s">
        <v>12</v>
      </c>
      <c r="H4841">
        <v>0</v>
      </c>
    </row>
    <row r="4842" spans="1:8" x14ac:dyDescent="0.35">
      <c r="A4842">
        <v>10409</v>
      </c>
      <c r="B4842" t="s">
        <v>11</v>
      </c>
      <c r="C4842">
        <v>5</v>
      </c>
      <c r="D4842">
        <v>396</v>
      </c>
      <c r="E4842" t="s">
        <v>8</v>
      </c>
      <c r="F4842" t="s">
        <v>9</v>
      </c>
      <c r="G4842" t="s">
        <v>12</v>
      </c>
      <c r="H4842">
        <v>0</v>
      </c>
    </row>
    <row r="4843" spans="1:8" x14ac:dyDescent="0.35">
      <c r="A4843">
        <v>15535</v>
      </c>
      <c r="B4843" t="s">
        <v>7</v>
      </c>
      <c r="C4843">
        <v>6</v>
      </c>
      <c r="D4843">
        <v>210</v>
      </c>
      <c r="E4843" t="s">
        <v>8</v>
      </c>
      <c r="F4843" t="s">
        <v>9</v>
      </c>
      <c r="G4843" t="s">
        <v>16</v>
      </c>
      <c r="H4843">
        <v>0</v>
      </c>
    </row>
    <row r="4844" spans="1:8" x14ac:dyDescent="0.35">
      <c r="A4844">
        <v>18504</v>
      </c>
      <c r="B4844" t="s">
        <v>11</v>
      </c>
      <c r="C4844">
        <v>11</v>
      </c>
      <c r="D4844">
        <v>225</v>
      </c>
      <c r="E4844" t="s">
        <v>8</v>
      </c>
      <c r="F4844" t="s">
        <v>9</v>
      </c>
      <c r="G4844" t="s">
        <v>12</v>
      </c>
      <c r="H4844">
        <v>0</v>
      </c>
    </row>
    <row r="4845" spans="1:8" x14ac:dyDescent="0.35">
      <c r="A4845">
        <v>19234</v>
      </c>
      <c r="B4845" t="s">
        <v>11</v>
      </c>
      <c r="C4845">
        <v>1</v>
      </c>
      <c r="D4845">
        <v>270</v>
      </c>
      <c r="E4845" t="s">
        <v>8</v>
      </c>
      <c r="F4845" t="s">
        <v>13</v>
      </c>
      <c r="G4845" t="s">
        <v>12</v>
      </c>
      <c r="H4845">
        <v>0</v>
      </c>
    </row>
    <row r="4846" spans="1:8" x14ac:dyDescent="0.35">
      <c r="A4846">
        <v>17440</v>
      </c>
      <c r="B4846" t="s">
        <v>11</v>
      </c>
      <c r="C4846">
        <v>4</v>
      </c>
      <c r="D4846">
        <v>132</v>
      </c>
      <c r="E4846" t="s">
        <v>15</v>
      </c>
      <c r="F4846" t="s">
        <v>13</v>
      </c>
      <c r="G4846" t="s">
        <v>12</v>
      </c>
      <c r="H4846">
        <v>1</v>
      </c>
    </row>
    <row r="4847" spans="1:8" x14ac:dyDescent="0.35">
      <c r="A4847">
        <v>16981</v>
      </c>
      <c r="B4847" t="s">
        <v>11</v>
      </c>
      <c r="C4847">
        <v>2</v>
      </c>
      <c r="D4847">
        <v>278</v>
      </c>
      <c r="E4847" t="s">
        <v>8</v>
      </c>
      <c r="F4847" t="s">
        <v>9</v>
      </c>
      <c r="G4847" t="s">
        <v>14</v>
      </c>
      <c r="H4847">
        <v>0</v>
      </c>
    </row>
    <row r="4848" spans="1:8" x14ac:dyDescent="0.35">
      <c r="A4848">
        <v>14387</v>
      </c>
      <c r="B4848" t="s">
        <v>11</v>
      </c>
      <c r="C4848">
        <v>12</v>
      </c>
      <c r="D4848">
        <v>277</v>
      </c>
      <c r="E4848" t="s">
        <v>8</v>
      </c>
      <c r="F4848" t="s">
        <v>13</v>
      </c>
      <c r="G4848" t="s">
        <v>10</v>
      </c>
      <c r="H4848">
        <v>0</v>
      </c>
    </row>
    <row r="4849" spans="1:8" x14ac:dyDescent="0.35">
      <c r="A4849">
        <v>17207</v>
      </c>
      <c r="B4849" t="s">
        <v>11</v>
      </c>
      <c r="C4849">
        <v>5</v>
      </c>
      <c r="D4849">
        <v>424</v>
      </c>
      <c r="E4849" t="s">
        <v>8</v>
      </c>
      <c r="F4849" t="s">
        <v>9</v>
      </c>
      <c r="G4849" t="s">
        <v>16</v>
      </c>
      <c r="H4849">
        <v>0</v>
      </c>
    </row>
    <row r="4850" spans="1:8" x14ac:dyDescent="0.35">
      <c r="A4850">
        <v>14626</v>
      </c>
      <c r="B4850" t="s">
        <v>7</v>
      </c>
      <c r="C4850">
        <v>10</v>
      </c>
      <c r="D4850">
        <v>236</v>
      </c>
      <c r="E4850" t="s">
        <v>8</v>
      </c>
      <c r="F4850" t="s">
        <v>13</v>
      </c>
      <c r="G4850" t="s">
        <v>16</v>
      </c>
      <c r="H4850">
        <v>0</v>
      </c>
    </row>
    <row r="4851" spans="1:8" x14ac:dyDescent="0.35">
      <c r="A4851">
        <v>13959</v>
      </c>
      <c r="B4851" t="s">
        <v>7</v>
      </c>
      <c r="C4851">
        <v>14</v>
      </c>
      <c r="D4851">
        <v>80</v>
      </c>
      <c r="E4851" t="s">
        <v>8</v>
      </c>
      <c r="F4851" t="s">
        <v>9</v>
      </c>
      <c r="G4851" t="s">
        <v>10</v>
      </c>
      <c r="H4851">
        <v>0</v>
      </c>
    </row>
    <row r="4852" spans="1:8" x14ac:dyDescent="0.35">
      <c r="A4852">
        <v>11360</v>
      </c>
      <c r="B4852" t="s">
        <v>11</v>
      </c>
      <c r="C4852">
        <v>2</v>
      </c>
      <c r="D4852">
        <v>138</v>
      </c>
      <c r="E4852" t="s">
        <v>8</v>
      </c>
      <c r="F4852" t="s">
        <v>9</v>
      </c>
      <c r="G4852" t="s">
        <v>14</v>
      </c>
      <c r="H4852">
        <v>0</v>
      </c>
    </row>
    <row r="4853" spans="1:8" x14ac:dyDescent="0.35">
      <c r="A4853">
        <v>10659</v>
      </c>
      <c r="B4853" t="s">
        <v>11</v>
      </c>
      <c r="C4853">
        <v>7</v>
      </c>
      <c r="D4853">
        <v>338</v>
      </c>
      <c r="E4853" t="s">
        <v>8</v>
      </c>
      <c r="F4853" t="s">
        <v>9</v>
      </c>
      <c r="G4853" t="s">
        <v>16</v>
      </c>
      <c r="H4853">
        <v>0</v>
      </c>
    </row>
    <row r="4854" spans="1:8" x14ac:dyDescent="0.35">
      <c r="A4854">
        <v>19209</v>
      </c>
      <c r="B4854" t="s">
        <v>7</v>
      </c>
      <c r="C4854">
        <v>7</v>
      </c>
      <c r="D4854">
        <v>216</v>
      </c>
      <c r="E4854" t="s">
        <v>15</v>
      </c>
      <c r="F4854" t="s">
        <v>13</v>
      </c>
      <c r="G4854" t="s">
        <v>16</v>
      </c>
      <c r="H4854">
        <v>1</v>
      </c>
    </row>
    <row r="4855" spans="1:8" x14ac:dyDescent="0.35">
      <c r="A4855">
        <v>10534</v>
      </c>
      <c r="B4855" t="s">
        <v>7</v>
      </c>
      <c r="C4855">
        <v>6</v>
      </c>
      <c r="D4855">
        <v>373</v>
      </c>
      <c r="E4855" t="s">
        <v>8</v>
      </c>
      <c r="F4855" t="s">
        <v>13</v>
      </c>
      <c r="G4855" t="s">
        <v>10</v>
      </c>
      <c r="H4855">
        <v>0</v>
      </c>
    </row>
    <row r="4856" spans="1:8" x14ac:dyDescent="0.35">
      <c r="A4856">
        <v>17137</v>
      </c>
      <c r="B4856" t="s">
        <v>11</v>
      </c>
      <c r="C4856">
        <v>11</v>
      </c>
      <c r="D4856">
        <v>312</v>
      </c>
      <c r="E4856" t="s">
        <v>8</v>
      </c>
      <c r="F4856" t="s">
        <v>13</v>
      </c>
      <c r="G4856" t="s">
        <v>14</v>
      </c>
      <c r="H4856">
        <v>0</v>
      </c>
    </row>
    <row r="4857" spans="1:8" x14ac:dyDescent="0.35">
      <c r="A4857">
        <v>16743</v>
      </c>
      <c r="B4857" t="s">
        <v>11</v>
      </c>
      <c r="C4857">
        <v>1</v>
      </c>
      <c r="D4857">
        <v>424</v>
      </c>
      <c r="E4857" t="s">
        <v>8</v>
      </c>
      <c r="F4857" t="s">
        <v>9</v>
      </c>
      <c r="G4857" t="s">
        <v>16</v>
      </c>
      <c r="H4857">
        <v>0</v>
      </c>
    </row>
    <row r="4858" spans="1:8" x14ac:dyDescent="0.35">
      <c r="A4858">
        <v>19735</v>
      </c>
      <c r="B4858" t="s">
        <v>7</v>
      </c>
      <c r="C4858">
        <v>12</v>
      </c>
      <c r="D4858">
        <v>195</v>
      </c>
      <c r="E4858" t="s">
        <v>8</v>
      </c>
      <c r="F4858" t="s">
        <v>9</v>
      </c>
      <c r="G4858" t="s">
        <v>12</v>
      </c>
      <c r="H4858">
        <v>0</v>
      </c>
    </row>
    <row r="4859" spans="1:8" x14ac:dyDescent="0.35">
      <c r="A4859">
        <v>13066</v>
      </c>
      <c r="B4859" t="s">
        <v>7</v>
      </c>
      <c r="C4859">
        <v>12</v>
      </c>
      <c r="D4859">
        <v>296</v>
      </c>
      <c r="E4859" t="s">
        <v>8</v>
      </c>
      <c r="F4859" t="s">
        <v>13</v>
      </c>
      <c r="G4859" t="s">
        <v>10</v>
      </c>
      <c r="H4859">
        <v>0</v>
      </c>
    </row>
    <row r="4860" spans="1:8" x14ac:dyDescent="0.35">
      <c r="A4860">
        <v>17457</v>
      </c>
      <c r="B4860" t="s">
        <v>11</v>
      </c>
      <c r="C4860">
        <v>12</v>
      </c>
      <c r="D4860">
        <v>328</v>
      </c>
      <c r="E4860" t="s">
        <v>8</v>
      </c>
      <c r="F4860" t="s">
        <v>13</v>
      </c>
      <c r="G4860" t="s">
        <v>10</v>
      </c>
      <c r="H4860">
        <v>0</v>
      </c>
    </row>
    <row r="4861" spans="1:8" x14ac:dyDescent="0.35">
      <c r="A4861">
        <v>13849</v>
      </c>
      <c r="B4861" t="s">
        <v>11</v>
      </c>
      <c r="C4861">
        <v>12</v>
      </c>
      <c r="D4861">
        <v>278</v>
      </c>
      <c r="E4861" t="s">
        <v>8</v>
      </c>
      <c r="F4861" t="s">
        <v>9</v>
      </c>
      <c r="G4861" t="s">
        <v>10</v>
      </c>
      <c r="H4861">
        <v>0</v>
      </c>
    </row>
    <row r="4862" spans="1:8" x14ac:dyDescent="0.35">
      <c r="A4862">
        <v>13216</v>
      </c>
      <c r="B4862" t="s">
        <v>7</v>
      </c>
      <c r="C4862">
        <v>6</v>
      </c>
      <c r="D4862">
        <v>242</v>
      </c>
      <c r="E4862" t="s">
        <v>8</v>
      </c>
      <c r="F4862" t="s">
        <v>13</v>
      </c>
      <c r="G4862" t="s">
        <v>16</v>
      </c>
      <c r="H4862">
        <v>0</v>
      </c>
    </row>
    <row r="4863" spans="1:8" x14ac:dyDescent="0.35">
      <c r="A4863">
        <v>13157</v>
      </c>
      <c r="B4863" t="s">
        <v>7</v>
      </c>
      <c r="C4863">
        <v>2</v>
      </c>
      <c r="D4863">
        <v>52</v>
      </c>
      <c r="E4863" t="s">
        <v>8</v>
      </c>
      <c r="F4863" t="s">
        <v>9</v>
      </c>
      <c r="G4863" t="s">
        <v>16</v>
      </c>
      <c r="H4863">
        <v>0</v>
      </c>
    </row>
    <row r="4864" spans="1:8" x14ac:dyDescent="0.35">
      <c r="A4864">
        <v>14259</v>
      </c>
      <c r="B4864" t="s">
        <v>7</v>
      </c>
      <c r="C4864">
        <v>7</v>
      </c>
      <c r="D4864">
        <v>167</v>
      </c>
      <c r="E4864" t="s">
        <v>8</v>
      </c>
      <c r="F4864" t="s">
        <v>13</v>
      </c>
      <c r="G4864" t="s">
        <v>14</v>
      </c>
      <c r="H4864">
        <v>0</v>
      </c>
    </row>
    <row r="4865" spans="1:8" x14ac:dyDescent="0.35">
      <c r="A4865">
        <v>11406</v>
      </c>
      <c r="B4865" t="s">
        <v>11</v>
      </c>
      <c r="C4865">
        <v>13</v>
      </c>
      <c r="D4865">
        <v>340</v>
      </c>
      <c r="E4865" t="s">
        <v>8</v>
      </c>
      <c r="F4865" t="s">
        <v>9</v>
      </c>
      <c r="G4865" t="s">
        <v>12</v>
      </c>
      <c r="H4865">
        <v>0</v>
      </c>
    </row>
    <row r="4866" spans="1:8" x14ac:dyDescent="0.35">
      <c r="A4866">
        <v>14501</v>
      </c>
      <c r="B4866" t="s">
        <v>7</v>
      </c>
      <c r="C4866">
        <v>6</v>
      </c>
      <c r="D4866">
        <v>438</v>
      </c>
      <c r="E4866" t="s">
        <v>15</v>
      </c>
      <c r="F4866" t="s">
        <v>13</v>
      </c>
      <c r="G4866" t="s">
        <v>16</v>
      </c>
      <c r="H4866">
        <v>1</v>
      </c>
    </row>
    <row r="4867" spans="1:8" x14ac:dyDescent="0.35">
      <c r="A4867">
        <v>18715</v>
      </c>
      <c r="B4867" t="s">
        <v>7</v>
      </c>
      <c r="C4867">
        <v>2</v>
      </c>
      <c r="D4867">
        <v>189</v>
      </c>
      <c r="E4867" t="s">
        <v>8</v>
      </c>
      <c r="F4867" t="s">
        <v>13</v>
      </c>
      <c r="G4867" t="s">
        <v>16</v>
      </c>
      <c r="H4867">
        <v>0</v>
      </c>
    </row>
    <row r="4868" spans="1:8" x14ac:dyDescent="0.35">
      <c r="A4868">
        <v>14800</v>
      </c>
      <c r="B4868" t="s">
        <v>11</v>
      </c>
      <c r="C4868">
        <v>11</v>
      </c>
      <c r="D4868">
        <v>429</v>
      </c>
      <c r="E4868" t="s">
        <v>8</v>
      </c>
      <c r="F4868" t="s">
        <v>9</v>
      </c>
      <c r="G4868" t="s">
        <v>14</v>
      </c>
      <c r="H4868">
        <v>0</v>
      </c>
    </row>
    <row r="4869" spans="1:8" x14ac:dyDescent="0.35">
      <c r="A4869">
        <v>19968</v>
      </c>
      <c r="B4869" t="s">
        <v>7</v>
      </c>
      <c r="C4869">
        <v>1</v>
      </c>
      <c r="D4869">
        <v>291</v>
      </c>
      <c r="E4869" t="s">
        <v>8</v>
      </c>
      <c r="F4869" t="s">
        <v>13</v>
      </c>
      <c r="G4869" t="s">
        <v>10</v>
      </c>
      <c r="H4869">
        <v>0</v>
      </c>
    </row>
    <row r="4870" spans="1:8" x14ac:dyDescent="0.35">
      <c r="A4870">
        <v>17154</v>
      </c>
      <c r="B4870" t="s">
        <v>7</v>
      </c>
      <c r="C4870">
        <v>11</v>
      </c>
      <c r="D4870">
        <v>437</v>
      </c>
      <c r="E4870" t="s">
        <v>8</v>
      </c>
      <c r="F4870" t="s">
        <v>13</v>
      </c>
      <c r="G4870" t="s">
        <v>16</v>
      </c>
      <c r="H4870">
        <v>0</v>
      </c>
    </row>
    <row r="4871" spans="1:8" x14ac:dyDescent="0.35">
      <c r="A4871">
        <v>12314</v>
      </c>
      <c r="B4871" t="s">
        <v>11</v>
      </c>
      <c r="C4871">
        <v>4</v>
      </c>
      <c r="D4871">
        <v>63</v>
      </c>
      <c r="E4871" t="s">
        <v>8</v>
      </c>
      <c r="F4871" t="s">
        <v>9</v>
      </c>
      <c r="G4871" t="s">
        <v>10</v>
      </c>
      <c r="H4871">
        <v>0</v>
      </c>
    </row>
    <row r="4872" spans="1:8" x14ac:dyDescent="0.35">
      <c r="A4872">
        <v>19546</v>
      </c>
      <c r="B4872" t="s">
        <v>11</v>
      </c>
      <c r="C4872">
        <v>14</v>
      </c>
      <c r="D4872">
        <v>393</v>
      </c>
      <c r="E4872" t="s">
        <v>8</v>
      </c>
      <c r="F4872" t="s">
        <v>9</v>
      </c>
      <c r="G4872" t="s">
        <v>16</v>
      </c>
      <c r="H4872">
        <v>0</v>
      </c>
    </row>
    <row r="4873" spans="1:8" x14ac:dyDescent="0.35">
      <c r="A4873">
        <v>14916</v>
      </c>
      <c r="B4873" t="s">
        <v>11</v>
      </c>
      <c r="C4873">
        <v>7</v>
      </c>
      <c r="D4873">
        <v>343</v>
      </c>
      <c r="E4873" t="s">
        <v>8</v>
      </c>
      <c r="F4873" t="s">
        <v>13</v>
      </c>
      <c r="G4873" t="s">
        <v>16</v>
      </c>
      <c r="H4873">
        <v>0</v>
      </c>
    </row>
    <row r="4874" spans="1:8" x14ac:dyDescent="0.35">
      <c r="A4874">
        <v>13255</v>
      </c>
      <c r="B4874" t="s">
        <v>7</v>
      </c>
      <c r="C4874">
        <v>3</v>
      </c>
      <c r="D4874">
        <v>56</v>
      </c>
      <c r="E4874" t="s">
        <v>8</v>
      </c>
      <c r="F4874" t="s">
        <v>13</v>
      </c>
      <c r="G4874" t="s">
        <v>12</v>
      </c>
      <c r="H4874">
        <v>0</v>
      </c>
    </row>
    <row r="4875" spans="1:8" x14ac:dyDescent="0.35">
      <c r="A4875">
        <v>18745</v>
      </c>
      <c r="B4875" t="s">
        <v>7</v>
      </c>
      <c r="C4875">
        <v>3</v>
      </c>
      <c r="D4875">
        <v>334</v>
      </c>
      <c r="E4875" t="s">
        <v>8</v>
      </c>
      <c r="F4875" t="s">
        <v>9</v>
      </c>
      <c r="G4875" t="s">
        <v>14</v>
      </c>
      <c r="H4875">
        <v>0</v>
      </c>
    </row>
    <row r="4876" spans="1:8" x14ac:dyDescent="0.35">
      <c r="A4876">
        <v>10009</v>
      </c>
      <c r="B4876" t="s">
        <v>7</v>
      </c>
      <c r="C4876">
        <v>10</v>
      </c>
      <c r="D4876">
        <v>277</v>
      </c>
      <c r="E4876" t="s">
        <v>15</v>
      </c>
      <c r="F4876" t="s">
        <v>13</v>
      </c>
      <c r="G4876" t="s">
        <v>16</v>
      </c>
      <c r="H4876">
        <v>1</v>
      </c>
    </row>
    <row r="4877" spans="1:8" x14ac:dyDescent="0.35">
      <c r="A4877">
        <v>17018</v>
      </c>
      <c r="B4877" t="s">
        <v>7</v>
      </c>
      <c r="C4877">
        <v>2</v>
      </c>
      <c r="D4877">
        <v>361</v>
      </c>
      <c r="E4877" t="s">
        <v>8</v>
      </c>
      <c r="F4877" t="s">
        <v>9</v>
      </c>
      <c r="G4877" t="s">
        <v>14</v>
      </c>
      <c r="H4877">
        <v>0</v>
      </c>
    </row>
    <row r="4878" spans="1:8" x14ac:dyDescent="0.35">
      <c r="A4878">
        <v>12508</v>
      </c>
      <c r="B4878" t="s">
        <v>7</v>
      </c>
      <c r="C4878">
        <v>6</v>
      </c>
      <c r="D4878">
        <v>298</v>
      </c>
      <c r="E4878" t="s">
        <v>8</v>
      </c>
      <c r="F4878" t="s">
        <v>13</v>
      </c>
      <c r="G4878" t="s">
        <v>10</v>
      </c>
      <c r="H4878">
        <v>0</v>
      </c>
    </row>
    <row r="4879" spans="1:8" x14ac:dyDescent="0.35">
      <c r="A4879">
        <v>16348</v>
      </c>
      <c r="B4879" t="s">
        <v>7</v>
      </c>
      <c r="C4879">
        <v>14</v>
      </c>
      <c r="D4879">
        <v>204</v>
      </c>
      <c r="E4879" t="s">
        <v>8</v>
      </c>
      <c r="F4879" t="s">
        <v>9</v>
      </c>
      <c r="G4879" t="s">
        <v>14</v>
      </c>
      <c r="H4879">
        <v>0</v>
      </c>
    </row>
    <row r="4880" spans="1:8" x14ac:dyDescent="0.35">
      <c r="A4880">
        <v>10304</v>
      </c>
      <c r="B4880" t="s">
        <v>11</v>
      </c>
      <c r="C4880">
        <v>1</v>
      </c>
      <c r="D4880">
        <v>64</v>
      </c>
      <c r="E4880" t="s">
        <v>8</v>
      </c>
      <c r="F4880" t="s">
        <v>9</v>
      </c>
      <c r="G4880" t="s">
        <v>14</v>
      </c>
      <c r="H4880">
        <v>0</v>
      </c>
    </row>
    <row r="4881" spans="1:8" x14ac:dyDescent="0.35">
      <c r="A4881">
        <v>11439</v>
      </c>
      <c r="B4881" t="s">
        <v>7</v>
      </c>
      <c r="C4881">
        <v>13</v>
      </c>
      <c r="D4881">
        <v>114</v>
      </c>
      <c r="E4881" t="s">
        <v>15</v>
      </c>
      <c r="F4881" t="s">
        <v>9</v>
      </c>
      <c r="G4881" t="s">
        <v>16</v>
      </c>
      <c r="H4881">
        <v>1</v>
      </c>
    </row>
    <row r="4882" spans="1:8" x14ac:dyDescent="0.35">
      <c r="A4882">
        <v>13349</v>
      </c>
      <c r="B4882" t="s">
        <v>7</v>
      </c>
      <c r="C4882">
        <v>1</v>
      </c>
      <c r="D4882">
        <v>306</v>
      </c>
      <c r="E4882" t="s">
        <v>8</v>
      </c>
      <c r="F4882" t="s">
        <v>13</v>
      </c>
      <c r="G4882" t="s">
        <v>14</v>
      </c>
      <c r="H4882">
        <v>0</v>
      </c>
    </row>
    <row r="4883" spans="1:8" x14ac:dyDescent="0.35">
      <c r="A4883">
        <v>11982</v>
      </c>
      <c r="B4883" t="s">
        <v>11</v>
      </c>
      <c r="C4883">
        <v>5</v>
      </c>
      <c r="D4883">
        <v>332</v>
      </c>
      <c r="E4883" t="s">
        <v>8</v>
      </c>
      <c r="F4883" t="s">
        <v>9</v>
      </c>
      <c r="G4883" t="s">
        <v>12</v>
      </c>
      <c r="H4883">
        <v>0</v>
      </c>
    </row>
    <row r="4884" spans="1:8" x14ac:dyDescent="0.35">
      <c r="A4884">
        <v>11175</v>
      </c>
      <c r="B4884" t="s">
        <v>11</v>
      </c>
      <c r="C4884">
        <v>11</v>
      </c>
      <c r="D4884">
        <v>44</v>
      </c>
      <c r="E4884" t="s">
        <v>8</v>
      </c>
      <c r="F4884" t="s">
        <v>9</v>
      </c>
      <c r="G4884" t="s">
        <v>16</v>
      </c>
      <c r="H4884">
        <v>0</v>
      </c>
    </row>
    <row r="4885" spans="1:8" x14ac:dyDescent="0.35">
      <c r="A4885">
        <v>11121</v>
      </c>
      <c r="B4885" t="s">
        <v>7</v>
      </c>
      <c r="C4885">
        <v>2</v>
      </c>
      <c r="D4885">
        <v>357</v>
      </c>
      <c r="E4885" t="s">
        <v>8</v>
      </c>
      <c r="F4885" t="s">
        <v>9</v>
      </c>
      <c r="G4885" t="s">
        <v>10</v>
      </c>
      <c r="H4885">
        <v>0</v>
      </c>
    </row>
    <row r="4886" spans="1:8" x14ac:dyDescent="0.35">
      <c r="A4886">
        <v>18870</v>
      </c>
      <c r="B4886" t="s">
        <v>11</v>
      </c>
      <c r="C4886">
        <v>13</v>
      </c>
      <c r="D4886">
        <v>327</v>
      </c>
      <c r="E4886" t="s">
        <v>8</v>
      </c>
      <c r="F4886" t="s">
        <v>9</v>
      </c>
      <c r="G4886" t="s">
        <v>16</v>
      </c>
      <c r="H4886">
        <v>0</v>
      </c>
    </row>
    <row r="4887" spans="1:8" x14ac:dyDescent="0.35">
      <c r="A4887">
        <v>18676</v>
      </c>
      <c r="B4887" t="s">
        <v>11</v>
      </c>
      <c r="C4887">
        <v>9</v>
      </c>
      <c r="D4887">
        <v>366</v>
      </c>
      <c r="E4887" t="s">
        <v>8</v>
      </c>
      <c r="F4887" t="s">
        <v>9</v>
      </c>
      <c r="G4887" t="s">
        <v>14</v>
      </c>
      <c r="H4887">
        <v>0</v>
      </c>
    </row>
    <row r="4888" spans="1:8" x14ac:dyDescent="0.35">
      <c r="A4888">
        <v>12549</v>
      </c>
      <c r="B4888" t="s">
        <v>11</v>
      </c>
      <c r="C4888">
        <v>10</v>
      </c>
      <c r="D4888">
        <v>292</v>
      </c>
      <c r="E4888" t="s">
        <v>15</v>
      </c>
      <c r="F4888" t="s">
        <v>13</v>
      </c>
      <c r="G4888" t="s">
        <v>12</v>
      </c>
      <c r="H4888">
        <v>1</v>
      </c>
    </row>
    <row r="4889" spans="1:8" x14ac:dyDescent="0.35">
      <c r="A4889">
        <v>10754</v>
      </c>
      <c r="B4889" t="s">
        <v>7</v>
      </c>
      <c r="C4889">
        <v>6</v>
      </c>
      <c r="D4889">
        <v>391</v>
      </c>
      <c r="E4889" t="s">
        <v>8</v>
      </c>
      <c r="F4889" t="s">
        <v>13</v>
      </c>
      <c r="G4889" t="s">
        <v>16</v>
      </c>
      <c r="H4889">
        <v>0</v>
      </c>
    </row>
    <row r="4890" spans="1:8" x14ac:dyDescent="0.35">
      <c r="A4890">
        <v>14042</v>
      </c>
      <c r="B4890" t="s">
        <v>7</v>
      </c>
      <c r="C4890">
        <v>3</v>
      </c>
      <c r="D4890">
        <v>58</v>
      </c>
      <c r="E4890" t="s">
        <v>8</v>
      </c>
      <c r="F4890" t="s">
        <v>13</v>
      </c>
      <c r="G4890" t="s">
        <v>10</v>
      </c>
      <c r="H4890">
        <v>0</v>
      </c>
    </row>
    <row r="4891" spans="1:8" x14ac:dyDescent="0.35">
      <c r="A4891">
        <v>11698</v>
      </c>
      <c r="B4891" t="s">
        <v>11</v>
      </c>
      <c r="C4891">
        <v>9</v>
      </c>
      <c r="D4891">
        <v>281</v>
      </c>
      <c r="E4891" t="s">
        <v>8</v>
      </c>
      <c r="F4891" t="s">
        <v>13</v>
      </c>
      <c r="G4891" t="s">
        <v>14</v>
      </c>
      <c r="H4891">
        <v>0</v>
      </c>
    </row>
    <row r="4892" spans="1:8" x14ac:dyDescent="0.35">
      <c r="A4892">
        <v>14227</v>
      </c>
      <c r="B4892" t="s">
        <v>7</v>
      </c>
      <c r="C4892">
        <v>12</v>
      </c>
      <c r="D4892">
        <v>152</v>
      </c>
      <c r="E4892" t="s">
        <v>8</v>
      </c>
      <c r="F4892" t="s">
        <v>13</v>
      </c>
      <c r="G4892" t="s">
        <v>12</v>
      </c>
      <c r="H4892">
        <v>0</v>
      </c>
    </row>
    <row r="4893" spans="1:8" x14ac:dyDescent="0.35">
      <c r="A4893">
        <v>10264</v>
      </c>
      <c r="B4893" t="s">
        <v>11</v>
      </c>
      <c r="C4893">
        <v>3</v>
      </c>
      <c r="D4893">
        <v>200</v>
      </c>
      <c r="E4893" t="s">
        <v>8</v>
      </c>
      <c r="F4893" t="s">
        <v>13</v>
      </c>
      <c r="G4893" t="s">
        <v>12</v>
      </c>
      <c r="H4893">
        <v>0</v>
      </c>
    </row>
    <row r="4894" spans="1:8" x14ac:dyDescent="0.35">
      <c r="A4894">
        <v>18266</v>
      </c>
      <c r="B4894" t="s">
        <v>11</v>
      </c>
      <c r="C4894">
        <v>7</v>
      </c>
      <c r="D4894">
        <v>106</v>
      </c>
      <c r="E4894" t="s">
        <v>8</v>
      </c>
      <c r="F4894" t="s">
        <v>13</v>
      </c>
      <c r="G4894" t="s">
        <v>10</v>
      </c>
      <c r="H4894">
        <v>0</v>
      </c>
    </row>
    <row r="4895" spans="1:8" x14ac:dyDescent="0.35">
      <c r="A4895">
        <v>13126</v>
      </c>
      <c r="B4895" t="s">
        <v>7</v>
      </c>
      <c r="C4895">
        <v>1</v>
      </c>
      <c r="D4895">
        <v>151</v>
      </c>
      <c r="E4895" t="s">
        <v>8</v>
      </c>
      <c r="F4895" t="s">
        <v>13</v>
      </c>
      <c r="G4895" t="s">
        <v>12</v>
      </c>
      <c r="H4895">
        <v>0</v>
      </c>
    </row>
    <row r="4896" spans="1:8" x14ac:dyDescent="0.35">
      <c r="A4896">
        <v>11623</v>
      </c>
      <c r="B4896" t="s">
        <v>7</v>
      </c>
      <c r="C4896">
        <v>8</v>
      </c>
      <c r="D4896">
        <v>182</v>
      </c>
      <c r="E4896" t="s">
        <v>8</v>
      </c>
      <c r="F4896" t="s">
        <v>9</v>
      </c>
      <c r="G4896" t="s">
        <v>12</v>
      </c>
      <c r="H4896">
        <v>0</v>
      </c>
    </row>
    <row r="4897" spans="1:8" x14ac:dyDescent="0.35">
      <c r="A4897">
        <v>19941</v>
      </c>
      <c r="B4897" t="s">
        <v>11</v>
      </c>
      <c r="C4897">
        <v>6</v>
      </c>
      <c r="D4897">
        <v>312</v>
      </c>
      <c r="E4897" t="s">
        <v>8</v>
      </c>
      <c r="F4897" t="s">
        <v>13</v>
      </c>
      <c r="G4897" t="s">
        <v>14</v>
      </c>
      <c r="H4897">
        <v>0</v>
      </c>
    </row>
    <row r="4898" spans="1:8" x14ac:dyDescent="0.35">
      <c r="A4898">
        <v>13464</v>
      </c>
      <c r="B4898" t="s">
        <v>7</v>
      </c>
      <c r="C4898">
        <v>7</v>
      </c>
      <c r="D4898">
        <v>182</v>
      </c>
      <c r="E4898" t="s">
        <v>8</v>
      </c>
      <c r="F4898" t="s">
        <v>9</v>
      </c>
      <c r="G4898" t="s">
        <v>14</v>
      </c>
      <c r="H4898">
        <v>0</v>
      </c>
    </row>
    <row r="4899" spans="1:8" x14ac:dyDescent="0.35">
      <c r="A4899">
        <v>10565</v>
      </c>
      <c r="B4899" t="s">
        <v>11</v>
      </c>
      <c r="C4899">
        <v>9</v>
      </c>
      <c r="D4899">
        <v>407</v>
      </c>
      <c r="E4899" t="s">
        <v>15</v>
      </c>
      <c r="F4899" t="s">
        <v>13</v>
      </c>
      <c r="G4899" t="s">
        <v>10</v>
      </c>
      <c r="H4899">
        <v>1</v>
      </c>
    </row>
    <row r="4900" spans="1:8" x14ac:dyDescent="0.35">
      <c r="A4900">
        <v>13401</v>
      </c>
      <c r="B4900" t="s">
        <v>7</v>
      </c>
      <c r="C4900">
        <v>13</v>
      </c>
      <c r="D4900">
        <v>269</v>
      </c>
      <c r="E4900" t="s">
        <v>8</v>
      </c>
      <c r="F4900" t="s">
        <v>13</v>
      </c>
      <c r="G4900" t="s">
        <v>16</v>
      </c>
      <c r="H4900">
        <v>0</v>
      </c>
    </row>
    <row r="4901" spans="1:8" x14ac:dyDescent="0.35">
      <c r="A4901">
        <v>12015</v>
      </c>
      <c r="B4901" t="s">
        <v>7</v>
      </c>
      <c r="C4901">
        <v>12</v>
      </c>
      <c r="D4901">
        <v>95</v>
      </c>
      <c r="E4901" t="s">
        <v>8</v>
      </c>
      <c r="F4901" t="s">
        <v>13</v>
      </c>
      <c r="G4901" t="s">
        <v>12</v>
      </c>
      <c r="H4901">
        <v>0</v>
      </c>
    </row>
    <row r="4902" spans="1:8" x14ac:dyDescent="0.35">
      <c r="A4902">
        <v>13173</v>
      </c>
      <c r="B4902" t="s">
        <v>7</v>
      </c>
      <c r="C4902">
        <v>5</v>
      </c>
      <c r="D4902">
        <v>323</v>
      </c>
      <c r="E4902" t="s">
        <v>8</v>
      </c>
      <c r="F4902" t="s">
        <v>13</v>
      </c>
      <c r="G4902" t="s">
        <v>14</v>
      </c>
      <c r="H4902">
        <v>0</v>
      </c>
    </row>
    <row r="4903" spans="1:8" x14ac:dyDescent="0.35">
      <c r="A4903">
        <v>13077</v>
      </c>
      <c r="B4903" t="s">
        <v>11</v>
      </c>
      <c r="C4903">
        <v>5</v>
      </c>
      <c r="D4903">
        <v>319</v>
      </c>
      <c r="E4903" t="s">
        <v>8</v>
      </c>
      <c r="F4903" t="s">
        <v>13</v>
      </c>
      <c r="G4903" t="s">
        <v>14</v>
      </c>
      <c r="H4903">
        <v>0</v>
      </c>
    </row>
    <row r="4904" spans="1:8" x14ac:dyDescent="0.35">
      <c r="A4904">
        <v>11937</v>
      </c>
      <c r="B4904" t="s">
        <v>11</v>
      </c>
      <c r="C4904">
        <v>14</v>
      </c>
      <c r="D4904">
        <v>162</v>
      </c>
      <c r="E4904" t="s">
        <v>8</v>
      </c>
      <c r="F4904" t="s">
        <v>9</v>
      </c>
      <c r="G4904" t="s">
        <v>10</v>
      </c>
      <c r="H4904">
        <v>0</v>
      </c>
    </row>
    <row r="4905" spans="1:8" x14ac:dyDescent="0.35">
      <c r="A4905">
        <v>10903</v>
      </c>
      <c r="B4905" t="s">
        <v>11</v>
      </c>
      <c r="C4905">
        <v>2</v>
      </c>
      <c r="D4905">
        <v>327</v>
      </c>
      <c r="E4905" t="s">
        <v>8</v>
      </c>
      <c r="F4905" t="s">
        <v>9</v>
      </c>
      <c r="G4905" t="s">
        <v>14</v>
      </c>
      <c r="H4905">
        <v>0</v>
      </c>
    </row>
    <row r="4906" spans="1:8" x14ac:dyDescent="0.35">
      <c r="A4906">
        <v>12835</v>
      </c>
      <c r="B4906" t="s">
        <v>11</v>
      </c>
      <c r="C4906">
        <v>9</v>
      </c>
      <c r="D4906">
        <v>114</v>
      </c>
      <c r="E4906" t="s">
        <v>8</v>
      </c>
      <c r="F4906" t="s">
        <v>9</v>
      </c>
      <c r="G4906" t="s">
        <v>10</v>
      </c>
      <c r="H4906">
        <v>0</v>
      </c>
    </row>
    <row r="4907" spans="1:8" x14ac:dyDescent="0.35">
      <c r="A4907">
        <v>18631</v>
      </c>
      <c r="B4907" t="s">
        <v>11</v>
      </c>
      <c r="C4907">
        <v>1</v>
      </c>
      <c r="D4907">
        <v>429</v>
      </c>
      <c r="E4907" t="s">
        <v>8</v>
      </c>
      <c r="F4907" t="s">
        <v>9</v>
      </c>
      <c r="G4907" t="s">
        <v>10</v>
      </c>
      <c r="H4907">
        <v>0</v>
      </c>
    </row>
    <row r="4908" spans="1:8" x14ac:dyDescent="0.35">
      <c r="A4908">
        <v>13891</v>
      </c>
      <c r="B4908" t="s">
        <v>11</v>
      </c>
      <c r="C4908">
        <v>7</v>
      </c>
      <c r="D4908">
        <v>113</v>
      </c>
      <c r="E4908" t="s">
        <v>8</v>
      </c>
      <c r="F4908" t="s">
        <v>9</v>
      </c>
      <c r="G4908" t="s">
        <v>10</v>
      </c>
      <c r="H4908">
        <v>0</v>
      </c>
    </row>
    <row r="4909" spans="1:8" x14ac:dyDescent="0.35">
      <c r="A4909">
        <v>11239</v>
      </c>
      <c r="B4909" t="s">
        <v>11</v>
      </c>
      <c r="C4909">
        <v>11</v>
      </c>
      <c r="D4909">
        <v>323</v>
      </c>
      <c r="E4909" t="s">
        <v>8</v>
      </c>
      <c r="F4909" t="s">
        <v>9</v>
      </c>
      <c r="G4909" t="s">
        <v>12</v>
      </c>
      <c r="H4909">
        <v>0</v>
      </c>
    </row>
    <row r="4910" spans="1:8" x14ac:dyDescent="0.35">
      <c r="A4910">
        <v>17665</v>
      </c>
      <c r="B4910" t="s">
        <v>11</v>
      </c>
      <c r="C4910">
        <v>7</v>
      </c>
      <c r="D4910">
        <v>151</v>
      </c>
      <c r="E4910" t="s">
        <v>8</v>
      </c>
      <c r="F4910" t="s">
        <v>9</v>
      </c>
      <c r="G4910" t="s">
        <v>16</v>
      </c>
      <c r="H4910">
        <v>0</v>
      </c>
    </row>
    <row r="4911" spans="1:8" x14ac:dyDescent="0.35">
      <c r="A4911">
        <v>16639</v>
      </c>
      <c r="B4911" t="s">
        <v>7</v>
      </c>
      <c r="C4911">
        <v>14</v>
      </c>
      <c r="D4911">
        <v>218</v>
      </c>
      <c r="E4911" t="s">
        <v>8</v>
      </c>
      <c r="F4911" t="s">
        <v>13</v>
      </c>
      <c r="G4911" t="s">
        <v>12</v>
      </c>
      <c r="H4911">
        <v>0</v>
      </c>
    </row>
    <row r="4912" spans="1:8" x14ac:dyDescent="0.35">
      <c r="A4912">
        <v>14818</v>
      </c>
      <c r="B4912" t="s">
        <v>7</v>
      </c>
      <c r="C4912">
        <v>11</v>
      </c>
      <c r="D4912">
        <v>280</v>
      </c>
      <c r="E4912" t="s">
        <v>15</v>
      </c>
      <c r="F4912" t="s">
        <v>13</v>
      </c>
      <c r="G4912" t="s">
        <v>14</v>
      </c>
      <c r="H4912">
        <v>1</v>
      </c>
    </row>
    <row r="4913" spans="1:8" x14ac:dyDescent="0.35">
      <c r="A4913">
        <v>19464</v>
      </c>
      <c r="B4913" t="s">
        <v>7</v>
      </c>
      <c r="C4913">
        <v>4</v>
      </c>
      <c r="D4913">
        <v>327</v>
      </c>
      <c r="E4913" t="s">
        <v>8</v>
      </c>
      <c r="F4913" t="s">
        <v>9</v>
      </c>
      <c r="G4913" t="s">
        <v>16</v>
      </c>
      <c r="H4913">
        <v>0</v>
      </c>
    </row>
    <row r="4914" spans="1:8" x14ac:dyDescent="0.35">
      <c r="A4914">
        <v>10617</v>
      </c>
      <c r="B4914" t="s">
        <v>11</v>
      </c>
      <c r="C4914">
        <v>1</v>
      </c>
      <c r="D4914">
        <v>374</v>
      </c>
      <c r="E4914" t="s">
        <v>8</v>
      </c>
      <c r="F4914" t="s">
        <v>13</v>
      </c>
      <c r="G4914" t="s">
        <v>10</v>
      </c>
      <c r="H4914">
        <v>0</v>
      </c>
    </row>
    <row r="4915" spans="1:8" x14ac:dyDescent="0.35">
      <c r="A4915">
        <v>11558</v>
      </c>
      <c r="B4915" t="s">
        <v>11</v>
      </c>
      <c r="C4915">
        <v>13</v>
      </c>
      <c r="D4915">
        <v>202</v>
      </c>
      <c r="E4915" t="s">
        <v>15</v>
      </c>
      <c r="F4915" t="s">
        <v>9</v>
      </c>
      <c r="G4915" t="s">
        <v>16</v>
      </c>
      <c r="H4915">
        <v>1</v>
      </c>
    </row>
    <row r="4916" spans="1:8" x14ac:dyDescent="0.35">
      <c r="A4916">
        <v>18548</v>
      </c>
      <c r="B4916" t="s">
        <v>7</v>
      </c>
      <c r="C4916">
        <v>10</v>
      </c>
      <c r="D4916">
        <v>198</v>
      </c>
      <c r="E4916" t="s">
        <v>8</v>
      </c>
      <c r="F4916" t="s">
        <v>9</v>
      </c>
      <c r="G4916" t="s">
        <v>10</v>
      </c>
      <c r="H4916">
        <v>0</v>
      </c>
    </row>
    <row r="4917" spans="1:8" x14ac:dyDescent="0.35">
      <c r="A4917">
        <v>15851</v>
      </c>
      <c r="B4917" t="s">
        <v>11</v>
      </c>
      <c r="C4917">
        <v>14</v>
      </c>
      <c r="D4917">
        <v>101</v>
      </c>
      <c r="E4917" t="s">
        <v>8</v>
      </c>
      <c r="F4917" t="s">
        <v>13</v>
      </c>
      <c r="G4917" t="s">
        <v>16</v>
      </c>
      <c r="H4917">
        <v>0</v>
      </c>
    </row>
    <row r="4918" spans="1:8" x14ac:dyDescent="0.35">
      <c r="A4918">
        <v>14379</v>
      </c>
      <c r="B4918" t="s">
        <v>7</v>
      </c>
      <c r="C4918">
        <v>3</v>
      </c>
      <c r="D4918">
        <v>388</v>
      </c>
      <c r="E4918" t="s">
        <v>8</v>
      </c>
      <c r="F4918" t="s">
        <v>9</v>
      </c>
      <c r="G4918" t="s">
        <v>12</v>
      </c>
      <c r="H4918">
        <v>0</v>
      </c>
    </row>
    <row r="4919" spans="1:8" x14ac:dyDescent="0.35">
      <c r="A4919">
        <v>11296</v>
      </c>
      <c r="B4919" t="s">
        <v>7</v>
      </c>
      <c r="C4919">
        <v>2</v>
      </c>
      <c r="D4919">
        <v>157</v>
      </c>
      <c r="E4919" t="s">
        <v>8</v>
      </c>
      <c r="F4919" t="s">
        <v>9</v>
      </c>
      <c r="G4919" t="s">
        <v>16</v>
      </c>
      <c r="H4919">
        <v>0</v>
      </c>
    </row>
    <row r="4920" spans="1:8" x14ac:dyDescent="0.35">
      <c r="A4920">
        <v>11864</v>
      </c>
      <c r="B4920" t="s">
        <v>7</v>
      </c>
      <c r="C4920">
        <v>8</v>
      </c>
      <c r="D4920">
        <v>322</v>
      </c>
      <c r="E4920" t="s">
        <v>8</v>
      </c>
      <c r="F4920" t="s">
        <v>13</v>
      </c>
      <c r="G4920" t="s">
        <v>10</v>
      </c>
      <c r="H4920">
        <v>0</v>
      </c>
    </row>
    <row r="4921" spans="1:8" x14ac:dyDescent="0.35">
      <c r="A4921">
        <v>10761</v>
      </c>
      <c r="B4921" t="s">
        <v>11</v>
      </c>
      <c r="C4921">
        <v>6</v>
      </c>
      <c r="D4921">
        <v>264</v>
      </c>
      <c r="E4921" t="s">
        <v>8</v>
      </c>
      <c r="F4921" t="s">
        <v>9</v>
      </c>
      <c r="G4921" t="s">
        <v>16</v>
      </c>
      <c r="H4921">
        <v>0</v>
      </c>
    </row>
    <row r="4922" spans="1:8" x14ac:dyDescent="0.35">
      <c r="A4922">
        <v>12620</v>
      </c>
      <c r="B4922" t="s">
        <v>11</v>
      </c>
      <c r="C4922">
        <v>7</v>
      </c>
      <c r="D4922">
        <v>308</v>
      </c>
      <c r="E4922" t="s">
        <v>8</v>
      </c>
      <c r="F4922" t="s">
        <v>9</v>
      </c>
      <c r="G4922" t="s">
        <v>10</v>
      </c>
      <c r="H4922">
        <v>0</v>
      </c>
    </row>
    <row r="4923" spans="1:8" x14ac:dyDescent="0.35">
      <c r="A4923">
        <v>11494</v>
      </c>
      <c r="B4923" t="s">
        <v>7</v>
      </c>
      <c r="C4923">
        <v>6</v>
      </c>
      <c r="D4923">
        <v>140</v>
      </c>
      <c r="E4923" t="s">
        <v>15</v>
      </c>
      <c r="F4923" t="s">
        <v>13</v>
      </c>
      <c r="G4923" t="s">
        <v>10</v>
      </c>
      <c r="H4923">
        <v>1</v>
      </c>
    </row>
    <row r="4924" spans="1:8" x14ac:dyDescent="0.35">
      <c r="A4924">
        <v>13986</v>
      </c>
      <c r="B4924" t="s">
        <v>7</v>
      </c>
      <c r="C4924">
        <v>3</v>
      </c>
      <c r="D4924">
        <v>76</v>
      </c>
      <c r="E4924" t="s">
        <v>8</v>
      </c>
      <c r="F4924" t="s">
        <v>9</v>
      </c>
      <c r="G4924" t="s">
        <v>12</v>
      </c>
      <c r="H4924">
        <v>0</v>
      </c>
    </row>
    <row r="4925" spans="1:8" x14ac:dyDescent="0.35">
      <c r="A4925">
        <v>13881</v>
      </c>
      <c r="B4925" t="s">
        <v>7</v>
      </c>
      <c r="C4925">
        <v>2</v>
      </c>
      <c r="D4925">
        <v>387</v>
      </c>
      <c r="E4925" t="s">
        <v>8</v>
      </c>
      <c r="F4925" t="s">
        <v>9</v>
      </c>
      <c r="G4925" t="s">
        <v>14</v>
      </c>
      <c r="H4925">
        <v>0</v>
      </c>
    </row>
    <row r="4926" spans="1:8" x14ac:dyDescent="0.35">
      <c r="A4926">
        <v>13973</v>
      </c>
      <c r="B4926" t="s">
        <v>7</v>
      </c>
      <c r="C4926">
        <v>7</v>
      </c>
      <c r="D4926">
        <v>402</v>
      </c>
      <c r="E4926" t="s">
        <v>8</v>
      </c>
      <c r="F4926" t="s">
        <v>13</v>
      </c>
      <c r="G4926" t="s">
        <v>14</v>
      </c>
      <c r="H4926">
        <v>0</v>
      </c>
    </row>
    <row r="4927" spans="1:8" x14ac:dyDescent="0.35">
      <c r="A4927">
        <v>11290</v>
      </c>
      <c r="B4927" t="s">
        <v>7</v>
      </c>
      <c r="C4927">
        <v>1</v>
      </c>
      <c r="D4927">
        <v>145</v>
      </c>
      <c r="E4927" t="s">
        <v>8</v>
      </c>
      <c r="F4927" t="s">
        <v>9</v>
      </c>
      <c r="G4927" t="s">
        <v>12</v>
      </c>
      <c r="H4927">
        <v>0</v>
      </c>
    </row>
    <row r="4928" spans="1:8" x14ac:dyDescent="0.35">
      <c r="A4928">
        <v>15044</v>
      </c>
      <c r="B4928" t="s">
        <v>11</v>
      </c>
      <c r="C4928">
        <v>1</v>
      </c>
      <c r="D4928">
        <v>178</v>
      </c>
      <c r="E4928" t="s">
        <v>8</v>
      </c>
      <c r="F4928" t="s">
        <v>9</v>
      </c>
      <c r="G4928" t="s">
        <v>10</v>
      </c>
      <c r="H4928">
        <v>0</v>
      </c>
    </row>
    <row r="4929" spans="1:8" x14ac:dyDescent="0.35">
      <c r="A4929">
        <v>19499</v>
      </c>
      <c r="B4929" t="s">
        <v>7</v>
      </c>
      <c r="C4929">
        <v>14</v>
      </c>
      <c r="D4929">
        <v>238</v>
      </c>
      <c r="E4929" t="s">
        <v>15</v>
      </c>
      <c r="F4929" t="s">
        <v>9</v>
      </c>
      <c r="G4929" t="s">
        <v>16</v>
      </c>
      <c r="H4929">
        <v>1</v>
      </c>
    </row>
    <row r="4930" spans="1:8" x14ac:dyDescent="0.35">
      <c r="A4930">
        <v>10805</v>
      </c>
      <c r="B4930" t="s">
        <v>11</v>
      </c>
      <c r="C4930">
        <v>5</v>
      </c>
      <c r="D4930">
        <v>152</v>
      </c>
      <c r="E4930" t="s">
        <v>8</v>
      </c>
      <c r="F4930" t="s">
        <v>9</v>
      </c>
      <c r="G4930" t="s">
        <v>10</v>
      </c>
      <c r="H4930">
        <v>0</v>
      </c>
    </row>
    <row r="4931" spans="1:8" x14ac:dyDescent="0.35">
      <c r="A4931">
        <v>13205</v>
      </c>
      <c r="B4931" t="s">
        <v>7</v>
      </c>
      <c r="C4931">
        <v>13</v>
      </c>
      <c r="D4931">
        <v>120</v>
      </c>
      <c r="E4931" t="s">
        <v>8</v>
      </c>
      <c r="F4931" t="s">
        <v>9</v>
      </c>
      <c r="G4931" t="s">
        <v>12</v>
      </c>
      <c r="H4931">
        <v>0</v>
      </c>
    </row>
    <row r="4932" spans="1:8" x14ac:dyDescent="0.35">
      <c r="A4932">
        <v>15724</v>
      </c>
      <c r="B4932" t="s">
        <v>11</v>
      </c>
      <c r="C4932">
        <v>6</v>
      </c>
      <c r="D4932">
        <v>212</v>
      </c>
      <c r="E4932" t="s">
        <v>8</v>
      </c>
      <c r="F4932" t="s">
        <v>13</v>
      </c>
      <c r="G4932" t="s">
        <v>12</v>
      </c>
      <c r="H4932">
        <v>0</v>
      </c>
    </row>
    <row r="4933" spans="1:8" x14ac:dyDescent="0.35">
      <c r="A4933">
        <v>13837</v>
      </c>
      <c r="B4933" t="s">
        <v>7</v>
      </c>
      <c r="C4933">
        <v>2</v>
      </c>
      <c r="D4933">
        <v>407</v>
      </c>
      <c r="E4933" t="s">
        <v>8</v>
      </c>
      <c r="F4933" t="s">
        <v>9</v>
      </c>
      <c r="G4933" t="s">
        <v>14</v>
      </c>
      <c r="H4933">
        <v>0</v>
      </c>
    </row>
    <row r="4934" spans="1:8" x14ac:dyDescent="0.35">
      <c r="A4934">
        <v>16352</v>
      </c>
      <c r="B4934" t="s">
        <v>11</v>
      </c>
      <c r="C4934">
        <v>11</v>
      </c>
      <c r="D4934">
        <v>411</v>
      </c>
      <c r="E4934" t="s">
        <v>8</v>
      </c>
      <c r="F4934" t="s">
        <v>9</v>
      </c>
      <c r="G4934" t="s">
        <v>14</v>
      </c>
      <c r="H4934">
        <v>0</v>
      </c>
    </row>
    <row r="4935" spans="1:8" x14ac:dyDescent="0.35">
      <c r="A4935">
        <v>14090</v>
      </c>
      <c r="B4935" t="s">
        <v>7</v>
      </c>
      <c r="C4935">
        <v>13</v>
      </c>
      <c r="D4935">
        <v>115</v>
      </c>
      <c r="E4935" t="s">
        <v>8</v>
      </c>
      <c r="F4935" t="s">
        <v>13</v>
      </c>
      <c r="G4935" t="s">
        <v>12</v>
      </c>
      <c r="H4935">
        <v>0</v>
      </c>
    </row>
    <row r="4936" spans="1:8" x14ac:dyDescent="0.35">
      <c r="A4936">
        <v>16965</v>
      </c>
      <c r="B4936" t="s">
        <v>7</v>
      </c>
      <c r="C4936">
        <v>7</v>
      </c>
      <c r="D4936">
        <v>233</v>
      </c>
      <c r="E4936" t="s">
        <v>8</v>
      </c>
      <c r="F4936" t="s">
        <v>9</v>
      </c>
      <c r="G4936" t="s">
        <v>16</v>
      </c>
      <c r="H4936">
        <v>0</v>
      </c>
    </row>
    <row r="4937" spans="1:8" x14ac:dyDescent="0.35">
      <c r="A4937">
        <v>12618</v>
      </c>
      <c r="B4937" t="s">
        <v>11</v>
      </c>
      <c r="C4937">
        <v>12</v>
      </c>
      <c r="D4937">
        <v>309</v>
      </c>
      <c r="E4937" t="s">
        <v>8</v>
      </c>
      <c r="F4937" t="s">
        <v>9</v>
      </c>
      <c r="G4937" t="s">
        <v>12</v>
      </c>
      <c r="H4937">
        <v>0</v>
      </c>
    </row>
    <row r="4938" spans="1:8" x14ac:dyDescent="0.35">
      <c r="A4938">
        <v>12100</v>
      </c>
      <c r="B4938" t="s">
        <v>11</v>
      </c>
      <c r="C4938">
        <v>2</v>
      </c>
      <c r="D4938">
        <v>232</v>
      </c>
      <c r="E4938" t="s">
        <v>8</v>
      </c>
      <c r="F4938" t="s">
        <v>9</v>
      </c>
      <c r="G4938" t="s">
        <v>16</v>
      </c>
      <c r="H4938">
        <v>0</v>
      </c>
    </row>
    <row r="4939" spans="1:8" x14ac:dyDescent="0.35">
      <c r="A4939">
        <v>16329</v>
      </c>
      <c r="B4939" t="s">
        <v>11</v>
      </c>
      <c r="C4939">
        <v>1</v>
      </c>
      <c r="D4939">
        <v>312</v>
      </c>
      <c r="E4939" t="s">
        <v>8</v>
      </c>
      <c r="F4939" t="s">
        <v>9</v>
      </c>
      <c r="G4939" t="s">
        <v>10</v>
      </c>
      <c r="H4939">
        <v>0</v>
      </c>
    </row>
    <row r="4940" spans="1:8" x14ac:dyDescent="0.35">
      <c r="A4940">
        <v>14898</v>
      </c>
      <c r="B4940" t="s">
        <v>11</v>
      </c>
      <c r="C4940">
        <v>7</v>
      </c>
      <c r="D4940">
        <v>63</v>
      </c>
      <c r="E4940" t="s">
        <v>8</v>
      </c>
      <c r="F4940" t="s">
        <v>9</v>
      </c>
      <c r="G4940" t="s">
        <v>16</v>
      </c>
      <c r="H4940">
        <v>0</v>
      </c>
    </row>
    <row r="4941" spans="1:8" x14ac:dyDescent="0.35">
      <c r="A4941">
        <v>19517</v>
      </c>
      <c r="B4941" t="s">
        <v>11</v>
      </c>
      <c r="C4941">
        <v>5</v>
      </c>
      <c r="D4941">
        <v>360</v>
      </c>
      <c r="E4941" t="s">
        <v>8</v>
      </c>
      <c r="F4941" t="s">
        <v>9</v>
      </c>
      <c r="G4941" t="s">
        <v>16</v>
      </c>
      <c r="H4941">
        <v>0</v>
      </c>
    </row>
    <row r="4942" spans="1:8" x14ac:dyDescent="0.35">
      <c r="A4942">
        <v>17226</v>
      </c>
      <c r="B4942" t="s">
        <v>7</v>
      </c>
      <c r="C4942">
        <v>9</v>
      </c>
      <c r="D4942">
        <v>348</v>
      </c>
      <c r="E4942" t="s">
        <v>8</v>
      </c>
      <c r="F4942" t="s">
        <v>13</v>
      </c>
      <c r="G4942" t="s">
        <v>14</v>
      </c>
      <c r="H4942">
        <v>0</v>
      </c>
    </row>
    <row r="4943" spans="1:8" x14ac:dyDescent="0.35">
      <c r="A4943">
        <v>13161</v>
      </c>
      <c r="B4943" t="s">
        <v>11</v>
      </c>
      <c r="C4943">
        <v>10</v>
      </c>
      <c r="D4943">
        <v>141</v>
      </c>
      <c r="E4943" t="s">
        <v>8</v>
      </c>
      <c r="F4943" t="s">
        <v>13</v>
      </c>
      <c r="G4943" t="s">
        <v>10</v>
      </c>
      <c r="H4943">
        <v>0</v>
      </c>
    </row>
    <row r="4944" spans="1:8" x14ac:dyDescent="0.35">
      <c r="A4944">
        <v>19933</v>
      </c>
      <c r="B4944" t="s">
        <v>7</v>
      </c>
      <c r="C4944">
        <v>4</v>
      </c>
      <c r="D4944">
        <v>64</v>
      </c>
      <c r="E4944" t="s">
        <v>8</v>
      </c>
      <c r="F4944" t="s">
        <v>9</v>
      </c>
      <c r="G4944" t="s">
        <v>16</v>
      </c>
      <c r="H4944">
        <v>0</v>
      </c>
    </row>
    <row r="4945" spans="1:8" x14ac:dyDescent="0.35">
      <c r="A4945">
        <v>17326</v>
      </c>
      <c r="B4945" t="s">
        <v>7</v>
      </c>
      <c r="C4945">
        <v>13</v>
      </c>
      <c r="D4945">
        <v>327</v>
      </c>
      <c r="E4945" t="s">
        <v>8</v>
      </c>
      <c r="F4945" t="s">
        <v>9</v>
      </c>
      <c r="G4945" t="s">
        <v>14</v>
      </c>
      <c r="H4945">
        <v>0</v>
      </c>
    </row>
    <row r="4946" spans="1:8" x14ac:dyDescent="0.35">
      <c r="A4946">
        <v>13019</v>
      </c>
      <c r="B4946" t="s">
        <v>11</v>
      </c>
      <c r="C4946">
        <v>1</v>
      </c>
      <c r="D4946">
        <v>98</v>
      </c>
      <c r="E4946" t="s">
        <v>8</v>
      </c>
      <c r="F4946" t="s">
        <v>9</v>
      </c>
      <c r="G4946" t="s">
        <v>12</v>
      </c>
      <c r="H4946">
        <v>0</v>
      </c>
    </row>
    <row r="4947" spans="1:8" x14ac:dyDescent="0.35">
      <c r="A4947">
        <v>12760</v>
      </c>
      <c r="B4947" t="s">
        <v>11</v>
      </c>
      <c r="C4947">
        <v>5</v>
      </c>
      <c r="D4947">
        <v>307</v>
      </c>
      <c r="E4947" t="s">
        <v>8</v>
      </c>
      <c r="F4947" t="s">
        <v>9</v>
      </c>
      <c r="G4947" t="s">
        <v>16</v>
      </c>
      <c r="H4947">
        <v>0</v>
      </c>
    </row>
    <row r="4948" spans="1:8" x14ac:dyDescent="0.35">
      <c r="A4948">
        <v>14566</v>
      </c>
      <c r="B4948" t="s">
        <v>7</v>
      </c>
      <c r="C4948">
        <v>9</v>
      </c>
      <c r="D4948">
        <v>315</v>
      </c>
      <c r="E4948" t="s">
        <v>8</v>
      </c>
      <c r="F4948" t="s">
        <v>13</v>
      </c>
      <c r="G4948" t="s">
        <v>16</v>
      </c>
      <c r="H4948">
        <v>0</v>
      </c>
    </row>
    <row r="4949" spans="1:8" x14ac:dyDescent="0.35">
      <c r="A4949">
        <v>12588</v>
      </c>
      <c r="B4949" t="s">
        <v>11</v>
      </c>
      <c r="C4949">
        <v>9</v>
      </c>
      <c r="D4949">
        <v>372</v>
      </c>
      <c r="E4949" t="s">
        <v>8</v>
      </c>
      <c r="F4949" t="s">
        <v>13</v>
      </c>
      <c r="G4949" t="s">
        <v>10</v>
      </c>
      <c r="H4949">
        <v>0</v>
      </c>
    </row>
    <row r="4950" spans="1:8" x14ac:dyDescent="0.35">
      <c r="A4950">
        <v>13516</v>
      </c>
      <c r="B4950" t="s">
        <v>11</v>
      </c>
      <c r="C4950">
        <v>10</v>
      </c>
      <c r="D4950">
        <v>295</v>
      </c>
      <c r="E4950" t="s">
        <v>8</v>
      </c>
      <c r="F4950" t="s">
        <v>13</v>
      </c>
      <c r="G4950" t="s">
        <v>14</v>
      </c>
      <c r="H4950">
        <v>0</v>
      </c>
    </row>
    <row r="4951" spans="1:8" x14ac:dyDescent="0.35">
      <c r="A4951">
        <v>15705</v>
      </c>
      <c r="B4951" t="s">
        <v>7</v>
      </c>
      <c r="C4951">
        <v>6</v>
      </c>
      <c r="D4951">
        <v>98</v>
      </c>
      <c r="E4951" t="s">
        <v>15</v>
      </c>
      <c r="F4951" t="s">
        <v>13</v>
      </c>
      <c r="G4951" t="s">
        <v>12</v>
      </c>
      <c r="H4951">
        <v>1</v>
      </c>
    </row>
    <row r="4952" spans="1:8" x14ac:dyDescent="0.35">
      <c r="A4952">
        <v>10141</v>
      </c>
      <c r="B4952" t="s">
        <v>7</v>
      </c>
      <c r="C4952">
        <v>5</v>
      </c>
      <c r="D4952">
        <v>266</v>
      </c>
      <c r="E4952" t="s">
        <v>8</v>
      </c>
      <c r="F4952" t="s">
        <v>13</v>
      </c>
      <c r="G4952" t="s">
        <v>12</v>
      </c>
      <c r="H4952">
        <v>0</v>
      </c>
    </row>
    <row r="4953" spans="1:8" x14ac:dyDescent="0.35">
      <c r="A4953">
        <v>12919</v>
      </c>
      <c r="B4953" t="s">
        <v>7</v>
      </c>
      <c r="C4953">
        <v>1</v>
      </c>
      <c r="D4953">
        <v>274</v>
      </c>
      <c r="E4953" t="s">
        <v>15</v>
      </c>
      <c r="F4953" t="s">
        <v>9</v>
      </c>
      <c r="G4953" t="s">
        <v>14</v>
      </c>
      <c r="H4953">
        <v>1</v>
      </c>
    </row>
    <row r="4954" spans="1:8" x14ac:dyDescent="0.35">
      <c r="A4954">
        <v>16713</v>
      </c>
      <c r="B4954" t="s">
        <v>7</v>
      </c>
      <c r="C4954">
        <v>13</v>
      </c>
      <c r="D4954">
        <v>440</v>
      </c>
      <c r="E4954" t="s">
        <v>8</v>
      </c>
      <c r="F4954" t="s">
        <v>9</v>
      </c>
      <c r="G4954" t="s">
        <v>12</v>
      </c>
      <c r="H4954">
        <v>0</v>
      </c>
    </row>
    <row r="4955" spans="1:8" x14ac:dyDescent="0.35">
      <c r="A4955">
        <v>14156</v>
      </c>
      <c r="B4955" t="s">
        <v>11</v>
      </c>
      <c r="C4955">
        <v>13</v>
      </c>
      <c r="D4955">
        <v>275</v>
      </c>
      <c r="E4955" t="s">
        <v>15</v>
      </c>
      <c r="F4955" t="s">
        <v>9</v>
      </c>
      <c r="G4955" t="s">
        <v>16</v>
      </c>
      <c r="H4955">
        <v>1</v>
      </c>
    </row>
    <row r="4956" spans="1:8" x14ac:dyDescent="0.35">
      <c r="A4956">
        <v>12121</v>
      </c>
      <c r="B4956" t="s">
        <v>7</v>
      </c>
      <c r="C4956">
        <v>4</v>
      </c>
      <c r="D4956">
        <v>419</v>
      </c>
      <c r="E4956" t="s">
        <v>8</v>
      </c>
      <c r="F4956" t="s">
        <v>13</v>
      </c>
      <c r="G4956" t="s">
        <v>10</v>
      </c>
      <c r="H4956">
        <v>0</v>
      </c>
    </row>
    <row r="4957" spans="1:8" x14ac:dyDescent="0.35">
      <c r="A4957">
        <v>18857</v>
      </c>
      <c r="B4957" t="s">
        <v>7</v>
      </c>
      <c r="C4957">
        <v>3</v>
      </c>
      <c r="D4957">
        <v>66</v>
      </c>
      <c r="E4957" t="s">
        <v>8</v>
      </c>
      <c r="F4957" t="s">
        <v>13</v>
      </c>
      <c r="G4957" t="s">
        <v>16</v>
      </c>
      <c r="H4957">
        <v>0</v>
      </c>
    </row>
    <row r="4958" spans="1:8" x14ac:dyDescent="0.35">
      <c r="A4958">
        <v>19824</v>
      </c>
      <c r="B4958" t="s">
        <v>11</v>
      </c>
      <c r="C4958">
        <v>8</v>
      </c>
      <c r="D4958">
        <v>320</v>
      </c>
      <c r="E4958" t="s">
        <v>8</v>
      </c>
      <c r="F4958" t="s">
        <v>13</v>
      </c>
      <c r="G4958" t="s">
        <v>14</v>
      </c>
      <c r="H4958">
        <v>0</v>
      </c>
    </row>
    <row r="4959" spans="1:8" x14ac:dyDescent="0.35">
      <c r="A4959">
        <v>18118</v>
      </c>
      <c r="B4959" t="s">
        <v>11</v>
      </c>
      <c r="C4959">
        <v>3</v>
      </c>
      <c r="D4959">
        <v>73</v>
      </c>
      <c r="E4959" t="s">
        <v>8</v>
      </c>
      <c r="F4959" t="s">
        <v>13</v>
      </c>
      <c r="G4959" t="s">
        <v>16</v>
      </c>
      <c r="H4959">
        <v>0</v>
      </c>
    </row>
    <row r="4960" spans="1:8" x14ac:dyDescent="0.35">
      <c r="A4960">
        <v>15127</v>
      </c>
      <c r="B4960" t="s">
        <v>11</v>
      </c>
      <c r="C4960">
        <v>2</v>
      </c>
      <c r="D4960">
        <v>51</v>
      </c>
      <c r="E4960" t="s">
        <v>8</v>
      </c>
      <c r="F4960" t="s">
        <v>13</v>
      </c>
      <c r="G4960" t="s">
        <v>12</v>
      </c>
      <c r="H4960">
        <v>0</v>
      </c>
    </row>
    <row r="4961" spans="1:8" x14ac:dyDescent="0.35">
      <c r="A4961">
        <v>17421</v>
      </c>
      <c r="B4961" t="s">
        <v>11</v>
      </c>
      <c r="C4961">
        <v>3</v>
      </c>
      <c r="D4961">
        <v>333</v>
      </c>
      <c r="E4961" t="s">
        <v>15</v>
      </c>
      <c r="F4961" t="s">
        <v>13</v>
      </c>
      <c r="G4961" t="s">
        <v>16</v>
      </c>
      <c r="H4961">
        <v>1</v>
      </c>
    </row>
    <row r="4962" spans="1:8" x14ac:dyDescent="0.35">
      <c r="A4962">
        <v>18546</v>
      </c>
      <c r="B4962" t="s">
        <v>7</v>
      </c>
      <c r="C4962">
        <v>3</v>
      </c>
      <c r="D4962">
        <v>312</v>
      </c>
      <c r="E4962" t="s">
        <v>8</v>
      </c>
      <c r="F4962" t="s">
        <v>9</v>
      </c>
      <c r="G4962" t="s">
        <v>16</v>
      </c>
      <c r="H4962">
        <v>0</v>
      </c>
    </row>
    <row r="4963" spans="1:8" x14ac:dyDescent="0.35">
      <c r="A4963">
        <v>15214</v>
      </c>
      <c r="B4963" t="s">
        <v>11</v>
      </c>
      <c r="C4963">
        <v>14</v>
      </c>
      <c r="D4963">
        <v>146</v>
      </c>
      <c r="E4963" t="s">
        <v>8</v>
      </c>
      <c r="F4963" t="s">
        <v>13</v>
      </c>
      <c r="G4963" t="s">
        <v>10</v>
      </c>
      <c r="H4963">
        <v>0</v>
      </c>
    </row>
    <row r="4964" spans="1:8" x14ac:dyDescent="0.35">
      <c r="A4964">
        <v>13588</v>
      </c>
      <c r="B4964" t="s">
        <v>7</v>
      </c>
      <c r="C4964">
        <v>14</v>
      </c>
      <c r="D4964">
        <v>353</v>
      </c>
      <c r="E4964" t="s">
        <v>8</v>
      </c>
      <c r="F4964" t="s">
        <v>13</v>
      </c>
      <c r="G4964" t="s">
        <v>14</v>
      </c>
      <c r="H4964">
        <v>0</v>
      </c>
    </row>
    <row r="4965" spans="1:8" x14ac:dyDescent="0.35">
      <c r="A4965">
        <v>13912</v>
      </c>
      <c r="B4965" t="s">
        <v>7</v>
      </c>
      <c r="C4965">
        <v>9</v>
      </c>
      <c r="D4965">
        <v>298</v>
      </c>
      <c r="E4965" t="s">
        <v>8</v>
      </c>
      <c r="F4965" t="s">
        <v>13</v>
      </c>
      <c r="G4965" t="s">
        <v>16</v>
      </c>
      <c r="H4965">
        <v>0</v>
      </c>
    </row>
    <row r="4966" spans="1:8" x14ac:dyDescent="0.35">
      <c r="A4966">
        <v>16382</v>
      </c>
      <c r="B4966" t="s">
        <v>7</v>
      </c>
      <c r="C4966">
        <v>7</v>
      </c>
      <c r="D4966">
        <v>171</v>
      </c>
      <c r="E4966" t="s">
        <v>8</v>
      </c>
      <c r="F4966" t="s">
        <v>9</v>
      </c>
      <c r="G4966" t="s">
        <v>16</v>
      </c>
      <c r="H4966">
        <v>0</v>
      </c>
    </row>
    <row r="4967" spans="1:8" x14ac:dyDescent="0.35">
      <c r="A4967">
        <v>10406</v>
      </c>
      <c r="B4967" t="s">
        <v>11</v>
      </c>
      <c r="C4967">
        <v>4</v>
      </c>
      <c r="D4967">
        <v>247</v>
      </c>
      <c r="E4967" t="s">
        <v>8</v>
      </c>
      <c r="F4967" t="s">
        <v>13</v>
      </c>
      <c r="G4967" t="s">
        <v>14</v>
      </c>
      <c r="H4967">
        <v>0</v>
      </c>
    </row>
    <row r="4968" spans="1:8" x14ac:dyDescent="0.35">
      <c r="A4968">
        <v>17263</v>
      </c>
      <c r="B4968" t="s">
        <v>7</v>
      </c>
      <c r="C4968">
        <v>2</v>
      </c>
      <c r="D4968">
        <v>174</v>
      </c>
      <c r="E4968" t="s">
        <v>8</v>
      </c>
      <c r="F4968" t="s">
        <v>13</v>
      </c>
      <c r="G4968" t="s">
        <v>12</v>
      </c>
      <c r="H4968">
        <v>0</v>
      </c>
    </row>
    <row r="4969" spans="1:8" x14ac:dyDescent="0.35">
      <c r="A4969">
        <v>11928</v>
      </c>
      <c r="B4969" t="s">
        <v>11</v>
      </c>
      <c r="C4969">
        <v>5</v>
      </c>
      <c r="D4969">
        <v>429</v>
      </c>
      <c r="E4969" t="s">
        <v>8</v>
      </c>
      <c r="F4969" t="s">
        <v>13</v>
      </c>
      <c r="G4969" t="s">
        <v>12</v>
      </c>
      <c r="H4969">
        <v>0</v>
      </c>
    </row>
    <row r="4970" spans="1:8" x14ac:dyDescent="0.35">
      <c r="A4970">
        <v>11342</v>
      </c>
      <c r="B4970" t="s">
        <v>7</v>
      </c>
      <c r="C4970">
        <v>13</v>
      </c>
      <c r="D4970">
        <v>272</v>
      </c>
      <c r="E4970" t="s">
        <v>8</v>
      </c>
      <c r="F4970" t="s">
        <v>9</v>
      </c>
      <c r="G4970" t="s">
        <v>14</v>
      </c>
      <c r="H4970">
        <v>0</v>
      </c>
    </row>
    <row r="4971" spans="1:8" x14ac:dyDescent="0.35">
      <c r="A4971">
        <v>14100</v>
      </c>
      <c r="B4971" t="s">
        <v>7</v>
      </c>
      <c r="C4971">
        <v>14</v>
      </c>
      <c r="D4971">
        <v>132</v>
      </c>
      <c r="E4971" t="s">
        <v>8</v>
      </c>
      <c r="F4971" t="s">
        <v>13</v>
      </c>
      <c r="G4971" t="s">
        <v>12</v>
      </c>
      <c r="H4971">
        <v>0</v>
      </c>
    </row>
    <row r="4972" spans="1:8" x14ac:dyDescent="0.35">
      <c r="A4972">
        <v>15605</v>
      </c>
      <c r="B4972" t="s">
        <v>7</v>
      </c>
      <c r="C4972">
        <v>11</v>
      </c>
      <c r="D4972">
        <v>349</v>
      </c>
      <c r="E4972" t="s">
        <v>8</v>
      </c>
      <c r="F4972" t="s">
        <v>13</v>
      </c>
      <c r="G4972" t="s">
        <v>14</v>
      </c>
      <c r="H4972">
        <v>0</v>
      </c>
    </row>
    <row r="4973" spans="1:8" x14ac:dyDescent="0.35">
      <c r="A4973">
        <v>17053</v>
      </c>
      <c r="B4973" t="s">
        <v>11</v>
      </c>
      <c r="C4973">
        <v>9</v>
      </c>
      <c r="D4973">
        <v>243</v>
      </c>
      <c r="E4973" t="s">
        <v>8</v>
      </c>
      <c r="F4973" t="s">
        <v>13</v>
      </c>
      <c r="G4973" t="s">
        <v>12</v>
      </c>
      <c r="H4973">
        <v>0</v>
      </c>
    </row>
    <row r="4974" spans="1:8" x14ac:dyDescent="0.35">
      <c r="A4974">
        <v>13514</v>
      </c>
      <c r="B4974" t="s">
        <v>7</v>
      </c>
      <c r="C4974">
        <v>3</v>
      </c>
      <c r="D4974">
        <v>105</v>
      </c>
      <c r="E4974" t="s">
        <v>8</v>
      </c>
      <c r="F4974" t="s">
        <v>13</v>
      </c>
      <c r="G4974" t="s">
        <v>16</v>
      </c>
      <c r="H4974">
        <v>0</v>
      </c>
    </row>
    <row r="4975" spans="1:8" x14ac:dyDescent="0.35">
      <c r="A4975">
        <v>15953</v>
      </c>
      <c r="B4975" t="s">
        <v>7</v>
      </c>
      <c r="C4975">
        <v>11</v>
      </c>
      <c r="D4975">
        <v>384</v>
      </c>
      <c r="E4975" t="s">
        <v>8</v>
      </c>
      <c r="F4975" t="s">
        <v>13</v>
      </c>
      <c r="G4975" t="s">
        <v>16</v>
      </c>
      <c r="H4975">
        <v>0</v>
      </c>
    </row>
    <row r="4976" spans="1:8" x14ac:dyDescent="0.35">
      <c r="A4976">
        <v>11154</v>
      </c>
      <c r="B4976" t="s">
        <v>7</v>
      </c>
      <c r="C4976">
        <v>7</v>
      </c>
      <c r="D4976">
        <v>334</v>
      </c>
      <c r="E4976" t="s">
        <v>15</v>
      </c>
      <c r="F4976" t="s">
        <v>13</v>
      </c>
      <c r="G4976" t="s">
        <v>14</v>
      </c>
      <c r="H4976">
        <v>1</v>
      </c>
    </row>
    <row r="4977" spans="1:8" x14ac:dyDescent="0.35">
      <c r="A4977">
        <v>13449</v>
      </c>
      <c r="B4977" t="s">
        <v>7</v>
      </c>
      <c r="C4977">
        <v>10</v>
      </c>
      <c r="D4977">
        <v>185</v>
      </c>
      <c r="E4977" t="s">
        <v>15</v>
      </c>
      <c r="F4977" t="s">
        <v>13</v>
      </c>
      <c r="G4977" t="s">
        <v>12</v>
      </c>
      <c r="H4977">
        <v>1</v>
      </c>
    </row>
    <row r="4978" spans="1:8" x14ac:dyDescent="0.35">
      <c r="A4978">
        <v>19478</v>
      </c>
      <c r="B4978" t="s">
        <v>7</v>
      </c>
      <c r="C4978">
        <v>4</v>
      </c>
      <c r="D4978">
        <v>42</v>
      </c>
      <c r="E4978" t="s">
        <v>8</v>
      </c>
      <c r="F4978" t="s">
        <v>9</v>
      </c>
      <c r="G4978" t="s">
        <v>10</v>
      </c>
      <c r="H4978">
        <v>0</v>
      </c>
    </row>
    <row r="4979" spans="1:8" x14ac:dyDescent="0.35">
      <c r="A4979">
        <v>13262</v>
      </c>
      <c r="B4979" t="s">
        <v>7</v>
      </c>
      <c r="C4979">
        <v>5</v>
      </c>
      <c r="D4979">
        <v>229</v>
      </c>
      <c r="E4979" t="s">
        <v>15</v>
      </c>
      <c r="F4979" t="s">
        <v>9</v>
      </c>
      <c r="G4979" t="s">
        <v>14</v>
      </c>
      <c r="H4979">
        <v>1</v>
      </c>
    </row>
    <row r="4980" spans="1:8" x14ac:dyDescent="0.35">
      <c r="A4980">
        <v>16428</v>
      </c>
      <c r="B4980" t="s">
        <v>7</v>
      </c>
      <c r="C4980">
        <v>8</v>
      </c>
      <c r="D4980">
        <v>82</v>
      </c>
      <c r="E4980" t="s">
        <v>8</v>
      </c>
      <c r="F4980" t="s">
        <v>9</v>
      </c>
      <c r="G4980" t="s">
        <v>10</v>
      </c>
      <c r="H4980">
        <v>0</v>
      </c>
    </row>
    <row r="4981" spans="1:8" x14ac:dyDescent="0.35">
      <c r="A4981">
        <v>14445</v>
      </c>
      <c r="B4981" t="s">
        <v>7</v>
      </c>
      <c r="C4981">
        <v>3</v>
      </c>
      <c r="D4981">
        <v>322</v>
      </c>
      <c r="E4981" t="s">
        <v>8</v>
      </c>
      <c r="F4981" t="s">
        <v>13</v>
      </c>
      <c r="G4981" t="s">
        <v>14</v>
      </c>
      <c r="H4981">
        <v>0</v>
      </c>
    </row>
    <row r="4982" spans="1:8" x14ac:dyDescent="0.35">
      <c r="A4982">
        <v>16684</v>
      </c>
      <c r="B4982" t="s">
        <v>7</v>
      </c>
      <c r="C4982">
        <v>8</v>
      </c>
      <c r="D4982">
        <v>336</v>
      </c>
      <c r="E4982" t="s">
        <v>8</v>
      </c>
      <c r="F4982" t="s">
        <v>9</v>
      </c>
      <c r="G4982" t="s">
        <v>10</v>
      </c>
      <c r="H4982">
        <v>0</v>
      </c>
    </row>
    <row r="4983" spans="1:8" x14ac:dyDescent="0.35">
      <c r="A4983">
        <v>11954</v>
      </c>
      <c r="B4983" t="s">
        <v>11</v>
      </c>
      <c r="C4983">
        <v>14</v>
      </c>
      <c r="D4983">
        <v>401</v>
      </c>
      <c r="E4983" t="s">
        <v>8</v>
      </c>
      <c r="F4983" t="s">
        <v>9</v>
      </c>
      <c r="G4983" t="s">
        <v>10</v>
      </c>
      <c r="H4983">
        <v>0</v>
      </c>
    </row>
    <row r="4984" spans="1:8" x14ac:dyDescent="0.35">
      <c r="A4984">
        <v>18816</v>
      </c>
      <c r="B4984" t="s">
        <v>11</v>
      </c>
      <c r="C4984">
        <v>1</v>
      </c>
      <c r="D4984">
        <v>225</v>
      </c>
      <c r="E4984" t="s">
        <v>8</v>
      </c>
      <c r="F4984" t="s">
        <v>13</v>
      </c>
      <c r="G4984" t="s">
        <v>14</v>
      </c>
      <c r="H4984">
        <v>0</v>
      </c>
    </row>
    <row r="4985" spans="1:8" x14ac:dyDescent="0.35">
      <c r="A4985">
        <v>16839</v>
      </c>
      <c r="B4985" t="s">
        <v>7</v>
      </c>
      <c r="C4985">
        <v>13</v>
      </c>
      <c r="D4985">
        <v>262</v>
      </c>
      <c r="E4985" t="s">
        <v>8</v>
      </c>
      <c r="F4985" t="s">
        <v>13</v>
      </c>
      <c r="G4985" t="s">
        <v>14</v>
      </c>
      <c r="H4985">
        <v>0</v>
      </c>
    </row>
    <row r="4986" spans="1:8" x14ac:dyDescent="0.35">
      <c r="A4986">
        <v>14827</v>
      </c>
      <c r="B4986" t="s">
        <v>11</v>
      </c>
      <c r="C4986">
        <v>4</v>
      </c>
      <c r="D4986">
        <v>76</v>
      </c>
      <c r="E4986" t="s">
        <v>8</v>
      </c>
      <c r="F4986" t="s">
        <v>13</v>
      </c>
      <c r="G4986" t="s">
        <v>14</v>
      </c>
      <c r="H4986">
        <v>0</v>
      </c>
    </row>
    <row r="4987" spans="1:8" x14ac:dyDescent="0.35">
      <c r="A4987">
        <v>14687</v>
      </c>
      <c r="B4987" t="s">
        <v>11</v>
      </c>
      <c r="C4987">
        <v>12</v>
      </c>
      <c r="D4987">
        <v>290</v>
      </c>
      <c r="E4987" t="s">
        <v>8</v>
      </c>
      <c r="F4987" t="s">
        <v>9</v>
      </c>
      <c r="G4987" t="s">
        <v>16</v>
      </c>
      <c r="H4987">
        <v>0</v>
      </c>
    </row>
    <row r="4988" spans="1:8" x14ac:dyDescent="0.35">
      <c r="A4988">
        <v>12227</v>
      </c>
      <c r="B4988" t="s">
        <v>7</v>
      </c>
      <c r="C4988">
        <v>1</v>
      </c>
      <c r="D4988">
        <v>345</v>
      </c>
      <c r="E4988" t="s">
        <v>8</v>
      </c>
      <c r="F4988" t="s">
        <v>9</v>
      </c>
      <c r="G4988" t="s">
        <v>14</v>
      </c>
      <c r="H4988">
        <v>0</v>
      </c>
    </row>
    <row r="4989" spans="1:8" x14ac:dyDescent="0.35">
      <c r="A4989">
        <v>16251</v>
      </c>
      <c r="B4989" t="s">
        <v>11</v>
      </c>
      <c r="C4989">
        <v>12</v>
      </c>
      <c r="D4989">
        <v>407</v>
      </c>
      <c r="E4989" t="s">
        <v>15</v>
      </c>
      <c r="F4989" t="s">
        <v>13</v>
      </c>
      <c r="G4989" t="s">
        <v>12</v>
      </c>
      <c r="H4989">
        <v>1</v>
      </c>
    </row>
    <row r="4990" spans="1:8" x14ac:dyDescent="0.35">
      <c r="A4990">
        <v>12584</v>
      </c>
      <c r="B4990" t="s">
        <v>7</v>
      </c>
      <c r="C4990">
        <v>3</v>
      </c>
      <c r="D4990">
        <v>159</v>
      </c>
      <c r="E4990" t="s">
        <v>8</v>
      </c>
      <c r="F4990" t="s">
        <v>13</v>
      </c>
      <c r="G4990" t="s">
        <v>14</v>
      </c>
      <c r="H4990">
        <v>0</v>
      </c>
    </row>
    <row r="4991" spans="1:8" x14ac:dyDescent="0.35">
      <c r="A4991">
        <v>11370</v>
      </c>
      <c r="B4991" t="s">
        <v>7</v>
      </c>
      <c r="C4991">
        <v>8</v>
      </c>
      <c r="D4991">
        <v>227</v>
      </c>
      <c r="E4991" t="s">
        <v>8</v>
      </c>
      <c r="F4991" t="s">
        <v>13</v>
      </c>
      <c r="G4991" t="s">
        <v>10</v>
      </c>
      <c r="H4991">
        <v>0</v>
      </c>
    </row>
    <row r="4992" spans="1:8" x14ac:dyDescent="0.35">
      <c r="A4992">
        <v>12335</v>
      </c>
      <c r="B4992" t="s">
        <v>7</v>
      </c>
      <c r="C4992">
        <v>13</v>
      </c>
      <c r="D4992">
        <v>443</v>
      </c>
      <c r="E4992" t="s">
        <v>8</v>
      </c>
      <c r="F4992" t="s">
        <v>13</v>
      </c>
      <c r="G4992" t="s">
        <v>10</v>
      </c>
      <c r="H4992">
        <v>0</v>
      </c>
    </row>
    <row r="4993" spans="1:8" x14ac:dyDescent="0.35">
      <c r="A4993">
        <v>14576</v>
      </c>
      <c r="B4993" t="s">
        <v>11</v>
      </c>
      <c r="C4993">
        <v>7</v>
      </c>
      <c r="D4993">
        <v>110</v>
      </c>
      <c r="E4993" t="s">
        <v>8</v>
      </c>
      <c r="F4993" t="s">
        <v>9</v>
      </c>
      <c r="G4993" t="s">
        <v>14</v>
      </c>
      <c r="H4993">
        <v>0</v>
      </c>
    </row>
    <row r="4994" spans="1:8" x14ac:dyDescent="0.35">
      <c r="A4994">
        <v>13803</v>
      </c>
      <c r="B4994" t="s">
        <v>7</v>
      </c>
      <c r="C4994">
        <v>8</v>
      </c>
      <c r="D4994">
        <v>47</v>
      </c>
      <c r="E4994" t="s">
        <v>15</v>
      </c>
      <c r="F4994" t="s">
        <v>13</v>
      </c>
      <c r="G4994" t="s">
        <v>16</v>
      </c>
      <c r="H4994">
        <v>1</v>
      </c>
    </row>
    <row r="4995" spans="1:8" x14ac:dyDescent="0.35">
      <c r="A4995">
        <v>14608</v>
      </c>
      <c r="B4995" t="s">
        <v>7</v>
      </c>
      <c r="C4995">
        <v>5</v>
      </c>
      <c r="D4995">
        <v>89</v>
      </c>
      <c r="E4995" t="s">
        <v>8</v>
      </c>
      <c r="F4995" t="s">
        <v>9</v>
      </c>
      <c r="G4995" t="s">
        <v>16</v>
      </c>
      <c r="H4995">
        <v>0</v>
      </c>
    </row>
    <row r="4996" spans="1:8" x14ac:dyDescent="0.35">
      <c r="A4996">
        <v>14255</v>
      </c>
      <c r="B4996" t="s">
        <v>7</v>
      </c>
      <c r="C4996">
        <v>10</v>
      </c>
      <c r="D4996">
        <v>258</v>
      </c>
      <c r="E4996" t="s">
        <v>8</v>
      </c>
      <c r="F4996" t="s">
        <v>13</v>
      </c>
      <c r="G4996" t="s">
        <v>14</v>
      </c>
      <c r="H4996">
        <v>0</v>
      </c>
    </row>
    <row r="4997" spans="1:8" x14ac:dyDescent="0.35">
      <c r="A4997">
        <v>16360</v>
      </c>
      <c r="B4997" t="s">
        <v>7</v>
      </c>
      <c r="C4997">
        <v>12</v>
      </c>
      <c r="D4997">
        <v>313</v>
      </c>
      <c r="E4997" t="s">
        <v>8</v>
      </c>
      <c r="F4997" t="s">
        <v>9</v>
      </c>
      <c r="G4997" t="s">
        <v>14</v>
      </c>
      <c r="H4997">
        <v>0</v>
      </c>
    </row>
    <row r="4998" spans="1:8" x14ac:dyDescent="0.35">
      <c r="A4998">
        <v>18084</v>
      </c>
      <c r="B4998" t="s">
        <v>7</v>
      </c>
      <c r="C4998">
        <v>10</v>
      </c>
      <c r="D4998">
        <v>313</v>
      </c>
      <c r="E4998" t="s">
        <v>8</v>
      </c>
      <c r="F4998" t="s">
        <v>13</v>
      </c>
      <c r="G4998" t="s">
        <v>10</v>
      </c>
      <c r="H4998">
        <v>0</v>
      </c>
    </row>
    <row r="4999" spans="1:8" x14ac:dyDescent="0.35">
      <c r="A4999">
        <v>12063</v>
      </c>
      <c r="B4999" t="s">
        <v>11</v>
      </c>
      <c r="C4999">
        <v>11</v>
      </c>
      <c r="D4999">
        <v>156</v>
      </c>
      <c r="E4999" t="s">
        <v>8</v>
      </c>
      <c r="F4999" t="s">
        <v>13</v>
      </c>
      <c r="G4999" t="s">
        <v>16</v>
      </c>
      <c r="H4999">
        <v>0</v>
      </c>
    </row>
    <row r="5000" spans="1:8" x14ac:dyDescent="0.35">
      <c r="A5000">
        <v>18647</v>
      </c>
      <c r="B5000" t="s">
        <v>7</v>
      </c>
      <c r="C5000">
        <v>13</v>
      </c>
      <c r="D5000">
        <v>346</v>
      </c>
      <c r="E5000" t="s">
        <v>8</v>
      </c>
      <c r="F5000" t="s">
        <v>13</v>
      </c>
      <c r="G5000" t="s">
        <v>14</v>
      </c>
      <c r="H5000">
        <v>0</v>
      </c>
    </row>
    <row r="5001" spans="1:8" x14ac:dyDescent="0.35">
      <c r="A5001">
        <v>16686</v>
      </c>
      <c r="B5001" t="s">
        <v>11</v>
      </c>
      <c r="C5001">
        <v>11</v>
      </c>
      <c r="D5001">
        <v>208</v>
      </c>
      <c r="E5001" t="s">
        <v>8</v>
      </c>
      <c r="F5001" t="s">
        <v>13</v>
      </c>
      <c r="G5001" t="s">
        <v>10</v>
      </c>
      <c r="H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68F1-9F01-4CB4-9D1C-D819B466527C}">
  <dimension ref="B3:G25"/>
  <sheetViews>
    <sheetView workbookViewId="0">
      <selection activeCell="F4" sqref="F4"/>
    </sheetView>
  </sheetViews>
  <sheetFormatPr defaultRowHeight="14.5" x14ac:dyDescent="0.35"/>
  <cols>
    <col min="2" max="2" width="17" bestFit="1" customWidth="1"/>
    <col min="3" max="3" width="19.90625" bestFit="1" customWidth="1"/>
    <col min="4" max="4" width="17.90625" customWidth="1"/>
    <col min="5" max="5" width="17" bestFit="1" customWidth="1"/>
    <col min="6" max="6" width="11.26953125" bestFit="1" customWidth="1"/>
    <col min="7" max="7" width="17" bestFit="1" customWidth="1"/>
  </cols>
  <sheetData>
    <row r="3" spans="2:7" x14ac:dyDescent="0.35">
      <c r="B3" s="1" t="s">
        <v>17</v>
      </c>
      <c r="C3" s="1" t="s">
        <v>21</v>
      </c>
      <c r="D3" s="1" t="s">
        <v>18</v>
      </c>
      <c r="E3" s="1" t="s">
        <v>22</v>
      </c>
      <c r="F3" s="1" t="s">
        <v>19</v>
      </c>
      <c r="G3" s="1" t="s">
        <v>20</v>
      </c>
    </row>
    <row r="4" spans="2:7" x14ac:dyDescent="0.35">
      <c r="B4" s="3" t="s">
        <v>11</v>
      </c>
      <c r="C4" s="4">
        <f>SUMIF(ab_testing!B:B,'Summary dash'!B4,ab_testing!C:C)</f>
        <v>19098</v>
      </c>
      <c r="D4" s="4">
        <f>COUNTIFS(ab_testing!E:E,"Yes",ab_testing!B:B,'Summary dash'!B4)</f>
        <v>136</v>
      </c>
      <c r="E4" s="5">
        <f>COUNTIF(ab_testing!B:B,'Summary dash'!B4)</f>
        <v>2519</v>
      </c>
      <c r="F4" s="6">
        <f>D4/E4</f>
        <v>5.3989678443826912E-2</v>
      </c>
      <c r="G4" s="7"/>
    </row>
    <row r="5" spans="2:7" x14ac:dyDescent="0.35">
      <c r="B5" s="8" t="s">
        <v>7</v>
      </c>
      <c r="C5" s="9">
        <f>SUMIF(ab_testing!B:B,'Summary dash'!B5,ab_testing!C:C)</f>
        <v>18590</v>
      </c>
      <c r="D5" s="9">
        <f>COUNTIFS(ab_testing!E:E,"Yes",ab_testing!B:B,'Summary dash'!B5)</f>
        <v>349</v>
      </c>
      <c r="E5" s="9">
        <f>COUNTIF(ab_testing!B:B,'Summary dash'!B5)</f>
        <v>2481</v>
      </c>
      <c r="F5" s="10">
        <f>D5/E5</f>
        <v>0.14066908504635228</v>
      </c>
      <c r="G5" s="11">
        <f>(F5-F4)/F4</f>
        <v>1.6054810678805989</v>
      </c>
    </row>
    <row r="8" spans="2:7" x14ac:dyDescent="0.35">
      <c r="B8" s="12"/>
      <c r="C8" s="13"/>
      <c r="D8" s="14"/>
    </row>
    <row r="9" spans="2:7" x14ac:dyDescent="0.35">
      <c r="B9" s="15"/>
      <c r="C9" s="16"/>
      <c r="D9" s="17"/>
    </row>
    <row r="10" spans="2:7" x14ac:dyDescent="0.35">
      <c r="B10" s="15"/>
      <c r="C10" s="16"/>
      <c r="D10" s="17"/>
    </row>
    <row r="11" spans="2:7" x14ac:dyDescent="0.35">
      <c r="B11" s="15"/>
      <c r="C11" s="16"/>
      <c r="D11" s="17"/>
    </row>
    <row r="12" spans="2:7" x14ac:dyDescent="0.35">
      <c r="B12" s="15"/>
      <c r="C12" s="16"/>
      <c r="D12" s="17"/>
    </row>
    <row r="13" spans="2:7" x14ac:dyDescent="0.35">
      <c r="B13" s="15"/>
      <c r="C13" s="16"/>
      <c r="D13" s="17"/>
    </row>
    <row r="14" spans="2:7" x14ac:dyDescent="0.35">
      <c r="B14" s="15"/>
      <c r="C14" s="16"/>
      <c r="D14" s="17"/>
    </row>
    <row r="15" spans="2:7" x14ac:dyDescent="0.35">
      <c r="B15" s="15"/>
      <c r="C15" s="16"/>
      <c r="D15" s="17"/>
    </row>
    <row r="16" spans="2:7" x14ac:dyDescent="0.35">
      <c r="B16" s="15"/>
      <c r="C16" s="16"/>
      <c r="D16" s="17"/>
    </row>
    <row r="17" spans="2:4" x14ac:dyDescent="0.35">
      <c r="B17" s="15"/>
      <c r="C17" s="16"/>
      <c r="D17" s="17"/>
    </row>
    <row r="18" spans="2:4" x14ac:dyDescent="0.35">
      <c r="B18" s="15"/>
      <c r="C18" s="16"/>
      <c r="D18" s="17"/>
    </row>
    <row r="19" spans="2:4" x14ac:dyDescent="0.35">
      <c r="B19" s="15"/>
      <c r="C19" s="16"/>
      <c r="D19" s="17"/>
    </row>
    <row r="20" spans="2:4" x14ac:dyDescent="0.35">
      <c r="B20" s="15"/>
      <c r="C20" s="16"/>
      <c r="D20" s="17"/>
    </row>
    <row r="21" spans="2:4" x14ac:dyDescent="0.35">
      <c r="B21" s="15"/>
      <c r="C21" s="16"/>
      <c r="D21" s="17"/>
    </row>
    <row r="22" spans="2:4" x14ac:dyDescent="0.35">
      <c r="B22" s="15"/>
      <c r="C22" s="16"/>
      <c r="D22" s="17"/>
    </row>
    <row r="23" spans="2:4" x14ac:dyDescent="0.35">
      <c r="B23" s="15"/>
      <c r="C23" s="16"/>
      <c r="D23" s="17"/>
    </row>
    <row r="24" spans="2:4" x14ac:dyDescent="0.35">
      <c r="B24" s="15"/>
      <c r="C24" s="16"/>
      <c r="D24" s="17"/>
    </row>
    <row r="25" spans="2:4" x14ac:dyDescent="0.35">
      <c r="B25" s="18"/>
      <c r="C25" s="19"/>
      <c r="D25" s="20"/>
    </row>
  </sheetData>
  <conditionalFormatting sqref="G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46F0-BF29-42B7-9315-A45C424F72E0}">
  <dimension ref="A3:F5"/>
  <sheetViews>
    <sheetView tabSelected="1" workbookViewId="0">
      <selection activeCell="E4" sqref="E4"/>
    </sheetView>
  </sheetViews>
  <sheetFormatPr defaultRowHeight="14.5" x14ac:dyDescent="0.35"/>
  <cols>
    <col min="1" max="1" width="16.1796875" bestFit="1" customWidth="1"/>
    <col min="2" max="2" width="22.1796875" bestFit="1" customWidth="1"/>
    <col min="3" max="3" width="15.90625" bestFit="1" customWidth="1"/>
    <col min="4" max="4" width="12" bestFit="1" customWidth="1"/>
  </cols>
  <sheetData>
    <row r="3" spans="1:6" x14ac:dyDescent="0.35">
      <c r="A3" s="21" t="s">
        <v>23</v>
      </c>
      <c r="B3" t="s">
        <v>27</v>
      </c>
      <c r="C3" t="s">
        <v>25</v>
      </c>
      <c r="E3" s="23" t="s">
        <v>19</v>
      </c>
      <c r="F3" s="23" t="s">
        <v>20</v>
      </c>
    </row>
    <row r="4" spans="1:6" x14ac:dyDescent="0.35">
      <c r="A4" s="22" t="s">
        <v>11</v>
      </c>
      <c r="B4">
        <v>21</v>
      </c>
      <c r="C4">
        <v>286</v>
      </c>
      <c r="E4" s="24">
        <f>GETPIVOTDATA("Somma di Conteggioconv",$A$3,"Group_test","A")/GETPIVOTDATA("Conteggio di Conv",$A$3,"Group_test","A")</f>
        <v>7.3426573426573424E-2</v>
      </c>
      <c r="F4" s="24"/>
    </row>
    <row r="5" spans="1:6" x14ac:dyDescent="0.35">
      <c r="A5" s="22" t="s">
        <v>7</v>
      </c>
      <c r="B5">
        <v>53</v>
      </c>
      <c r="C5">
        <v>335</v>
      </c>
      <c r="E5" s="24">
        <f>GETPIVOTDATA("Somma di Conteggioconv",$A$3,"Group_test","B")/GETPIVOTDATA("Conteggio di Conv",$A$3,"Group_test","B")</f>
        <v>0.15820895522388059</v>
      </c>
      <c r="F5" s="24">
        <f>(E5-E4)/E4</f>
        <v>1.1546552949538025</v>
      </c>
    </row>
  </sheetData>
  <conditionalFormatting sqref="F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B652-9E96-41E7-93F2-5CD317320F5B}">
  <dimension ref="A1:F4"/>
  <sheetViews>
    <sheetView workbookViewId="0">
      <selection activeCell="K3" sqref="K3"/>
    </sheetView>
  </sheetViews>
  <sheetFormatPr defaultRowHeight="14.5" x14ac:dyDescent="0.35"/>
  <cols>
    <col min="1" max="1" width="17" bestFit="1" customWidth="1"/>
    <col min="2" max="2" width="10.81640625" bestFit="1" customWidth="1"/>
    <col min="3" max="3" width="6" bestFit="1" customWidth="1"/>
    <col min="4" max="4" width="10.81640625" bestFit="1" customWidth="1"/>
    <col min="5" max="5" width="13.90625" customWidth="1"/>
    <col min="6" max="6" width="9.6328125" customWidth="1"/>
  </cols>
  <sheetData>
    <row r="1" spans="1:6" x14ac:dyDescent="0.35">
      <c r="A1" s="21" t="s">
        <v>23</v>
      </c>
      <c r="B1" s="2" t="s">
        <v>28</v>
      </c>
      <c r="C1" s="2" t="s">
        <v>22</v>
      </c>
      <c r="D1" s="2" t="s">
        <v>18</v>
      </c>
      <c r="E1" s="23" t="s">
        <v>29</v>
      </c>
      <c r="F1" s="23" t="s">
        <v>30</v>
      </c>
    </row>
    <row r="2" spans="1:6" x14ac:dyDescent="0.35">
      <c r="A2" s="22" t="s">
        <v>11</v>
      </c>
      <c r="B2">
        <v>2137</v>
      </c>
      <c r="C2">
        <v>286</v>
      </c>
      <c r="D2">
        <v>21</v>
      </c>
      <c r="E2" s="25">
        <f>GETPIVOTDATA("Pagine viste",$A$1,"Group_test","A")/GETPIVOTDATA("Utenti",$A$1,"Group_test","A")</f>
        <v>7.4720279720279716</v>
      </c>
      <c r="F2" s="26">
        <f>GETPIVOTDATA("Pagine viste",$A$1,"Group_test","A")/GETPIVOTDATA("Conversioni",$A$1,"Group_test","A")</f>
        <v>101.76190476190476</v>
      </c>
    </row>
    <row r="3" spans="1:6" x14ac:dyDescent="0.35">
      <c r="A3" s="22" t="s">
        <v>7</v>
      </c>
      <c r="B3">
        <v>2607</v>
      </c>
      <c r="C3">
        <v>335</v>
      </c>
      <c r="D3">
        <v>53</v>
      </c>
      <c r="E3" s="25">
        <f>GETPIVOTDATA("Pagine viste",$A$1,"Group_test","B")/GETPIVOTDATA("Utenti",$A$1,"Group_test","B")</f>
        <v>7.7820895522388058</v>
      </c>
      <c r="F3" s="26">
        <f>GETPIVOTDATA("Pagine viste",$A$1,"Group_test","B")/GETPIVOTDATA("Conversioni",$A$1,"Group_test","B")</f>
        <v>49.188679245283019</v>
      </c>
    </row>
    <row r="4" spans="1:6" x14ac:dyDescent="0.35">
      <c r="A4" s="22" t="s">
        <v>24</v>
      </c>
      <c r="B4">
        <v>4744</v>
      </c>
      <c r="C4">
        <v>621</v>
      </c>
      <c r="D4">
        <v>74</v>
      </c>
      <c r="E4" s="27">
        <f>GETPIVOTDATA("Pagine viste",$A$1)/GETPIVOTDATA("Utenti",$A$1)</f>
        <v>7.6392914653784221</v>
      </c>
      <c r="F4" s="28">
        <f>GETPIVOTDATA("Pagine viste",$A$1)/GETPIVOTDATA("Conversioni",$A$1)</f>
        <v>64.108108108108112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015717-2A48-4884-810D-F70A46525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ab_testing</vt:lpstr>
      <vt:lpstr>Summary dash</vt:lpstr>
      <vt:lpstr>filter dash</vt:lpstr>
      <vt:lpstr>Foglio6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francescobagnini@alice.it</dc:creator>
  <cp:lastModifiedBy>francescobagnini@alice.it</cp:lastModifiedBy>
  <dcterms:created xsi:type="dcterms:W3CDTF">2026-02-12T14:07:02Z</dcterms:created>
  <dcterms:modified xsi:type="dcterms:W3CDTF">2026-03-06T18:50:33Z</dcterms:modified>
</cp:coreProperties>
</file>